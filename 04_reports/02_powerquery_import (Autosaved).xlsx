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ata_Engineering_Workspace\04_reports\"/>
    </mc:Choice>
  </mc:AlternateContent>
  <bookViews>
    <workbookView xWindow="0" yWindow="0" windowWidth="20490" windowHeight="7650" activeTab="2"/>
  </bookViews>
  <sheets>
    <sheet name="Sheet5" sheetId="5" r:id="rId1"/>
    <sheet name="Sheet4" sheetId="4" r:id="rId2"/>
    <sheet name="Sheet2" sheetId="7" r:id="rId3"/>
    <sheet name="Sheet1" sheetId="1" r:id="rId4"/>
  </sheets>
  <definedNames>
    <definedName name="_xlnm._FilterDatabase" localSheetId="3" hidden="1">Sheet1!$D$1:$D$5001</definedName>
    <definedName name="ExternalData_1" localSheetId="3" hidden="1">Sheet1!$A$1:$G$5001</definedName>
    <definedName name="_xlnm.Extract" localSheetId="3">Sheet1!$L$9</definedName>
    <definedName name="NativeTimeline_Order_Date">#N/A</definedName>
    <definedName name="Slicer_Category">#N/A</definedName>
    <definedName name="Slicer_Region">#N/A</definedName>
  </definedNames>
  <calcPr calcId="162913"/>
  <pivotCaches>
    <pivotCache cacheId="1"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 i="1"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J21" i="1"/>
  <c r="L20" i="1" a="1"/>
  <c r="L20" i="1" s="1"/>
  <c r="L18" i="1"/>
  <c r="L15" i="1" l="1" a="1"/>
  <c r="L15" i="1" s="1"/>
  <c r="J18" i="1"/>
  <c r="J17" i="1"/>
  <c r="J16" i="1"/>
  <c r="J15" i="1"/>
  <c r="J14" i="1"/>
  <c r="J13" i="1"/>
  <c r="J11" i="1"/>
  <c r="J6" i="1"/>
  <c r="J5" i="1"/>
  <c r="J4" i="1"/>
  <c r="J3" i="1"/>
  <c r="J2" i="1"/>
  <c r="J1" i="1"/>
  <c r="J12" i="1" l="1"/>
</calcChain>
</file>

<file path=xl/connections.xml><?xml version="1.0" encoding="utf-8"?>
<connections xmlns="http://schemas.openxmlformats.org/spreadsheetml/2006/main">
  <connection id="1" keepAlive="1" name="Query - ecommerce_supply_chain" description="Connection to the 'ecommerce_supply_chain' query in the workbook." type="5" refreshedVersion="6" background="1" saveData="1">
    <dbPr connection="Provider=Microsoft.Mashup.OleDb.1;Data Source=$Workbook$;Location=ecommerce_supply_chain;Extended Properties=&quot;&quot;" command="SELECT * FROM [ecommerce_supply_chain]"/>
  </connection>
</connections>
</file>

<file path=xl/sharedStrings.xml><?xml version="1.0" encoding="utf-8"?>
<sst xmlns="http://schemas.openxmlformats.org/spreadsheetml/2006/main" count="15148" uniqueCount="5052">
  <si>
    <t>Transaction_ID</t>
  </si>
  <si>
    <t>Order_Date</t>
  </si>
  <si>
    <t>Region</t>
  </si>
  <si>
    <t>Category</t>
  </si>
  <si>
    <t>Quantity</t>
  </si>
  <si>
    <t>Unit_Price</t>
  </si>
  <si>
    <t>Shipping_Cost</t>
  </si>
  <si>
    <t>TXN-100000</t>
  </si>
  <si>
    <t>East</t>
  </si>
  <si>
    <t>Office Supplies</t>
  </si>
  <si>
    <t>TXN-100001</t>
  </si>
  <si>
    <t>West</t>
  </si>
  <si>
    <t>TXN-100002</t>
  </si>
  <si>
    <t>North</t>
  </si>
  <si>
    <t>TXN-100003</t>
  </si>
  <si>
    <t>TXN-100004</t>
  </si>
  <si>
    <t>Industrial Machinery</t>
  </si>
  <si>
    <t>TXN-100005</t>
  </si>
  <si>
    <t>TXN-100006</t>
  </si>
  <si>
    <t>Electronics</t>
  </si>
  <si>
    <t>TXN-100007</t>
  </si>
  <si>
    <t>TXN-100008</t>
  </si>
  <si>
    <t>TXN-100009</t>
  </si>
  <si>
    <t>South</t>
  </si>
  <si>
    <t>TXN-100010</t>
  </si>
  <si>
    <t>TXN-100011</t>
  </si>
  <si>
    <t>TXN-100012</t>
  </si>
  <si>
    <t>TXN-100013</t>
  </si>
  <si>
    <t>TXN-100014</t>
  </si>
  <si>
    <t>TXN-100015</t>
  </si>
  <si>
    <t>TXN-100016</t>
  </si>
  <si>
    <t>TXN-100017</t>
  </si>
  <si>
    <t>TXN-100018</t>
  </si>
  <si>
    <t>TXN-100019</t>
  </si>
  <si>
    <t>TXN-100020</t>
  </si>
  <si>
    <t>TXN-100021</t>
  </si>
  <si>
    <t>TXN-100022</t>
  </si>
  <si>
    <t>Home Appliances</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</si>
  <si>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</si>
  <si>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</si>
  <si>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</si>
  <si>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</si>
  <si>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</si>
  <si>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</si>
  <si>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</si>
  <si>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</si>
  <si>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</si>
  <si>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</si>
  <si>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</si>
  <si>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</si>
  <si>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</si>
  <si>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</si>
  <si>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</si>
  <si>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</si>
  <si>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</si>
  <si>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</si>
  <si>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</si>
  <si>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</si>
  <si>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</si>
  <si>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</si>
  <si>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</si>
  <si>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</si>
  <si>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</si>
  <si>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</si>
  <si>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</si>
  <si>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</si>
  <si>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</si>
  <si>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</si>
  <si>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</si>
  <si>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</si>
  <si>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</si>
  <si>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</si>
  <si>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</si>
  <si>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</si>
  <si>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</si>
  <si>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</si>
  <si>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</si>
  <si>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</si>
  <si>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</si>
  <si>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</si>
  <si>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</si>
  <si>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</si>
  <si>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</si>
  <si>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</si>
  <si>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</si>
  <si>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</si>
  <si>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</si>
  <si>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</si>
  <si>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</si>
  <si>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</si>
  <si>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</si>
  <si>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</si>
  <si>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</si>
  <si>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</si>
  <si>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</si>
  <si>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</si>
  <si>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</si>
  <si>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</si>
  <si>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</si>
  <si>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</si>
  <si>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</si>
  <si>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</si>
  <si>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</si>
  <si>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</si>
  <si>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</si>
  <si>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</si>
  <si>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</si>
  <si>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</si>
  <si>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</si>
  <si>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</si>
  <si>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</si>
  <si>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</si>
  <si>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</si>
  <si>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</si>
  <si>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</si>
  <si>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</si>
  <si>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</si>
  <si>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</si>
  <si>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</si>
  <si>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</si>
  <si>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</si>
  <si>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</si>
  <si>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</si>
  <si>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</si>
  <si>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</si>
  <si>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</si>
  <si>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</si>
  <si>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</si>
  <si>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</si>
  <si>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</si>
  <si>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</si>
  <si>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</si>
  <si>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</si>
  <si>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</si>
  <si>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</si>
  <si>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</si>
  <si>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</si>
  <si>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</si>
  <si>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</si>
  <si>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</si>
  <si>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</si>
  <si>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</si>
  <si>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</si>
  <si>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</si>
  <si>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</si>
  <si>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</si>
  <si>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</si>
  <si>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</si>
  <si>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</si>
  <si>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</si>
  <si>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</si>
  <si>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</si>
  <si>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</si>
  <si>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</si>
  <si>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</si>
  <si>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</si>
  <si>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</si>
  <si>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</si>
  <si>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</si>
  <si>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</si>
  <si>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</si>
  <si>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</si>
  <si>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</si>
  <si>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</si>
  <si>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</si>
  <si>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</si>
  <si>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</si>
  <si>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</si>
  <si>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</si>
  <si>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</si>
  <si>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</si>
  <si>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</si>
  <si>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</si>
  <si>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</si>
  <si>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</si>
  <si>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</si>
  <si>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</si>
  <si>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</si>
  <si>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</si>
  <si>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</si>
  <si>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</si>
  <si>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</si>
  <si>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</si>
  <si>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</si>
  <si>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</si>
  <si>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</si>
  <si>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</si>
  <si>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</si>
  <si>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</si>
  <si>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</si>
  <si>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</si>
  <si>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</si>
  <si>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</si>
  <si>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</si>
  <si>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</si>
  <si>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</si>
  <si>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</si>
  <si>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</si>
  <si>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</si>
  <si>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</si>
  <si>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</si>
  <si>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</si>
  <si>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</si>
  <si>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</si>
  <si>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</si>
  <si>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</si>
  <si>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</si>
  <si>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</si>
  <si>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</si>
  <si>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</si>
  <si>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</si>
  <si>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</si>
  <si>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</si>
  <si>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</si>
  <si>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</si>
  <si>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</si>
  <si>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</si>
  <si>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</si>
  <si>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</si>
  <si>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</si>
  <si>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</si>
  <si>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</si>
  <si>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</si>
  <si>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</si>
  <si>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</si>
  <si>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</si>
  <si>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</si>
  <si>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</si>
  <si>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</si>
  <si>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</si>
  <si>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</si>
  <si>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</si>
  <si>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</si>
  <si>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</si>
  <si>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</si>
  <si>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</si>
  <si>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</si>
  <si>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</si>
  <si>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</si>
  <si>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</si>
  <si>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</si>
  <si>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</si>
  <si>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</si>
  <si>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</si>
  <si>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</si>
  <si>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</si>
  <si>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</si>
  <si>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</si>
  <si>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</si>
  <si>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</si>
  <si>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</si>
  <si>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</si>
  <si>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</si>
  <si>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</si>
  <si>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</si>
  <si>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</si>
  <si>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</si>
  <si>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</si>
  <si>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</si>
  <si>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</si>
  <si>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</si>
  <si>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</si>
  <si>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</si>
  <si>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</si>
  <si>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</si>
  <si>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</si>
  <si>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</si>
  <si>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</si>
  <si>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</si>
  <si>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</si>
  <si>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</si>
  <si>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</si>
  <si>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</si>
  <si>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</si>
  <si>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</si>
  <si>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</si>
  <si>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</si>
  <si>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</si>
  <si>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</si>
  <si>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</si>
  <si>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</si>
  <si>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</si>
  <si>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</si>
  <si>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</si>
  <si>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</si>
  <si>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</si>
  <si>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</si>
  <si>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</si>
  <si>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</si>
  <si>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</si>
  <si>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</si>
  <si>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</si>
  <si>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</si>
  <si>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</si>
  <si>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</si>
  <si>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</si>
  <si>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</si>
  <si>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</si>
  <si>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</si>
  <si>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</si>
  <si>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</si>
  <si>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</si>
  <si>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</si>
  <si>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</si>
  <si>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</si>
  <si>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</si>
  <si>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</si>
  <si>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</si>
  <si>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</si>
  <si>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</si>
  <si>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</si>
  <si>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</si>
  <si>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</si>
  <si>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</si>
  <si>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</si>
  <si>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</si>
  <si>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</si>
  <si>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</si>
  <si>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</si>
  <si>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</si>
  <si>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</si>
  <si>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</si>
  <si>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</si>
  <si>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</si>
  <si>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</si>
  <si>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</si>
  <si>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</si>
  <si>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</si>
  <si>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</si>
  <si>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</si>
  <si>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</si>
  <si>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</si>
  <si>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</si>
  <si>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</si>
  <si>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</si>
  <si>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</si>
  <si>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</si>
  <si>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</si>
  <si>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</si>
  <si>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</si>
  <si>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</si>
  <si>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</si>
  <si>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</si>
  <si>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</si>
  <si>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</si>
  <si>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</si>
  <si>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</si>
  <si>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</si>
  <si>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</si>
  <si>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</si>
  <si>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</si>
  <si>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</si>
  <si>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</si>
  <si>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</si>
  <si>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</si>
  <si>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</si>
  <si>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</si>
  <si>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</si>
  <si>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</si>
  <si>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</si>
  <si>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</si>
  <si>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</si>
  <si>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</si>
  <si>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</si>
  <si>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</si>
  <si>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</si>
  <si>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</si>
  <si>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</si>
  <si>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</si>
  <si>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</si>
  <si>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</si>
  <si>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</si>
  <si>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</si>
  <si>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</si>
  <si>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</si>
  <si>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</si>
  <si>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</si>
  <si>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</si>
  <si>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</si>
  <si>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</si>
  <si>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</si>
  <si>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</si>
  <si>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</si>
  <si>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</si>
  <si>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</si>
  <si>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</si>
  <si>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</si>
  <si>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</si>
  <si>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</si>
  <si>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</si>
  <si>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</si>
  <si>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</si>
  <si>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</si>
  <si>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</si>
  <si>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</si>
  <si>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</si>
  <si>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</si>
  <si>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</si>
  <si>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</si>
  <si>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</si>
  <si>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</si>
  <si>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</si>
  <si>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</si>
  <si>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</si>
  <si>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</si>
  <si>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</si>
  <si>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</si>
  <si>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</si>
  <si>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</si>
  <si>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</si>
  <si>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</si>
  <si>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</si>
  <si>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</si>
  <si>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</si>
  <si>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</si>
  <si>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</si>
  <si>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</si>
  <si>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</si>
  <si>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</si>
  <si>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</si>
  <si>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</si>
  <si>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</si>
  <si>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</si>
  <si>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</si>
  <si>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</si>
  <si>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</si>
  <si>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</si>
  <si>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</si>
  <si>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</si>
  <si>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</si>
  <si>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</si>
  <si>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</si>
  <si>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</si>
  <si>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</si>
  <si>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</si>
  <si>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</si>
  <si>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</si>
  <si>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</si>
  <si>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</si>
  <si>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</si>
  <si>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</si>
  <si>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</si>
  <si>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</si>
  <si>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</si>
  <si>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</si>
  <si>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</si>
  <si>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</si>
  <si>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</si>
  <si>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</si>
  <si>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</si>
  <si>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</si>
  <si>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</si>
  <si>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</si>
  <si>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</si>
  <si>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</si>
  <si>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</si>
  <si>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</si>
  <si>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</si>
  <si>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</si>
  <si>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</si>
  <si>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</si>
  <si>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</si>
  <si>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</si>
  <si>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</si>
  <si>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</si>
  <si>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</si>
  <si>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</si>
  <si>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</si>
  <si>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</si>
  <si>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</si>
  <si>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</si>
  <si>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</si>
  <si>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</si>
  <si>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</si>
  <si>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</si>
  <si>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</si>
  <si>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</si>
  <si>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</si>
  <si>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</si>
  <si>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</si>
  <si>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</si>
  <si>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</si>
  <si>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</si>
  <si>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</si>
  <si>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</si>
  <si>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</si>
  <si>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</si>
  <si>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</si>
  <si>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</si>
  <si>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</si>
  <si>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</si>
  <si>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</si>
  <si>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</si>
  <si>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</si>
  <si>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</si>
  <si>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</si>
  <si>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</si>
  <si>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</si>
  <si>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</si>
  <si>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</si>
  <si>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</si>
  <si>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</si>
  <si>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</si>
  <si>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</si>
  <si>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</si>
  <si>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</si>
  <si>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</si>
  <si>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</si>
  <si>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</si>
  <si>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</si>
  <si>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</si>
  <si>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</si>
  <si>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</si>
  <si>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</si>
  <si>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</si>
  <si>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</si>
  <si>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</si>
  <si>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</si>
  <si>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</si>
  <si>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</si>
  <si>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</si>
  <si>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</si>
  <si>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</si>
  <si>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</si>
  <si>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</si>
  <si>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</si>
  <si>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</si>
  <si>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</si>
  <si>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</si>
  <si>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</si>
  <si>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</si>
  <si>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</si>
  <si>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</si>
  <si>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</si>
  <si>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</si>
  <si>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</si>
  <si>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</si>
  <si>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</si>
  <si>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</si>
  <si>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</si>
  <si>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</si>
  <si>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</si>
  <si>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</si>
  <si>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</si>
  <si>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</si>
  <si>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</si>
  <si>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</si>
  <si>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</si>
  <si>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</si>
  <si>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</si>
  <si>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</si>
  <si>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</si>
  <si>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</si>
  <si>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</si>
  <si>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</si>
  <si>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</si>
  <si>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</si>
  <si>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</si>
  <si>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</si>
  <si>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</si>
  <si>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</si>
  <si>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</si>
  <si>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</si>
  <si>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</si>
  <si>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</si>
  <si>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</si>
  <si>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</si>
  <si>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</si>
  <si>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</si>
  <si>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</si>
  <si>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</si>
  <si>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</si>
  <si>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</si>
  <si>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</si>
  <si>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</si>
  <si>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</si>
  <si>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</si>
  <si>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</si>
  <si>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</si>
  <si>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</si>
  <si>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</si>
  <si>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</si>
  <si>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</si>
  <si>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</si>
  <si>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</si>
  <si>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</si>
  <si>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</si>
  <si>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</si>
  <si>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</si>
  <si>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</si>
  <si>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</si>
  <si>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</si>
  <si>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</si>
  <si>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</si>
  <si>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</si>
  <si>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</si>
  <si>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</si>
  <si>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</si>
  <si>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</si>
  <si>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</si>
  <si>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</si>
  <si>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</si>
  <si>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</si>
  <si>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</si>
  <si>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</si>
  <si>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</si>
  <si>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</si>
  <si>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</si>
  <si>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</si>
  <si>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</si>
  <si>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</si>
  <si>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</si>
  <si>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</si>
  <si>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</si>
  <si>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</si>
  <si>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</si>
  <si>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</si>
  <si>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</si>
  <si>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</si>
  <si>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</si>
  <si>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</si>
  <si>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</si>
  <si>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</si>
  <si>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</si>
  <si>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</si>
  <si>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</si>
  <si>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</si>
  <si>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</si>
  <si>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</si>
  <si>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</si>
  <si>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</si>
  <si>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</si>
  <si>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</si>
  <si>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</si>
  <si>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</si>
  <si>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</si>
  <si>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</si>
  <si>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</si>
  <si>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</si>
  <si>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</si>
  <si>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</si>
  <si>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</si>
  <si>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</si>
  <si>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</si>
  <si>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</si>
  <si>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</si>
  <si>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</si>
  <si>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</si>
  <si>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</si>
  <si>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</si>
  <si>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</si>
  <si>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</si>
  <si>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</si>
  <si>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</si>
  <si>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</si>
  <si>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</si>
  <si>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</si>
  <si>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</si>
  <si>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</si>
  <si>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</si>
  <si>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</si>
  <si>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</si>
  <si>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</si>
  <si>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</si>
  <si>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</si>
  <si>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</si>
  <si>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</si>
  <si>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</si>
  <si>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</si>
  <si>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</si>
  <si>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</si>
  <si>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</si>
  <si>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</si>
  <si>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</si>
  <si>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</si>
  <si>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</si>
  <si>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</si>
  <si>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</si>
  <si>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</si>
  <si>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</si>
  <si>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</si>
  <si>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</si>
  <si>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</si>
  <si>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</si>
  <si>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</si>
  <si>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</si>
  <si>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</si>
  <si>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</si>
  <si>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</si>
  <si>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</si>
  <si>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</si>
  <si>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</si>
  <si>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</si>
  <si>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</si>
  <si>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</si>
  <si>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</si>
  <si>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</si>
  <si>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</si>
  <si>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</si>
  <si>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</si>
  <si>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</si>
  <si>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</si>
  <si>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</si>
  <si>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</si>
  <si>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</si>
  <si>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</si>
  <si>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</si>
  <si>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</si>
  <si>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</si>
  <si>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</si>
  <si>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</si>
  <si>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</si>
  <si>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</si>
  <si>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</si>
  <si>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</si>
  <si>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</si>
  <si>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</si>
  <si>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</si>
  <si>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</si>
  <si>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</si>
  <si>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</si>
  <si>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</si>
  <si>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</si>
  <si>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</si>
  <si>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</si>
  <si>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</si>
  <si>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</si>
  <si>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</si>
  <si>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</si>
  <si>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</si>
  <si>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</si>
  <si>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</si>
  <si>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</si>
  <si>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</si>
  <si>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</si>
  <si>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</si>
  <si>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</si>
  <si>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</si>
  <si>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</si>
  <si>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</si>
  <si>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</si>
  <si>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</si>
  <si>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</si>
  <si>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</si>
  <si>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</si>
  <si>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</si>
  <si>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</si>
  <si>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</si>
  <si>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</si>
  <si>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</si>
  <si>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</si>
  <si>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</si>
  <si>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</si>
  <si>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</si>
  <si>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</si>
  <si>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</si>
  <si>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</si>
  <si>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</si>
  <si>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</si>
  <si>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</si>
  <si>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</si>
  <si>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</si>
  <si>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</si>
  <si>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</si>
  <si>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</si>
  <si>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</si>
  <si>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</si>
  <si>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</si>
  <si>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</si>
  <si>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</si>
  <si>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</si>
  <si>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</si>
  <si>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</si>
  <si>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</si>
  <si>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</si>
  <si>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</si>
  <si>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</si>
  <si>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</si>
  <si>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</si>
  <si>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</si>
  <si>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</si>
  <si>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</si>
  <si>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</si>
  <si>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</si>
  <si>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</si>
  <si>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</si>
  <si>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</si>
  <si>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</si>
  <si>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</si>
  <si>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</si>
  <si>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</si>
  <si>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</si>
  <si>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</si>
  <si>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</si>
  <si>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</si>
  <si>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</si>
  <si>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</si>
  <si>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</si>
  <si>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</si>
  <si>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</si>
  <si>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</si>
  <si>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</si>
  <si>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</si>
  <si>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</si>
  <si>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</si>
  <si>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</si>
  <si>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</si>
  <si>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</si>
  <si>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</si>
  <si>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</si>
  <si>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</si>
  <si>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</si>
  <si>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</si>
  <si>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</si>
  <si>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</si>
  <si>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</si>
  <si>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</si>
  <si>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</si>
  <si>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</si>
  <si>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</si>
  <si>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</si>
  <si>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</si>
  <si>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</si>
  <si>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</si>
  <si>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</si>
  <si>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</si>
  <si>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</si>
  <si>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</si>
  <si>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</si>
  <si>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</si>
  <si>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</si>
  <si>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</si>
  <si>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</si>
  <si>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</si>
  <si>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</si>
  <si>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</si>
  <si>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</si>
  <si>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</si>
  <si>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</si>
  <si>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</si>
  <si>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</si>
  <si>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</si>
  <si>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</si>
  <si>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</si>
  <si>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</si>
  <si>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</si>
  <si>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</si>
  <si>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</si>
  <si>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</si>
  <si>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</si>
  <si>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</si>
  <si>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</si>
  <si>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</si>
  <si>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</si>
  <si>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</si>
  <si>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</si>
  <si>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</si>
  <si>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</si>
  <si>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</si>
  <si>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</si>
  <si>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</si>
  <si>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</si>
  <si>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</si>
  <si>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</si>
  <si>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</si>
  <si>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</si>
  <si>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</si>
  <si>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</si>
  <si>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</si>
  <si>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</si>
  <si>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</si>
  <si>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</si>
  <si>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</si>
  <si>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</si>
  <si>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</si>
  <si>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</si>
  <si>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</si>
  <si>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</si>
  <si>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</si>
  <si>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</si>
  <si>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</si>
  <si>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</si>
  <si>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</si>
  <si>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</si>
  <si>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</si>
  <si>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</si>
  <si>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</si>
  <si>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</si>
  <si>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</si>
  <si>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</si>
  <si>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</si>
  <si>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</si>
  <si>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</si>
  <si>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</si>
  <si>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</si>
  <si>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</si>
  <si>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</si>
  <si>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</si>
  <si>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</si>
  <si>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</si>
  <si>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</si>
  <si>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</si>
  <si>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</si>
  <si>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</si>
  <si>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</si>
  <si>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</si>
  <si>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</si>
  <si>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</si>
  <si>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</si>
  <si>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</si>
  <si>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</si>
  <si>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</si>
  <si>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</si>
  <si>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</si>
  <si>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</si>
  <si>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</si>
  <si>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</si>
  <si>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</si>
  <si>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</si>
  <si>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</si>
  <si>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</si>
  <si>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</si>
  <si>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</si>
  <si>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</si>
  <si>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</si>
  <si>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</si>
  <si>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</si>
  <si>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</si>
  <si>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</si>
  <si>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</si>
  <si>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</si>
  <si>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</si>
  <si>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</si>
  <si>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</si>
  <si>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</si>
  <si>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</si>
  <si>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</si>
  <si>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</si>
  <si>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</si>
  <si>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</si>
  <si>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</si>
  <si>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</si>
  <si>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</si>
  <si>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</si>
  <si>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</si>
  <si>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</si>
  <si>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</si>
  <si>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</si>
  <si>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</si>
  <si>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</si>
  <si>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</si>
  <si>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</si>
  <si>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</si>
  <si>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</si>
  <si>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</si>
  <si>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</si>
  <si>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</si>
  <si>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</si>
  <si>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</si>
  <si>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</si>
  <si>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</si>
  <si>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</si>
  <si>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</si>
  <si>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</si>
  <si>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</si>
  <si>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</si>
  <si>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</si>
  <si>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</si>
  <si>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</si>
  <si>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</si>
  <si>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</si>
  <si>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</si>
  <si>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</si>
  <si>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</si>
  <si>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</si>
  <si>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</si>
  <si>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</si>
  <si>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</si>
  <si>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</si>
  <si>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</si>
  <si>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</si>
  <si>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</si>
  <si>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</si>
  <si>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</si>
  <si>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</si>
  <si>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</si>
  <si>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</si>
  <si>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</si>
  <si>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</si>
  <si>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</si>
  <si>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</si>
  <si>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</si>
  <si>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</si>
  <si>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</si>
  <si>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</si>
  <si>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</si>
  <si>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</si>
  <si>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</si>
  <si>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</si>
  <si>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</si>
  <si>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</si>
  <si>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</si>
  <si>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</si>
  <si>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</si>
  <si>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</si>
  <si>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</si>
  <si>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</si>
  <si>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</si>
  <si>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</si>
  <si>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</si>
  <si>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</si>
  <si>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</si>
  <si>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</si>
  <si>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</si>
  <si>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</si>
  <si>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</si>
  <si>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</si>
  <si>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</si>
  <si>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</si>
  <si>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</si>
  <si>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</si>
  <si>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</si>
  <si>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</si>
  <si>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</si>
  <si>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</si>
  <si>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</si>
  <si>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</si>
  <si>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</si>
  <si>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</si>
  <si>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</si>
  <si>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</si>
  <si>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</si>
  <si>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</si>
  <si>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</si>
  <si>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</si>
  <si>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</si>
  <si>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</si>
  <si>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</si>
  <si>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</si>
  <si>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</si>
  <si>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</si>
  <si>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</si>
  <si>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</si>
  <si>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</si>
  <si>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</si>
  <si>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</si>
  <si>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</si>
  <si>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</si>
  <si>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</si>
  <si>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</si>
  <si>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</si>
  <si>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</si>
  <si>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</si>
  <si>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</si>
  <si>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</si>
  <si>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</si>
  <si>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</si>
  <si>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</si>
  <si>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</si>
  <si>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</si>
  <si>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</si>
  <si>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</si>
  <si>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</si>
  <si>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</si>
  <si>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</si>
  <si>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</si>
  <si>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</si>
  <si>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</si>
  <si>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</si>
  <si>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</si>
  <si>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</si>
  <si>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</si>
  <si>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</si>
  <si>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</si>
  <si>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</si>
  <si>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</si>
  <si>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</si>
  <si>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</si>
  <si>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</si>
  <si>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</si>
  <si>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</si>
  <si>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</si>
  <si>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</si>
  <si>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</si>
  <si>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</si>
  <si>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</si>
  <si>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</si>
  <si>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</si>
  <si>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</si>
  <si>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</si>
  <si>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</si>
  <si>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</si>
  <si>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</si>
  <si>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</si>
  <si>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</si>
  <si>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</si>
  <si>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</si>
  <si>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</si>
  <si>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</si>
  <si>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</si>
  <si>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</si>
  <si>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</si>
  <si>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</si>
  <si>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</si>
  <si>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</si>
  <si>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</si>
  <si>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</si>
  <si>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</si>
  <si>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</si>
  <si>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</si>
  <si>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</si>
  <si>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</si>
  <si>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</si>
  <si>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</si>
  <si>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</si>
  <si>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</si>
  <si>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</si>
  <si>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</si>
  <si>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</si>
  <si>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</si>
  <si>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</si>
  <si>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</si>
  <si>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</si>
  <si>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</si>
  <si>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</si>
  <si>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</si>
  <si>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</si>
  <si>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</si>
  <si>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</si>
  <si>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</si>
  <si>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</si>
  <si>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</si>
  <si>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</si>
  <si>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</si>
  <si>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</si>
  <si>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</si>
  <si>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</si>
  <si>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</si>
  <si>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</si>
  <si>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</si>
  <si>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</si>
  <si>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</si>
  <si>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</si>
  <si>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</si>
  <si>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</si>
  <si>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</si>
  <si>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</si>
  <si>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</si>
  <si>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</si>
  <si>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</si>
  <si>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</si>
  <si>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</si>
  <si>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</si>
  <si>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</si>
  <si>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</si>
  <si>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</si>
  <si>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</si>
  <si>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</si>
  <si>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</si>
  <si>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</si>
  <si>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</si>
  <si>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</si>
  <si>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</si>
  <si>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</si>
  <si>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</si>
  <si>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</si>
  <si>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</si>
  <si>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</si>
  <si>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</si>
  <si>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</si>
  <si>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</si>
  <si>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</si>
  <si>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</si>
  <si>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</si>
  <si>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</si>
  <si>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</si>
  <si>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</si>
  <si>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</si>
  <si>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</si>
  <si>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</si>
  <si>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</si>
  <si>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</si>
  <si>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</si>
  <si>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</si>
  <si>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</si>
  <si>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</si>
  <si>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</si>
  <si>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</si>
  <si>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</si>
  <si>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</si>
  <si>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</si>
  <si>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</si>
  <si>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</si>
  <si>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</si>
  <si>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</si>
  <si>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</si>
  <si>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</si>
  <si>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</si>
  <si>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</si>
  <si>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</si>
  <si>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</si>
  <si>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</si>
  <si>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</si>
  <si>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</si>
  <si>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</si>
  <si>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</si>
  <si>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</si>
  <si>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</si>
  <si>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</si>
  <si>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</si>
  <si>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</si>
  <si>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</si>
  <si>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</si>
  <si>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</si>
  <si>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</si>
  <si>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</si>
  <si>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</si>
  <si>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</si>
  <si>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</si>
  <si>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</si>
  <si>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</si>
  <si>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</si>
  <si>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</si>
  <si>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</si>
  <si>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</si>
  <si>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</si>
  <si>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</si>
  <si>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</si>
  <si>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</si>
  <si>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</si>
  <si>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</si>
  <si>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</si>
  <si>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</si>
  <si>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</si>
  <si>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</si>
  <si>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</si>
  <si>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</si>
  <si>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</si>
  <si>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</si>
  <si>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</si>
  <si>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</si>
  <si>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</si>
  <si>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</si>
  <si>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</si>
  <si>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</si>
  <si>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</si>
  <si>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</si>
  <si>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</si>
  <si>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</si>
  <si>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</si>
  <si>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</si>
  <si>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</si>
  <si>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</si>
  <si>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</si>
  <si>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</si>
  <si>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</si>
  <si>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</si>
  <si>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</si>
  <si>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</si>
  <si>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</si>
  <si>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</si>
  <si>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</si>
  <si>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</si>
  <si>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</si>
  <si>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</si>
  <si>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</si>
  <si>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</si>
  <si>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</si>
  <si>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</si>
  <si>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</si>
  <si>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</si>
  <si>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</si>
  <si>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</si>
  <si>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</si>
  <si>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</si>
  <si>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</si>
  <si>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</si>
  <si>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</si>
  <si>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</si>
  <si>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</si>
  <si>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</si>
  <si>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</si>
  <si>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</si>
  <si>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</si>
  <si>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</si>
  <si>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</si>
  <si>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</si>
  <si>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</si>
  <si>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</si>
  <si>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</si>
  <si>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</si>
  <si>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</si>
  <si>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</si>
  <si>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</si>
  <si>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</si>
  <si>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</si>
  <si>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</si>
  <si>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</si>
  <si>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</si>
  <si>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</si>
  <si>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</si>
  <si>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</si>
  <si>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</si>
  <si>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</si>
  <si>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</si>
  <si>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</si>
  <si>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</si>
  <si>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</si>
  <si>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</si>
  <si>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</si>
  <si>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</si>
  <si>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</si>
  <si>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</si>
  <si>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</si>
  <si>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</si>
  <si>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</si>
  <si>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</si>
  <si>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</si>
  <si>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</si>
  <si>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</si>
  <si>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</si>
  <si>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</si>
  <si>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</si>
  <si>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</si>
  <si>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</si>
  <si>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</si>
  <si>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</si>
  <si>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</si>
  <si>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</si>
  <si>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</si>
  <si>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</si>
  <si>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</si>
  <si>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</si>
  <si>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</si>
  <si>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</si>
  <si>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</si>
  <si>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</si>
  <si>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</si>
  <si>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</si>
  <si>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</si>
  <si>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</si>
  <si>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</si>
  <si>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</si>
  <si>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</si>
  <si>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</si>
  <si>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</si>
  <si>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</si>
  <si>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</si>
  <si>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</si>
  <si>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</si>
  <si>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</si>
  <si>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</si>
  <si>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</si>
  <si>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</si>
  <si>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</si>
  <si>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</si>
  <si>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</si>
  <si>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</si>
  <si>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</si>
  <si>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</si>
  <si>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</si>
  <si>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</si>
  <si>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</si>
  <si>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</si>
  <si>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</si>
  <si>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</si>
  <si>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</si>
  <si>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</si>
  <si>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</si>
  <si>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</si>
  <si>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</si>
  <si>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</si>
  <si>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</si>
  <si>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</si>
  <si>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</si>
  <si>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</si>
  <si>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</si>
  <si>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</si>
  <si>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</si>
  <si>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</si>
  <si>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</si>
  <si>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</si>
  <si>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</si>
  <si>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</si>
  <si>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</si>
  <si>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</si>
  <si>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</si>
  <si>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</si>
  <si>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</si>
  <si>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</si>
  <si>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</si>
  <si>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</si>
  <si>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</si>
  <si>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</si>
  <si>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</si>
  <si>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</si>
  <si>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</si>
  <si>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</si>
  <si>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</si>
  <si>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</si>
  <si>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</si>
  <si>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</si>
  <si>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</si>
  <si>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</si>
  <si>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</si>
  <si>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</si>
  <si>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</si>
  <si>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</si>
  <si>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</si>
  <si>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</si>
  <si>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</si>
  <si>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</si>
  <si>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</si>
  <si>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</si>
  <si>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</si>
  <si>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</si>
  <si>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</si>
  <si>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</si>
  <si>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</si>
  <si>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</si>
  <si>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</si>
  <si>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</si>
  <si>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</si>
  <si>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</si>
  <si>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</si>
  <si>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</si>
  <si>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</si>
  <si>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</si>
  <si>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</si>
  <si>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</si>
  <si>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</si>
  <si>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</si>
  <si>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</si>
  <si>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</si>
  <si>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</si>
  <si>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</si>
  <si>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</si>
  <si>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</si>
  <si>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</si>
  <si>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</si>
  <si>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</si>
  <si>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</si>
  <si>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</si>
  <si>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</si>
  <si>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</si>
  <si>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</si>
  <si>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</si>
  <si>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</si>
  <si>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</si>
  <si>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</si>
  <si>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</si>
  <si>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</si>
  <si>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</si>
  <si>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</si>
  <si>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</si>
  <si>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</si>
  <si>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</si>
  <si>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</si>
  <si>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</si>
  <si>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</si>
  <si>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</si>
  <si>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</si>
  <si>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</si>
  <si>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</si>
  <si>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</si>
  <si>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</si>
  <si>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</si>
  <si>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</si>
  <si>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</si>
  <si>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</si>
  <si>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</si>
  <si>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</si>
  <si>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</si>
  <si>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</si>
  <si>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</si>
  <si>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</si>
  <si>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</si>
  <si>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</si>
  <si>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</si>
  <si>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</si>
  <si>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</si>
  <si>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</si>
  <si>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</si>
  <si>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</si>
  <si>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</si>
  <si>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</si>
  <si>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</si>
  <si>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</si>
  <si>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</si>
  <si>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</si>
  <si>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</si>
  <si>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</si>
  <si>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</si>
  <si>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</si>
  <si>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</si>
  <si>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</si>
  <si>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</si>
  <si>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</si>
  <si>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</si>
  <si>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</si>
  <si>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</si>
  <si>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</si>
  <si>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</si>
  <si>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</si>
  <si>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</si>
  <si>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</si>
  <si>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</si>
  <si>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</si>
  <si>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</si>
  <si>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</si>
  <si>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</si>
  <si>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</si>
  <si>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</si>
  <si>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</si>
  <si>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</si>
  <si>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</si>
  <si>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</si>
  <si>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</si>
  <si>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</si>
  <si>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</si>
  <si>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</si>
  <si>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</si>
  <si>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</si>
  <si>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</si>
  <si>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</si>
  <si>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</si>
  <si>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</si>
  <si>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</si>
  <si>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</si>
  <si>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</si>
  <si>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</si>
  <si>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</si>
  <si>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</si>
  <si>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</si>
  <si>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</si>
  <si>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</si>
  <si>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</si>
  <si>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</si>
  <si>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</si>
  <si>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</si>
  <si>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</si>
  <si>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</si>
  <si>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</si>
  <si>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</si>
  <si>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</si>
  <si>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</si>
  <si>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</si>
  <si>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</si>
  <si>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</si>
  <si>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</si>
  <si>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</si>
  <si>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</si>
  <si>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</si>
  <si>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</si>
  <si>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</si>
  <si>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</si>
  <si>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</si>
  <si>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</si>
  <si>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</si>
  <si>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</si>
  <si>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</si>
  <si>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</si>
  <si>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</si>
  <si>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</si>
  <si>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</si>
  <si>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</si>
  <si>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</si>
  <si>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</si>
  <si>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</si>
  <si>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</si>
  <si>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</si>
  <si>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</si>
  <si>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</si>
  <si>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</si>
  <si>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</si>
  <si>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</si>
  <si>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</si>
  <si>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</si>
  <si>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</si>
  <si>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</si>
  <si>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</si>
  <si>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</si>
  <si>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</si>
  <si>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</si>
  <si>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</si>
  <si>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</si>
  <si>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</si>
  <si>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</si>
  <si>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</si>
  <si>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</si>
  <si>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</si>
  <si>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</si>
  <si>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</si>
  <si>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</si>
  <si>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</si>
  <si>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</si>
  <si>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</si>
  <si>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</si>
  <si>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</si>
  <si>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</si>
  <si>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</si>
  <si>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</si>
  <si>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</si>
  <si>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</si>
  <si>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</si>
  <si>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</si>
  <si>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</si>
  <si>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</si>
  <si>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</si>
  <si>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</si>
  <si>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</si>
  <si>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</si>
  <si>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</si>
  <si>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</si>
  <si>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</si>
  <si>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</si>
  <si>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</si>
  <si>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</si>
  <si>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</si>
  <si>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</si>
  <si>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</si>
  <si>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</si>
  <si>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</si>
  <si>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</si>
  <si>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</si>
  <si>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</si>
  <si>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</si>
  <si>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</si>
  <si>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</si>
  <si>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</si>
  <si>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</si>
  <si>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</si>
  <si>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</si>
  <si>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</si>
  <si>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</si>
  <si>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</si>
  <si>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</si>
  <si>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</si>
  <si>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</si>
  <si>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</si>
  <si>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</si>
  <si>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</si>
  <si>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</si>
  <si>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</si>
  <si>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</si>
  <si>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</si>
  <si>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</si>
  <si>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</si>
  <si>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</si>
  <si>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</si>
  <si>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</si>
  <si>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</si>
  <si>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</si>
  <si>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</si>
  <si>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</si>
  <si>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</si>
  <si>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</si>
  <si>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</si>
  <si>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</si>
  <si>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</si>
  <si>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</si>
  <si>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</si>
  <si>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</si>
  <si>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</si>
  <si>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</si>
  <si>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</si>
  <si>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</si>
  <si>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</si>
  <si>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</si>
  <si>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</si>
  <si>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</si>
  <si>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</si>
  <si>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</si>
  <si>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</si>
  <si>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</si>
  <si>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</si>
  <si>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</si>
  <si>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</si>
  <si>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</si>
  <si>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</si>
  <si>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</si>
  <si>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</si>
  <si>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</si>
  <si>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</si>
  <si>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</si>
  <si>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</si>
  <si>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</si>
  <si>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</si>
  <si>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</si>
  <si>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</si>
  <si>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</si>
  <si>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</si>
  <si>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</si>
  <si>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</si>
  <si>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</si>
  <si>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</si>
  <si>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</si>
  <si>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</si>
  <si>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</si>
  <si>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</si>
  <si>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</si>
  <si>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</si>
  <si>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</si>
  <si>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</si>
  <si>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</si>
  <si>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</si>
  <si>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</si>
  <si>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</si>
  <si>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</si>
  <si>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</si>
  <si>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</si>
  <si>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</si>
  <si>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</si>
  <si>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</si>
  <si>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</si>
  <si>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</si>
  <si>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</si>
  <si>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</si>
  <si>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</si>
  <si>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</si>
  <si>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</si>
  <si>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</si>
  <si>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</si>
  <si>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</si>
  <si>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</si>
  <si>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</si>
  <si>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</si>
  <si>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</si>
  <si>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</si>
  <si>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</si>
  <si>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</si>
  <si>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</si>
  <si>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</si>
  <si>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</si>
  <si>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</si>
  <si>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</si>
  <si>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</si>
  <si>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</si>
  <si>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</si>
  <si>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</si>
  <si>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</si>
  <si>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</si>
  <si>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</si>
  <si>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</si>
  <si>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</si>
  <si>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</si>
  <si>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</si>
  <si>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</si>
  <si>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</si>
  <si>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</si>
  <si>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</si>
  <si>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</si>
  <si>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</si>
  <si>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</si>
  <si>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</si>
  <si>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</si>
  <si>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</si>
  <si>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</si>
  <si>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</si>
  <si>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</si>
  <si>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</si>
  <si>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</si>
  <si>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</si>
  <si>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</si>
  <si>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</si>
  <si>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</si>
  <si>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</si>
  <si>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</si>
  <si>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</si>
  <si>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</si>
  <si>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</si>
  <si>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</si>
  <si>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</si>
  <si>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</si>
  <si>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</si>
  <si>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</si>
  <si>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</si>
  <si>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</si>
  <si>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</si>
  <si>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</si>
  <si>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</si>
  <si>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</si>
  <si>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</si>
  <si>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</si>
  <si>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</si>
  <si>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</si>
  <si>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</si>
  <si>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</si>
  <si>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</si>
  <si>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</si>
  <si>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</si>
  <si>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</si>
  <si>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</si>
  <si>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</si>
  <si>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</si>
  <si>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</si>
  <si>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</si>
  <si>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</si>
  <si>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</si>
  <si>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</si>
  <si>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</si>
  <si>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</si>
  <si>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</si>
  <si>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</si>
  <si>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</si>
  <si>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</si>
  <si>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</si>
  <si>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</si>
  <si>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</si>
  <si>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</si>
  <si>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</si>
  <si>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</si>
  <si>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</si>
  <si>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</si>
  <si>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</si>
  <si>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</si>
  <si>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</si>
  <si>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</si>
  <si>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</si>
  <si>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</si>
  <si>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</si>
  <si>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</si>
  <si>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</si>
  <si>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</si>
  <si>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</si>
  <si>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</si>
  <si>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</si>
  <si>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</si>
  <si>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</si>
  <si>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</si>
  <si>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</si>
  <si>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</si>
  <si>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</si>
  <si>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</si>
  <si>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</si>
  <si>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</si>
  <si>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</si>
  <si>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</si>
  <si>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</si>
  <si>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</si>
  <si>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</si>
  <si>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</si>
  <si>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</si>
  <si>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</si>
  <si>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</si>
  <si>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</si>
  <si>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</si>
  <si>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</si>
  <si>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</si>
  <si>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</si>
  <si>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</si>
  <si>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</si>
  <si>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</si>
  <si>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</si>
  <si>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</si>
  <si>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</si>
  <si>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</si>
  <si>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</si>
  <si>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</si>
  <si>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</si>
  <si>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</si>
  <si>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</si>
  <si>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</si>
  <si>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</si>
  <si>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</si>
  <si>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</si>
  <si>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</si>
  <si>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</si>
  <si>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</si>
  <si>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</si>
  <si>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</si>
  <si>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</si>
  <si>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</si>
  <si>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</si>
  <si>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</si>
  <si>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</si>
  <si>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</si>
  <si>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</si>
  <si>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</si>
  <si>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</si>
  <si>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</si>
  <si>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</si>
  <si>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</si>
  <si>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</si>
  <si>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</si>
  <si>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</si>
  <si>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</si>
  <si>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</si>
  <si>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</si>
  <si>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</si>
  <si>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</si>
  <si>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</si>
  <si>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</si>
  <si>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</si>
  <si>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</si>
  <si>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</si>
  <si>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</si>
  <si>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</si>
  <si>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</si>
  <si>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</si>
  <si>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</si>
  <si>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</si>
  <si>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</si>
  <si>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</si>
  <si>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</si>
  <si>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</si>
  <si>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</si>
  <si>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</si>
  <si>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</si>
  <si>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</si>
  <si>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</si>
  <si>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</si>
  <si>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</si>
  <si>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</si>
  <si>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</si>
  <si>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</si>
  <si>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</si>
  <si>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</si>
  <si>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</si>
  <si>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</si>
  <si>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</si>
  <si>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</si>
  <si>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</si>
  <si>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</si>
  <si>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</si>
  <si>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</si>
  <si>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</si>
  <si>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</si>
  <si>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</si>
  <si>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</si>
  <si>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</si>
  <si>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</si>
  <si>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</si>
  <si>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</si>
  <si>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</si>
  <si>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</si>
  <si>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</si>
  <si>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</si>
  <si>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</si>
  <si>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</si>
  <si>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</si>
  <si>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</si>
  <si>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</si>
  <si>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</si>
  <si>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</si>
  <si>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</si>
  <si>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</si>
  <si>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</si>
  <si>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</si>
  <si>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</si>
  <si>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</si>
  <si>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</si>
  <si>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</si>
  <si>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</si>
  <si>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</si>
  <si>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</si>
  <si>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</si>
  <si>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</si>
  <si>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</si>
  <si>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</si>
  <si>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</si>
  <si>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</si>
  <si>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</si>
  <si>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</si>
  <si>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</si>
  <si>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</si>
  <si>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</si>
  <si>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</si>
  <si>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</si>
  <si>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</si>
  <si>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</si>
  <si>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</si>
  <si>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</si>
  <si>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</si>
  <si>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</si>
  <si>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</si>
  <si>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</si>
  <si>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</si>
  <si>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</si>
  <si>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</si>
  <si>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</si>
  <si>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</si>
  <si>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</si>
  <si>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</si>
  <si>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</si>
  <si>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</si>
  <si>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</si>
  <si>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</si>
  <si>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</si>
  <si>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</si>
  <si>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</si>
  <si>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</si>
  <si>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</si>
  <si>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</si>
  <si>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</si>
  <si>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</si>
  <si>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</si>
  <si>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</si>
  <si>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</si>
  <si>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</si>
  <si>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</si>
  <si>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</si>
  <si>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</si>
  <si>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</si>
  <si>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</si>
  <si>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</si>
  <si>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</si>
  <si>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</si>
  <si>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</si>
  <si>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</si>
  <si>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</si>
  <si>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</si>
  <si>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</si>
  <si>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</si>
  <si>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</si>
  <si>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</si>
  <si>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</si>
  <si>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</si>
  <si>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</si>
  <si>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</si>
  <si>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</si>
  <si>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</si>
  <si>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</si>
  <si>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</si>
  <si>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</si>
  <si>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</si>
  <si>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</si>
  <si>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</si>
  <si>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</si>
  <si>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</si>
  <si>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</si>
  <si>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</si>
  <si>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</si>
  <si>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</si>
  <si>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</si>
  <si>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</si>
  <si>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</si>
  <si>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</si>
  <si>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</si>
  <si>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</si>
  <si>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</si>
  <si>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</si>
  <si>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</si>
  <si>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</si>
  <si>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</si>
  <si>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</si>
  <si>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</si>
  <si>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</si>
  <si>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</si>
  <si>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</si>
  <si>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</si>
  <si>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</si>
  <si>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</si>
  <si>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</si>
  <si>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</si>
  <si>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</si>
  <si>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</si>
  <si>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</si>
  <si>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</si>
  <si>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</si>
  <si>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</si>
  <si>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</si>
  <si>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</si>
  <si>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</si>
  <si>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</si>
  <si>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</si>
  <si>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</si>
  <si>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</si>
  <si>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</si>
  <si>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</si>
  <si>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</si>
  <si>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</si>
  <si>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</si>
  <si>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</si>
  <si>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</si>
  <si>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</si>
  <si>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</si>
  <si>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</si>
  <si>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</si>
  <si>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</si>
  <si>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</si>
  <si>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</si>
  <si>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</si>
  <si>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</si>
  <si>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</si>
  <si>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</si>
  <si>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</si>
  <si>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</si>
  <si>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</si>
  <si>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</si>
  <si>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</si>
  <si>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</si>
  <si>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</si>
  <si>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</si>
  <si>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</si>
  <si>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</si>
  <si>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</si>
  <si>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</si>
  <si>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</si>
  <si>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</si>
  <si>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</si>
  <si>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</si>
  <si>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</si>
  <si>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</si>
  <si>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</si>
  <si>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</si>
  <si>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</si>
  <si>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</si>
  <si>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</si>
  <si>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</si>
  <si>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</si>
  <si>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</si>
  <si>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</si>
  <si>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</si>
  <si>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</si>
  <si>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</si>
  <si>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</si>
  <si>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</si>
  <si>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</si>
  <si>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</si>
  <si>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</si>
  <si>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</si>
  <si>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</si>
  <si>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</si>
  <si>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</si>
  <si>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</si>
  <si>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</si>
  <si>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</si>
  <si>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</si>
  <si>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</si>
  <si>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</si>
  <si>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</si>
  <si>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</si>
  <si>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</si>
  <si>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</si>
  <si>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</si>
  <si>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</si>
  <si>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</si>
  <si>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</si>
  <si>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</si>
  <si>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</si>
  <si>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</si>
  <si>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</si>
  <si>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</si>
  <si>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</si>
  <si>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</si>
  <si>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</si>
  <si>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</si>
  <si>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</si>
  <si>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</si>
  <si>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</si>
  <si>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</si>
  <si>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</si>
  <si>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</si>
  <si>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</si>
  <si>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</si>
  <si>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</si>
  <si>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</si>
  <si>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</si>
  <si>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</si>
  <si>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</si>
  <si>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</si>
  <si>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</si>
  <si>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</si>
  <si>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</si>
  <si>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</si>
  <si>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</si>
  <si>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</si>
  <si>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</si>
  <si>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</si>
  <si>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</si>
  <si>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</si>
  <si>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</si>
  <si>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</si>
  <si>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</si>
  <si>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</si>
  <si>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</si>
  <si>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</si>
  <si>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</si>
  <si>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</si>
  <si>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</si>
  <si>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</si>
  <si>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</si>
  <si>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</si>
  <si>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</si>
  <si>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</si>
  <si>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</si>
  <si>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</si>
  <si>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</si>
  <si>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</si>
  <si>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</si>
  <si>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</si>
  <si>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</si>
  <si>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</si>
  <si>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</si>
  <si>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</si>
  <si>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</si>
  <si>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</si>
  <si>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</si>
  <si>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</si>
  <si>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</si>
  <si>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</si>
  <si>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</si>
  <si>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</si>
  <si>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</si>
  <si>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</si>
  <si>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</si>
  <si>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</si>
  <si>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</si>
  <si>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</si>
  <si>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</si>
  <si>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</si>
  <si>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</si>
  <si>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</si>
  <si>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</si>
  <si>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</si>
  <si>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</si>
  <si>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</si>
  <si>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</si>
  <si>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</si>
  <si>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</si>
  <si>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</si>
  <si>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</si>
  <si>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</si>
  <si>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</si>
  <si>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</si>
  <si>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</si>
  <si>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</si>
  <si>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</si>
  <si>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</si>
  <si>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</si>
  <si>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</si>
  <si>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</si>
  <si>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</si>
  <si>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</si>
  <si>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</si>
  <si>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</si>
  <si>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</si>
  <si>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</si>
  <si>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</si>
  <si>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</si>
  <si>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</si>
  <si>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</si>
  <si>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</si>
  <si>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</si>
  <si>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</si>
  <si>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</si>
  <si>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</si>
  <si>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</si>
  <si>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</si>
  <si>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</si>
  <si>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</si>
  <si>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</si>
  <si>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</si>
  <si>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</si>
  <si>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</si>
  <si>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</si>
  <si>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</si>
  <si>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</si>
  <si>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</si>
  <si>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</si>
  <si>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</si>
  <si>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</si>
  <si>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</si>
  <si>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</si>
  <si>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</si>
  <si>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</si>
  <si>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</si>
  <si>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</si>
  <si>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</si>
  <si>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</si>
  <si>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</si>
  <si>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</si>
  <si>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</si>
  <si>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</si>
  <si>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</si>
  <si>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</si>
  <si>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</si>
  <si>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</si>
  <si>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</si>
  <si>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</si>
  <si>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</si>
  <si>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</si>
  <si>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</si>
  <si>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</si>
  <si>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</si>
  <si>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</si>
  <si>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</si>
  <si>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</si>
  <si>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</si>
  <si>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</si>
  <si>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</si>
  <si>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</si>
  <si>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</si>
  <si>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</si>
  <si>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</si>
  <si>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</si>
  <si>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</si>
  <si>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</si>
  <si>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</si>
  <si>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</si>
  <si>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</si>
  <si>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</si>
  <si>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</si>
  <si>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</si>
  <si>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</si>
  <si>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</si>
  <si>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</si>
  <si>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</si>
  <si>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</si>
  <si>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</si>
  <si>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</si>
  <si>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</si>
  <si>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</si>
  <si>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</si>
  <si>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</si>
  <si>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</si>
  <si>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</si>
  <si>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</si>
  <si>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</si>
  <si>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</si>
  <si>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</si>
  <si>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</si>
  <si>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</si>
  <si>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</si>
  <si>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</si>
  <si>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</si>
  <si>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</si>
  <si>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</si>
  <si>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</si>
  <si>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</si>
  <si>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</si>
  <si>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</si>
  <si>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</si>
  <si>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</si>
  <si>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</si>
  <si>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</si>
  <si>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</si>
  <si>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</si>
  <si>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</si>
  <si>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</si>
  <si>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</si>
  <si>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</si>
  <si>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</si>
  <si>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</si>
  <si>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</si>
  <si>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</si>
  <si>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</si>
  <si>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</si>
  <si>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</si>
  <si>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</si>
  <si>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</si>
  <si>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</si>
  <si>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</si>
  <si>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</si>
  <si>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</si>
  <si>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</si>
  <si>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</si>
  <si>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</si>
  <si>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</si>
  <si>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</si>
  <si>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</si>
  <si>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</si>
  <si>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</si>
  <si>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</si>
  <si>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</si>
  <si>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</si>
  <si>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</si>
  <si>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</si>
  <si>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</si>
  <si>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</si>
  <si>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</si>
  <si>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</si>
  <si>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</si>
  <si>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</si>
  <si>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</si>
  <si>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</si>
  <si>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</si>
  <si>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</si>
  <si>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</si>
  <si>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</si>
  <si>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</si>
  <si>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</si>
  <si>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</si>
  <si>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</si>
  <si>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</si>
  <si>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</si>
  <si>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</si>
  <si>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</si>
  <si>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</si>
  <si>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</si>
  <si>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</si>
  <si>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</si>
  <si>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</si>
  <si>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</si>
  <si>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</si>
  <si>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</si>
  <si>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</si>
  <si>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</si>
  <si>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</si>
  <si>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</si>
  <si>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</si>
  <si>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</si>
  <si>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</si>
  <si>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</si>
  <si>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</si>
  <si>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</si>
  <si>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</si>
  <si>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</si>
  <si>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</si>
  <si>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</si>
  <si>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</si>
  <si>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</si>
  <si>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</si>
  <si>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</si>
  <si>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</si>
  <si>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</si>
  <si>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</si>
  <si>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</si>
  <si>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</si>
  <si>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</si>
  <si>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</si>
  <si>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</si>
  <si>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</si>
  <si>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</si>
  <si>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</si>
  <si>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</si>
  <si>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</si>
  <si>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</si>
  <si>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</si>
  <si>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</si>
  <si>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</si>
  <si>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</si>
  <si>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</si>
  <si>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</si>
  <si>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</si>
  <si>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</si>
  <si>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</si>
  <si>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</si>
  <si>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</si>
  <si>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</si>
  <si>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</si>
  <si>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</si>
  <si>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</si>
  <si>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</si>
  <si>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</si>
  <si>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</si>
  <si>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</si>
  <si>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</si>
  <si>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</si>
  <si>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</si>
  <si>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</si>
  <si>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</si>
  <si>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</si>
  <si>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</si>
  <si>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</si>
  <si>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</si>
  <si>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</si>
  <si>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</si>
  <si>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</si>
  <si>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</si>
  <si>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</si>
  <si>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</si>
  <si>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</si>
  <si>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</si>
  <si>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</si>
  <si>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</si>
  <si>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</si>
  <si>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</si>
  <si>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</si>
  <si>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</si>
  <si>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</si>
  <si>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</si>
  <si>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</si>
  <si>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</si>
  <si>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</si>
  <si>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</si>
  <si>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</si>
  <si>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</si>
  <si>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</si>
  <si>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</si>
  <si>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</si>
  <si>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</si>
  <si>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</si>
  <si>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</si>
  <si>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</si>
  <si>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</si>
  <si>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</si>
  <si>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</si>
  <si>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</si>
  <si>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</si>
  <si>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</si>
  <si>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</si>
  <si>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</si>
  <si>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</si>
  <si>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</si>
  <si>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</si>
  <si>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</si>
  <si>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</si>
  <si>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</si>
  <si>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</si>
  <si>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</si>
  <si>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</si>
  <si>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</si>
  <si>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</si>
  <si>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</si>
  <si>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</si>
  <si>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</si>
  <si>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</si>
  <si>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</si>
  <si>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</si>
  <si>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</si>
  <si>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</si>
  <si>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</si>
  <si>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</si>
  <si>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</si>
  <si>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</si>
  <si>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</si>
  <si>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</si>
  <si>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</si>
  <si>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</si>
  <si>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</si>
  <si>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</si>
  <si>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</si>
  <si>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</si>
  <si>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</si>
  <si>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</si>
  <si>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</si>
  <si>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</si>
  <si>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</si>
  <si>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</si>
  <si>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</si>
  <si>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</si>
  <si>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</si>
  <si>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</si>
  <si>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</si>
  <si>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</si>
  <si>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</si>
  <si>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</si>
  <si>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</si>
  <si>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</si>
  <si>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</si>
  <si>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</si>
  <si>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</si>
  <si>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</si>
  <si>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</si>
  <si>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</si>
  <si>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</si>
  <si>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</si>
  <si>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</si>
  <si>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</si>
  <si>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</si>
  <si>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</si>
  <si>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</si>
  <si>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</si>
  <si>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</si>
  <si>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</si>
  <si>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</si>
  <si>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</si>
  <si>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</si>
  <si>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</si>
  <si>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</si>
  <si>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</si>
  <si>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</si>
  <si>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</si>
  <si>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</si>
  <si>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</si>
  <si>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</si>
  <si>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</si>
  <si>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</si>
  <si>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</si>
  <si>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</si>
  <si>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</si>
  <si>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</si>
  <si>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</si>
  <si>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</si>
  <si>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</si>
  <si>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</si>
  <si>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</si>
  <si>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</si>
  <si>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</si>
  <si>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</si>
  <si>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</si>
  <si>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</si>
  <si>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</si>
  <si>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</si>
  <si>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</si>
  <si>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</si>
  <si>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</si>
  <si>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</si>
  <si>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</si>
  <si>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</si>
  <si>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</si>
  <si>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</si>
  <si>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</si>
  <si>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</si>
  <si>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</si>
  <si>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</si>
  <si>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</si>
  <si>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</si>
  <si>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</si>
  <si>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</si>
  <si>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</si>
  <si>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</si>
  <si>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</si>
  <si>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</si>
  <si>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</si>
  <si>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</si>
  <si>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</si>
  <si>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</si>
  <si>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</si>
  <si>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</si>
  <si>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</si>
  <si>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</si>
  <si>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</si>
  <si>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</si>
  <si>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</si>
  <si>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</si>
  <si>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</si>
  <si>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</si>
  <si>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</si>
  <si>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</si>
  <si>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</si>
  <si>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</si>
  <si>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</si>
  <si>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</si>
  <si>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</si>
  <si>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</si>
  <si>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</si>
  <si>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</si>
  <si>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</si>
  <si>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</si>
  <si>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</si>
  <si>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</si>
  <si>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</si>
  <si>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</si>
  <si>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</si>
  <si>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</si>
  <si>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</si>
  <si>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</si>
  <si>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</si>
  <si>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</si>
  <si>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</si>
  <si>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</si>
  <si>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</si>
  <si>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</si>
  <si>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</si>
  <si>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</si>
  <si>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</si>
  <si>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</si>
  <si>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</si>
  <si>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</si>
  <si>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</si>
  <si>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</si>
  <si>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</si>
  <si>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</si>
  <si>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</si>
  <si>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</si>
  <si>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</si>
  <si>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</si>
  <si>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</si>
  <si>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</si>
  <si>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</si>
  <si>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</si>
  <si>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</si>
  <si>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</si>
  <si>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</si>
  <si>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</si>
  <si>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</si>
  <si>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</si>
  <si>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</si>
  <si>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</si>
  <si>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</si>
  <si>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</si>
  <si>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</si>
  <si>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</si>
  <si>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</si>
  <si>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</si>
  <si>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</si>
  <si>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</si>
  <si>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</si>
  <si>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</si>
  <si>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</si>
  <si>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</si>
  <si>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</si>
  <si>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</si>
  <si>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</si>
  <si>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</si>
  <si>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</si>
  <si>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</si>
  <si>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</si>
  <si>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</si>
  <si>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</si>
  <si>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</si>
  <si>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</si>
  <si>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</si>
  <si>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</si>
  <si>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</si>
  <si>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</si>
  <si>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</si>
  <si>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</si>
  <si>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</si>
  <si>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</si>
  <si>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</si>
  <si>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</si>
  <si>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</si>
  <si>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</si>
  <si>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</si>
  <si>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</si>
  <si>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</si>
  <si>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</si>
  <si>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</si>
  <si>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</si>
  <si>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</si>
  <si>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</si>
  <si>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</si>
  <si>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</si>
  <si>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</si>
  <si>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</si>
  <si>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</si>
  <si>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</si>
  <si>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</si>
  <si>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</si>
  <si>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</si>
  <si>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</si>
  <si>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</si>
  <si>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</si>
  <si>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</si>
  <si>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</si>
  <si>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</si>
  <si>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</si>
  <si>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</si>
  <si>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</si>
  <si>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</si>
  <si>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</si>
  <si>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</si>
  <si>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</si>
  <si>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</si>
  <si>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</si>
  <si>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</si>
  <si>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</si>
  <si>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</si>
  <si>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</si>
  <si>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</si>
  <si>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</si>
  <si>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</si>
  <si>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</si>
  <si>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</si>
  <si>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</si>
  <si>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</si>
  <si>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</si>
  <si>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</si>
  <si>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</si>
  <si>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</si>
  <si>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</si>
  <si>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</si>
  <si>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</si>
  <si>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</si>
  <si>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</si>
  <si>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</si>
  <si>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</si>
  <si>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</si>
  <si>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</si>
  <si>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</si>
  <si>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</si>
  <si>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</si>
  <si>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</si>
  <si>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</si>
  <si>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</si>
  <si>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</si>
  <si>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</si>
  <si>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</si>
  <si>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</si>
  <si>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</si>
  <si>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</si>
  <si>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</si>
  <si>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</si>
  <si>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</si>
  <si>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</si>
  <si>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</si>
  <si>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</si>
  <si>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</si>
  <si>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</si>
  <si>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</si>
  <si>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</si>
  <si>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</si>
  <si>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</si>
  <si>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</si>
  <si>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</si>
  <si>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</si>
  <si>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</si>
  <si>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</si>
  <si>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</si>
  <si>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</si>
  <si>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</si>
  <si>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</si>
  <si>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</si>
  <si>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</si>
  <si>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</si>
  <si>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</si>
  <si>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</si>
  <si>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</si>
  <si>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</si>
  <si>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</si>
  <si>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</si>
  <si>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</si>
  <si>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</si>
  <si>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</si>
  <si>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</si>
  <si>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</si>
  <si>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</si>
  <si>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</si>
  <si>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</si>
  <si>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</si>
  <si>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</si>
  <si>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</si>
  <si>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</si>
  <si>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</si>
  <si>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</si>
  <si>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</si>
  <si>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</si>
  <si>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</si>
  <si>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</si>
  <si>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</si>
  <si>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</si>
  <si>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</si>
  <si>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</si>
  <si>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</si>
  <si>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</si>
  <si>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</si>
  <si>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</si>
  <si>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</si>
  <si>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</si>
  <si>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</si>
  <si>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</si>
  <si>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</si>
  <si>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</si>
  <si>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</si>
  <si>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</si>
  <si>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</si>
  <si>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</si>
  <si>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</si>
  <si>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</si>
  <si>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</si>
  <si>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</si>
  <si>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</si>
  <si>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</si>
  <si>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</si>
  <si>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</si>
  <si>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</si>
  <si>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</si>
  <si>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</si>
  <si>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</si>
  <si>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</si>
  <si>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</si>
  <si>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</si>
  <si>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</si>
  <si>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</si>
  <si>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</si>
  <si>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</si>
  <si>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</si>
  <si>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</si>
  <si>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</si>
  <si>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</si>
  <si>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</si>
  <si>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</si>
  <si>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</si>
  <si>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</si>
  <si>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</si>
  <si>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</si>
  <si>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</si>
  <si>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</si>
  <si>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</si>
  <si>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</si>
  <si>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</si>
  <si>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</si>
  <si>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</si>
  <si>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</si>
  <si>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</si>
  <si>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</si>
  <si>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</si>
  <si>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</si>
  <si>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</si>
  <si>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</si>
  <si>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</si>
  <si>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</si>
  <si>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</si>
  <si>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</si>
  <si>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</si>
  <si>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</si>
  <si>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</si>
  <si>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</si>
  <si>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</si>
  <si>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</si>
  <si>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</si>
  <si>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</si>
  <si>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</si>
  <si>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</si>
  <si>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</si>
  <si>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</si>
  <si>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</si>
  <si>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</si>
  <si>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</si>
  <si>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</si>
  <si>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</si>
  <si>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</si>
  <si>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</si>
  <si>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</si>
  <si>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</si>
  <si>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</si>
  <si>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</si>
  <si>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</si>
  <si>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</si>
  <si>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</si>
  <si>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</si>
  <si>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</si>
  <si>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</si>
  <si>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</si>
  <si>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</si>
  <si>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</si>
  <si>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</si>
  <si>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</si>
  <si>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</si>
  <si>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</si>
  <si>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</si>
  <si>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</si>
  <si>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</si>
  <si>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</si>
  <si>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</si>
  <si>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</si>
  <si>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</si>
  <si>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</si>
  <si>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</si>
  <si>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</si>
  <si>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</si>
  <si>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</si>
  <si>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</si>
  <si>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</si>
  <si>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</si>
  <si>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</si>
  <si>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</si>
  <si>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</si>
  <si>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</si>
  <si>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</si>
  <si>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</si>
  <si>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</si>
  <si>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</si>
  <si>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</si>
  <si>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</si>
  <si>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</si>
  <si>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</si>
  <si>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</si>
  <si>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</si>
  <si>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</si>
  <si>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</si>
  <si>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</si>
  <si>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</si>
  <si>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</si>
  <si>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</si>
  <si>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</si>
  <si>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</si>
  <si>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</si>
  <si>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</si>
  <si>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</si>
  <si>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</si>
  <si>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</si>
  <si>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</si>
  <si>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</si>
  <si>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</si>
  <si>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</si>
  <si>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</si>
  <si>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</si>
  <si>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</si>
  <si>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</si>
  <si>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</si>
  <si>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</si>
  <si>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</si>
  <si>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</si>
  <si>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</si>
  <si>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</si>
  <si>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</si>
  <si>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</si>
  <si>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</si>
  <si>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</si>
  <si>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</si>
  <si>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</si>
  <si>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</si>
  <si>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</si>
  <si>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</si>
  <si>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</si>
  <si>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</si>
  <si>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</si>
  <si>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</si>
  <si>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</si>
  <si>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</si>
  <si>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</si>
  <si>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</si>
  <si>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</si>
  <si>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</si>
  <si>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</si>
  <si>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</si>
  <si>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</si>
  <si>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</si>
  <si>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</si>
  <si>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</si>
  <si>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</si>
  <si>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</si>
  <si>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</si>
  <si>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</si>
  <si>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</si>
  <si>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</si>
  <si>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</si>
  <si>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</si>
  <si>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</si>
  <si>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</si>
  <si>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</si>
  <si>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</si>
  <si>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</si>
  <si>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</si>
  <si>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</si>
  <si>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</si>
  <si>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</si>
  <si>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</si>
  <si>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</si>
  <si>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</si>
  <si>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</si>
  <si>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TXN-103011</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</si>
  <si>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</si>
  <si>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</si>
  <si>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</si>
  <si>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</si>
  <si>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</si>
  <si>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</si>
  <si>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</si>
  <si>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</si>
  <si>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</si>
  <si>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</si>
  <si>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</si>
  <si>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</si>
  <si>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</si>
  <si>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</si>
  <si>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</si>
  <si>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</si>
  <si>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</si>
  <si>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</si>
  <si>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</si>
  <si>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</si>
  <si>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</si>
  <si>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</si>
  <si>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</si>
  <si>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</si>
  <si>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</si>
  <si>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</si>
  <si>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</si>
  <si>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</si>
  <si>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</si>
  <si>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</si>
  <si>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</si>
  <si>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</si>
  <si>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</si>
  <si>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</si>
  <si>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</si>
  <si>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</si>
  <si>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</si>
  <si>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</si>
  <si>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</si>
  <si>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</si>
  <si>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</si>
  <si>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</si>
  <si>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</si>
  <si>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</si>
  <si>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</si>
  <si>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</si>
  <si>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</si>
  <si>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</si>
  <si>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</si>
  <si>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</si>
  <si>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</si>
  <si>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</si>
  <si>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</si>
  <si>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</si>
  <si>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</si>
  <si>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</si>
  <si>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</si>
  <si>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</si>
  <si>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</si>
  <si>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</si>
  <si>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</si>
  <si>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</si>
  <si>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</si>
  <si>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</si>
  <si>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</si>
  <si>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</si>
  <si>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</si>
  <si>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</si>
  <si>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</si>
  <si>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</si>
  <si>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</si>
  <si>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</si>
  <si>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</si>
  <si>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</si>
  <si>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</si>
  <si>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</si>
  <si>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</si>
  <si>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</si>
  <si>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</si>
  <si>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</si>
  <si>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</si>
  <si>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</si>
  <si>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</si>
  <si>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</si>
  <si>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</si>
  <si>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</si>
  <si>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</si>
  <si>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</si>
  <si>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</si>
  <si>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</si>
  <si>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</si>
  <si>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</si>
  <si>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</si>
  <si>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</si>
  <si>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</si>
  <si>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</si>
  <si>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</si>
  <si>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</si>
  <si>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</si>
  <si>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</si>
  <si>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</si>
  <si>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</si>
  <si>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</si>
  <si>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</si>
  <si>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</si>
  <si>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</si>
  <si>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</si>
  <si>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</si>
  <si>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</si>
  <si>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</si>
  <si>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</si>
  <si>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</si>
  <si>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</si>
  <si>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</si>
  <si>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</si>
  <si>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</si>
  <si>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</si>
  <si>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</si>
  <si>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</si>
  <si>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</si>
  <si>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</si>
  <si>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</si>
  <si>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</si>
  <si>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</si>
  <si>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</si>
  <si>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</si>
  <si>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</si>
  <si>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</si>
  <si>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</si>
  <si>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</si>
  <si>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</si>
  <si>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</si>
  <si>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</si>
  <si>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</si>
  <si>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</si>
  <si>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</si>
  <si>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</si>
  <si>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</si>
  <si>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</si>
  <si>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</si>
  <si>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</si>
  <si>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</si>
  <si>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</si>
  <si>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</si>
  <si>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</si>
  <si>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</si>
  <si>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</si>
  <si>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</si>
  <si>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</si>
  <si>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</si>
  <si>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</si>
  <si>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</si>
  <si>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</si>
  <si>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</si>
  <si>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</si>
  <si>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</si>
  <si>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</si>
  <si>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</si>
  <si>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</si>
  <si>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</si>
  <si>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</si>
  <si>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</si>
  <si>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</si>
  <si>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</si>
  <si>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</si>
  <si>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</si>
  <si>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</si>
  <si>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</si>
  <si>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</si>
  <si>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</si>
  <si>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</si>
  <si>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</si>
  <si>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</si>
  <si>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</si>
  <si>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</si>
  <si>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</si>
  <si>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</si>
  <si>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</si>
  <si>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</si>
  <si>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</si>
  <si>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</si>
  <si>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</si>
  <si>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</si>
  <si>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</si>
  <si>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</si>
  <si>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</si>
  <si>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</si>
  <si>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</si>
  <si>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</si>
  <si>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</si>
  <si>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</si>
  <si>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</si>
  <si>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</si>
  <si>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</si>
  <si>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</si>
  <si>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</si>
  <si>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</si>
  <si>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</si>
  <si>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</si>
  <si>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</si>
  <si>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</si>
  <si>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</si>
  <si>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</si>
  <si>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</si>
  <si>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</si>
  <si>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</si>
  <si>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</si>
  <si>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</si>
  <si>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</si>
  <si>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</si>
  <si>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</si>
  <si>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</si>
  <si>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</si>
  <si>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</si>
  <si>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</si>
  <si>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</si>
  <si>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</si>
  <si>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</si>
  <si>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</si>
  <si>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</si>
  <si>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</si>
  <si>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</si>
  <si>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</si>
  <si>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</si>
  <si>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</si>
  <si>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</si>
  <si>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</si>
  <si>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</si>
  <si>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</si>
  <si>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</si>
  <si>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</si>
  <si>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</si>
  <si>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</si>
  <si>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</si>
  <si>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</si>
  <si>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</si>
  <si>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</si>
  <si>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</si>
  <si>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</si>
  <si>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</si>
  <si>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</si>
  <si>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</si>
  <si>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</si>
  <si>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</si>
  <si>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</si>
  <si>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</si>
  <si>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</si>
  <si>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</si>
  <si>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</si>
  <si>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</si>
  <si>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</si>
  <si>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</si>
  <si>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</si>
  <si>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</si>
  <si>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</si>
  <si>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</si>
  <si>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</si>
  <si>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</si>
  <si>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</si>
  <si>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</si>
  <si>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</si>
  <si>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</si>
  <si>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</si>
  <si>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</si>
  <si>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</si>
  <si>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</si>
  <si>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</si>
  <si>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</si>
  <si>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</si>
  <si>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</si>
  <si>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</si>
  <si>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</si>
  <si>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</si>
  <si>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</si>
  <si>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</si>
  <si>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</si>
  <si>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</si>
  <si>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</si>
  <si>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</si>
  <si>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</si>
  <si>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</si>
  <si>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</si>
  <si>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</si>
  <si>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</si>
  <si>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</si>
  <si>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</si>
  <si>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</si>
  <si>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</si>
  <si>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</si>
  <si>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</si>
  <si>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</si>
  <si>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</si>
  <si>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</si>
  <si>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</si>
  <si>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</si>
  <si>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</si>
  <si>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</si>
  <si>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</si>
  <si>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</si>
  <si>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</si>
  <si>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</si>
  <si>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</si>
  <si>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</si>
  <si>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</si>
  <si>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</si>
  <si>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</si>
  <si>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</si>
  <si>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</si>
  <si>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</si>
  <si>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</si>
  <si>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</si>
  <si>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</si>
  <si>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</si>
  <si>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</si>
  <si>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</si>
  <si>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</si>
  <si>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</si>
  <si>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</si>
  <si>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</si>
  <si>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</si>
  <si>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</si>
  <si>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</si>
  <si>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</si>
  <si>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</si>
  <si>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</si>
  <si>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</si>
  <si>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</si>
  <si>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</si>
  <si>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</si>
  <si>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</si>
  <si>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</si>
  <si>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</si>
  <si>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</si>
  <si>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</si>
  <si>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</si>
  <si>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</si>
  <si>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</si>
  <si>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</si>
  <si>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</si>
  <si>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</si>
  <si>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</si>
  <si>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</si>
  <si>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</si>
  <si>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</si>
  <si>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</si>
  <si>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</si>
  <si>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</si>
  <si>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</si>
  <si>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</si>
  <si>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</si>
  <si>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</si>
  <si>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</si>
  <si>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</si>
  <si>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</si>
  <si>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</si>
  <si>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</si>
  <si>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</si>
  <si>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</si>
  <si>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</si>
  <si>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</si>
  <si>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</si>
  <si>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</si>
  <si>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</si>
  <si>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</si>
  <si>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</si>
  <si>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</si>
  <si>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</si>
  <si>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</si>
  <si>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</si>
  <si>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</si>
  <si>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</si>
  <si>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</si>
  <si>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</si>
  <si>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</si>
  <si>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</si>
  <si>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</si>
  <si>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</si>
  <si>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</si>
  <si>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</si>
  <si>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</si>
  <si>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</si>
  <si>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</si>
  <si>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</si>
  <si>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</si>
  <si>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</si>
  <si>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</si>
  <si>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</si>
  <si>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</si>
  <si>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</si>
  <si>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</si>
  <si>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</si>
  <si>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</si>
  <si>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</si>
  <si>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</si>
  <si>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</si>
  <si>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</si>
  <si>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</si>
  <si>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</si>
  <si>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</si>
  <si>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</si>
  <si>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</si>
  <si>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</si>
  <si>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</si>
  <si>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</si>
  <si>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</si>
  <si>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</si>
  <si>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</si>
  <si>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</si>
  <si>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</si>
  <si>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</si>
  <si>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</si>
  <si>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</si>
  <si>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</si>
  <si>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</si>
  <si>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</si>
  <si>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</si>
  <si>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</si>
  <si>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</si>
  <si>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</si>
  <si>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</si>
  <si>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</si>
  <si>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</si>
  <si>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</si>
  <si>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</si>
  <si>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</si>
  <si>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</si>
  <si>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</si>
  <si>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</si>
  <si>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</si>
  <si>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</si>
  <si>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</si>
  <si>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</si>
  <si>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</si>
  <si>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</si>
  <si>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</si>
  <si>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</si>
  <si>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</si>
  <si>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</si>
  <si>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</si>
  <si>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</si>
  <si>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</si>
  <si>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</si>
  <si>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</si>
  <si>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</si>
  <si>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</si>
  <si>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</si>
  <si>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</si>
  <si>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</si>
  <si>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</si>
  <si>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</si>
  <si>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</si>
  <si>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</si>
  <si>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</si>
  <si>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</si>
  <si>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</si>
  <si>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</si>
  <si>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</si>
  <si>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</si>
  <si>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</si>
  <si>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</si>
  <si>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</si>
  <si>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</si>
  <si>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</si>
  <si>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</si>
  <si>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</si>
  <si>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</si>
  <si>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</si>
  <si>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</si>
  <si>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</si>
  <si>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</si>
  <si>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</si>
  <si>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</si>
  <si>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</si>
  <si>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</si>
  <si>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</si>
  <si>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</si>
  <si>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</si>
  <si>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</si>
  <si>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</si>
  <si>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</si>
  <si>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</si>
  <si>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</si>
  <si>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</si>
  <si>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</si>
  <si>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</si>
  <si>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</si>
  <si>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</si>
  <si>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</si>
  <si>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</si>
  <si>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</si>
  <si>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</si>
  <si>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</si>
  <si>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</si>
  <si>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</si>
  <si>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</si>
  <si>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</si>
  <si>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</si>
  <si>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</si>
  <si>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</si>
  <si>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</si>
  <si>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</si>
  <si>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</si>
  <si>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</si>
  <si>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</si>
  <si>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</si>
  <si>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</si>
  <si>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</si>
  <si>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</si>
  <si>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</si>
  <si>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</si>
  <si>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</si>
  <si>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</si>
  <si>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</si>
  <si>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</si>
  <si>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</si>
  <si>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</si>
  <si>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</si>
  <si>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</si>
  <si>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</si>
  <si>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</si>
  <si>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</si>
  <si>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</si>
  <si>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</si>
  <si>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</si>
  <si>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</si>
  <si>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</si>
  <si>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</si>
  <si>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</si>
  <si>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</si>
  <si>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</si>
  <si>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</si>
  <si>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</si>
  <si>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</si>
  <si>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</si>
  <si>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</si>
  <si>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</si>
  <si>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</si>
  <si>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</si>
  <si>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</si>
  <si>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</si>
  <si>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</si>
  <si>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</si>
  <si>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</si>
  <si>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</si>
  <si>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</si>
  <si>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</si>
  <si>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</si>
  <si>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</si>
  <si>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</si>
  <si>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</si>
  <si>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</si>
  <si>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</si>
  <si>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</si>
  <si>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</si>
  <si>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</si>
  <si>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</si>
  <si>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</si>
  <si>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</si>
  <si>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</si>
  <si>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</si>
  <si>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</si>
  <si>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</si>
  <si>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</si>
  <si>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</si>
  <si>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</si>
  <si>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</si>
  <si>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</si>
  <si>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</si>
  <si>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</si>
  <si>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</si>
  <si>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</si>
  <si>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</si>
  <si>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</si>
  <si>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</si>
  <si>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</si>
  <si>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</si>
  <si>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</si>
  <si>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</si>
  <si>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</si>
  <si>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</si>
  <si>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</si>
  <si>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</si>
  <si>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</si>
  <si>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</si>
  <si>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</si>
  <si>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</si>
  <si>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</si>
  <si>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</si>
  <si>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</si>
  <si>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</si>
  <si>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</si>
  <si>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</si>
  <si>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</si>
  <si>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</si>
  <si>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</si>
  <si>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</si>
  <si>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</si>
  <si>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</si>
  <si>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</si>
  <si>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</si>
  <si>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</si>
  <si>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</si>
  <si>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</si>
  <si>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</si>
  <si>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</si>
  <si>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</si>
  <si>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</si>
  <si>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</si>
  <si>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</si>
  <si>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</si>
  <si>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</si>
  <si>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</si>
  <si>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</si>
  <si>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</si>
  <si>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</si>
  <si>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</si>
  <si>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</si>
  <si>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</si>
  <si>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</si>
  <si>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</si>
  <si>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</si>
  <si>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</si>
  <si>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</si>
  <si>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</si>
  <si>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</si>
  <si>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</si>
  <si>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</si>
  <si>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</si>
  <si>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</si>
  <si>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</si>
  <si>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</si>
  <si>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</si>
  <si>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</si>
  <si>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</si>
  <si>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</si>
  <si>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</si>
  <si>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</si>
  <si>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</si>
  <si>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</si>
  <si>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</si>
  <si>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</si>
  <si>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</si>
  <si>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</si>
  <si>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</si>
  <si>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</si>
  <si>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</si>
  <si>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</si>
  <si>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</si>
  <si>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</si>
  <si>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</si>
  <si>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</si>
  <si>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</si>
  <si>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</si>
  <si>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</si>
  <si>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</si>
  <si>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</si>
  <si>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</si>
  <si>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</si>
  <si>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</si>
  <si>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</si>
  <si>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</si>
  <si>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</si>
  <si>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</si>
  <si>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</si>
  <si>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</si>
  <si>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</si>
  <si>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</si>
  <si>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</si>
  <si>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</si>
  <si>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</si>
  <si>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</si>
  <si>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</si>
  <si>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</si>
  <si>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</si>
  <si>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</si>
  <si>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</si>
  <si>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</si>
  <si>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</si>
  <si>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</si>
  <si>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</si>
  <si>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</si>
  <si>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</si>
  <si>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</si>
  <si>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</si>
  <si>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</si>
  <si>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</si>
  <si>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</si>
  <si>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</si>
  <si>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</si>
  <si>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</si>
  <si>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</si>
  <si>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</si>
  <si>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</si>
  <si>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</si>
  <si>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</si>
  <si>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</si>
  <si>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</si>
  <si>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</si>
  <si>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</si>
  <si>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</si>
  <si>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</si>
  <si>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</si>
  <si>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</si>
  <si>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</si>
  <si>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</si>
  <si>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</si>
  <si>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</si>
  <si>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</si>
  <si>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</si>
  <si>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</si>
  <si>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</si>
  <si>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</si>
  <si>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</si>
  <si>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</si>
  <si>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</si>
  <si>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</si>
  <si>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</si>
  <si>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</si>
  <si>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</si>
  <si>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</si>
  <si>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</si>
  <si>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</si>
  <si>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</si>
  <si>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</si>
  <si>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</si>
  <si>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</si>
  <si>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</si>
  <si>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</si>
  <si>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</si>
  <si>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</si>
  <si>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</si>
  <si>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</si>
  <si>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</si>
  <si>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</si>
  <si>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</si>
  <si>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</si>
  <si>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</si>
  <si>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</si>
  <si>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</si>
  <si>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</si>
  <si>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</si>
  <si>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</si>
  <si>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</si>
  <si>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</si>
  <si>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</si>
  <si>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</si>
  <si>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</si>
  <si>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</si>
  <si>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</si>
  <si>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</si>
  <si>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</si>
  <si>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</si>
  <si>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</si>
  <si>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</si>
  <si>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</si>
  <si>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</si>
  <si>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</si>
  <si>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</si>
  <si>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</si>
  <si>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</si>
  <si>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</si>
  <si>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</si>
  <si>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</si>
  <si>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</si>
  <si>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</si>
  <si>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</si>
  <si>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</si>
  <si>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</si>
  <si>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</si>
  <si>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</si>
  <si>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</si>
  <si>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</si>
  <si>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</si>
  <si>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</si>
  <si>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</si>
  <si>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</si>
  <si>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</si>
  <si>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</si>
  <si>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</si>
  <si>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</si>
  <si>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</si>
  <si>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</si>
  <si>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</si>
  <si>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</si>
  <si>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</si>
  <si>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</si>
  <si>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</si>
  <si>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</si>
  <si>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</si>
  <si>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</si>
  <si>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</si>
  <si>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</si>
  <si>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</si>
  <si>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</si>
  <si>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</si>
  <si>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</si>
  <si>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</si>
  <si>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</si>
  <si>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</si>
  <si>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</si>
  <si>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</si>
  <si>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</si>
  <si>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</si>
  <si>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</si>
  <si>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</si>
  <si>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</si>
  <si>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</si>
  <si>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</si>
  <si>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</si>
  <si>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</si>
  <si>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</si>
  <si>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</si>
  <si>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</si>
  <si>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</si>
  <si>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</si>
  <si>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</si>
  <si>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</si>
  <si>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</si>
  <si>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</si>
  <si>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</si>
  <si>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</si>
  <si>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</si>
  <si>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</si>
  <si>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</si>
  <si>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</si>
  <si>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</si>
  <si>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</si>
  <si>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</si>
  <si>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</si>
  <si>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</si>
  <si>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</si>
  <si>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</si>
  <si>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</si>
  <si>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</si>
  <si>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</si>
  <si>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</si>
  <si>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</si>
  <si>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</si>
  <si>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</si>
  <si>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</si>
  <si>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</si>
  <si>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</si>
  <si>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</si>
  <si>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</si>
  <si>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</si>
  <si>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</si>
  <si>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</si>
  <si>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</si>
  <si>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</si>
  <si>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</si>
  <si>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</si>
  <si>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</si>
  <si>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</si>
  <si>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</si>
  <si>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</si>
  <si>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</si>
  <si>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</si>
  <si>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</si>
  <si>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</si>
  <si>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</si>
  <si>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</si>
  <si>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</si>
  <si>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</si>
  <si>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</si>
  <si>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</si>
  <si>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</si>
  <si>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</si>
  <si>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</si>
  <si>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</si>
  <si>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</si>
  <si>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</si>
  <si>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</si>
  <si>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</si>
  <si>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</si>
  <si>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</si>
  <si>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</si>
  <si>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</si>
  <si>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</si>
  <si>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</si>
  <si>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</si>
  <si>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</si>
  <si>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</si>
  <si>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</si>
  <si>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</si>
  <si>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</si>
  <si>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</si>
  <si>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</si>
  <si>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</si>
  <si>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</si>
  <si>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</si>
  <si>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</si>
  <si>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</si>
  <si>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</si>
  <si>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</si>
  <si>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</si>
  <si>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</si>
  <si>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</si>
  <si>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</si>
  <si>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</si>
  <si>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</si>
  <si>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</si>
  <si>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</si>
  <si>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</si>
  <si>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</si>
  <si>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</si>
  <si>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</si>
  <si>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</si>
  <si>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</si>
  <si>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</si>
  <si>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</si>
  <si>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</si>
  <si>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</si>
  <si>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</si>
  <si>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</si>
  <si>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</si>
  <si>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</si>
  <si>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</si>
  <si>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</si>
  <si>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</si>
  <si>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</si>
  <si>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</si>
  <si>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</si>
  <si>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</si>
  <si>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</si>
  <si>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</si>
  <si>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</si>
  <si>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</si>
  <si>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</si>
  <si>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</si>
  <si>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</si>
  <si>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</si>
  <si>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</si>
  <si>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</si>
  <si>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</si>
  <si>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</si>
  <si>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</si>
  <si>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</si>
  <si>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</si>
  <si>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</si>
  <si>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</si>
  <si>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</si>
  <si>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</si>
  <si>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</si>
  <si>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</si>
  <si>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</si>
  <si>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</si>
  <si>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</si>
  <si>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</si>
  <si>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</si>
  <si>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</si>
  <si>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</si>
  <si>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</si>
  <si>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</si>
  <si>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</si>
  <si>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</si>
  <si>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</si>
  <si>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</si>
  <si>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</si>
  <si>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</si>
  <si>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</si>
  <si>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</si>
  <si>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</si>
  <si>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</si>
  <si>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</si>
  <si>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</si>
  <si>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</si>
  <si>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</si>
  <si>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</si>
  <si>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</si>
  <si>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</si>
  <si>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</si>
  <si>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</si>
  <si>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</si>
  <si>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</si>
  <si>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</si>
  <si>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</si>
  <si>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</si>
  <si>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</si>
  <si>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</si>
  <si>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</si>
  <si>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</si>
  <si>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</si>
  <si>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</si>
  <si>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</si>
  <si>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</si>
  <si>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</si>
  <si>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</si>
  <si>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</si>
  <si>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</si>
  <si>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</si>
  <si>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</si>
  <si>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</si>
  <si>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</si>
  <si>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</si>
  <si>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</si>
  <si>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</si>
  <si>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</si>
  <si>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</si>
  <si>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</si>
  <si>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</si>
  <si>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</si>
  <si>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</si>
  <si>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</si>
  <si>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</si>
  <si>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</si>
  <si>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</si>
  <si>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</si>
  <si>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</si>
  <si>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</si>
  <si>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</si>
  <si>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</si>
  <si>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</si>
  <si>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</si>
  <si>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</si>
  <si>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</si>
  <si>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</si>
  <si>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</si>
  <si>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</si>
  <si>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</si>
  <si>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</si>
  <si>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</si>
  <si>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</si>
  <si>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</si>
  <si>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</si>
  <si>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</si>
  <si>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</si>
  <si>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</si>
  <si>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</si>
  <si>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</si>
  <si>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</si>
  <si>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</si>
  <si>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</si>
  <si>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</si>
  <si>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</si>
  <si>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</si>
  <si>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</si>
  <si>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</si>
  <si>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</si>
  <si>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</si>
  <si>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</si>
  <si>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</si>
  <si>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</si>
  <si>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</si>
  <si>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</si>
  <si>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</si>
  <si>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</si>
  <si>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</si>
  <si>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</si>
  <si>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</si>
  <si>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</si>
  <si>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</si>
  <si>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</si>
  <si>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</si>
  <si>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</si>
  <si>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</si>
  <si>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</si>
  <si>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</si>
  <si>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</si>
  <si>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</si>
  <si>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</si>
  <si>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</si>
  <si>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</si>
  <si>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</si>
  <si>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</si>
  <si>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</si>
  <si>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</si>
  <si>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</si>
  <si>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</si>
  <si>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</si>
  <si>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</si>
  <si>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</si>
  <si>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</si>
  <si>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</si>
  <si>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</si>
  <si>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</si>
  <si>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</si>
  <si>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</si>
  <si>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</si>
  <si>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</si>
  <si>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</si>
  <si>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</si>
  <si>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</si>
  <si>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</si>
  <si>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</si>
  <si>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</si>
  <si>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</si>
  <si>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</si>
  <si>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</si>
  <si>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</si>
  <si>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</si>
  <si>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</si>
  <si>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</si>
  <si>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</si>
  <si>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</si>
  <si>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</si>
  <si>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</si>
  <si>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</si>
  <si>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</si>
  <si>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</si>
  <si>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</si>
  <si>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</si>
  <si>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</si>
  <si>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</si>
  <si>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</si>
  <si>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</si>
  <si>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</si>
  <si>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</si>
  <si>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</si>
  <si>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</si>
  <si>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</si>
  <si>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</si>
  <si>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</si>
  <si>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</si>
  <si>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</si>
  <si>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</si>
  <si>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</si>
  <si>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</si>
  <si>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</si>
  <si>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</si>
  <si>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</si>
  <si>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</si>
  <si>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</si>
  <si>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</si>
  <si>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</si>
  <si>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</si>
  <si>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</si>
  <si>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</si>
  <si>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</si>
  <si>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</si>
  <si>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</si>
  <si>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</si>
  <si>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</si>
  <si>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</si>
  <si>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</si>
  <si>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</si>
  <si>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</si>
  <si>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</si>
  <si>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</si>
  <si>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</si>
  <si>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</si>
  <si>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</si>
  <si>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</si>
  <si>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</si>
  <si>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</si>
  <si>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</si>
  <si>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</si>
  <si>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</si>
  <si>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</si>
  <si>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</si>
  <si>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</si>
  <si>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</si>
  <si>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</si>
  <si>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</si>
  <si>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</si>
  <si>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</si>
  <si>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</si>
  <si>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</si>
  <si>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</si>
  <si>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</si>
  <si>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</si>
  <si>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</si>
  <si>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</si>
  <si>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</si>
  <si>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</si>
  <si>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</si>
  <si>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</si>
  <si>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</si>
  <si>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</si>
  <si>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</si>
  <si>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</si>
  <si>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</si>
  <si>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</si>
  <si>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</si>
  <si>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</si>
  <si>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</si>
  <si>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</si>
  <si>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</si>
  <si>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</si>
  <si>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</si>
  <si>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</si>
  <si>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</si>
  <si>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</si>
  <si>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</si>
  <si>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</si>
  <si>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</si>
  <si>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</si>
  <si>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</si>
  <si>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</si>
  <si>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</si>
  <si>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</si>
  <si>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</si>
  <si>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</si>
  <si>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</si>
  <si>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</si>
  <si>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</si>
  <si>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</si>
  <si>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</si>
  <si>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</si>
  <si>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</si>
  <si>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</si>
  <si>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</si>
  <si>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</si>
  <si>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</si>
  <si>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</si>
  <si>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</si>
  <si>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</si>
  <si>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</si>
  <si>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</si>
  <si>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</si>
  <si>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</si>
  <si>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</si>
  <si>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</si>
  <si>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</si>
  <si>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</si>
  <si>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</si>
  <si>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</si>
  <si>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</si>
  <si>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</si>
  <si>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</si>
  <si>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</si>
  <si>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</si>
  <si>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</si>
  <si>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</si>
  <si>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</si>
  <si>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</si>
  <si>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</si>
  <si>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</si>
  <si>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</si>
  <si>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</si>
  <si>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</si>
  <si>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</si>
  <si>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</si>
  <si>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</si>
  <si>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</si>
  <si>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</si>
  <si>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</si>
  <si>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</si>
  <si>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</si>
  <si>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</si>
  <si>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</si>
  <si>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</si>
  <si>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</si>
  <si>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</si>
  <si>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</si>
  <si>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</si>
  <si>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</si>
  <si>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</si>
  <si>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</si>
  <si>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</si>
  <si>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</si>
  <si>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</si>
  <si>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</si>
  <si>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</si>
  <si>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</si>
  <si>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</si>
  <si>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</si>
  <si>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</si>
  <si>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</si>
  <si>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</si>
  <si>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</si>
  <si>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</si>
  <si>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</si>
  <si>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</si>
  <si>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</si>
  <si>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</si>
  <si>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</si>
  <si>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</si>
  <si>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</si>
  <si>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</si>
  <si>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</si>
  <si>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</si>
  <si>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</si>
  <si>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</si>
  <si>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</si>
  <si>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</si>
  <si>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</si>
  <si>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</si>
  <si>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</si>
  <si>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</si>
  <si>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</si>
  <si>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</si>
  <si>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</si>
  <si>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</si>
  <si>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</si>
  <si>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</si>
  <si>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</si>
  <si>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</si>
  <si>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</si>
  <si>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</si>
  <si>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</si>
  <si>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</si>
  <si>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</si>
  <si>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</si>
  <si>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</si>
  <si>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</si>
  <si>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</si>
  <si>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</si>
  <si>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</si>
  <si>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</si>
  <si>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</si>
  <si>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</si>
  <si>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</si>
  <si>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</si>
  <si>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</si>
  <si>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</si>
  <si>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</si>
  <si>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</si>
  <si>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</si>
  <si>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</si>
  <si>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</si>
  <si>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</si>
  <si>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</si>
  <si>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</si>
  <si>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</si>
  <si>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</si>
  <si>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</si>
  <si>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</si>
  <si>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</si>
  <si>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</si>
  <si>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</si>
  <si>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</si>
  <si>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</si>
  <si>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</si>
  <si>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</si>
  <si>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</si>
  <si>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</si>
  <si>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</si>
  <si>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</si>
  <si>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</si>
  <si>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</si>
  <si>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</si>
  <si>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</si>
  <si>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</si>
  <si>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</si>
  <si>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</si>
  <si>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</si>
  <si>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</si>
  <si>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</si>
  <si>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</si>
  <si>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</si>
  <si>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</si>
  <si>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</si>
  <si>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</si>
  <si>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</si>
  <si>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</si>
  <si>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</si>
  <si>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</si>
  <si>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</si>
  <si>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</si>
  <si>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</si>
  <si>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</si>
  <si>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</si>
  <si>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</si>
  <si>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</si>
  <si>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</si>
  <si>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</si>
  <si>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</si>
  <si>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</si>
  <si>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</si>
  <si>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</si>
  <si>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</si>
  <si>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</si>
  <si>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</si>
  <si>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</si>
  <si>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</si>
  <si>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</si>
  <si>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</si>
  <si>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</si>
  <si>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</si>
  <si>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</si>
  <si>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</si>
  <si>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</si>
  <si>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</si>
  <si>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</si>
  <si>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</si>
  <si>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</si>
  <si>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</si>
  <si>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</si>
  <si>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</si>
  <si>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</si>
  <si>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</si>
  <si>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</si>
  <si>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</si>
  <si>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</si>
  <si>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</si>
  <si>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</si>
  <si>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</si>
  <si>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</si>
  <si>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</si>
  <si>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</si>
  <si>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</si>
  <si>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</si>
  <si>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</si>
  <si>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</si>
  <si>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</si>
  <si>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</si>
  <si>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</si>
  <si>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</si>
  <si>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</si>
  <si>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</si>
  <si>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</si>
  <si>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</si>
  <si>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</si>
  <si>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</si>
  <si>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</si>
  <si>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</si>
  <si>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</si>
  <si>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</si>
  <si>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</si>
  <si>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</si>
  <si>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</si>
  <si>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</si>
  <si>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</si>
  <si>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</si>
  <si>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</si>
  <si>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</si>
  <si>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</si>
  <si>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</si>
  <si>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</si>
  <si>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</si>
  <si>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</si>
  <si>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</si>
  <si>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</si>
  <si>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</si>
  <si>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</si>
  <si>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</si>
  <si>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</si>
  <si>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</si>
  <si>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</si>
  <si>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</si>
  <si>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</si>
  <si>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</si>
  <si>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</si>
  <si>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</si>
  <si>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</si>
  <si>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</si>
  <si>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</si>
  <si>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</si>
  <si>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</si>
  <si>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</si>
  <si>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</si>
  <si>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</si>
  <si>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</si>
  <si>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</si>
  <si>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</si>
  <si>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</si>
  <si>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</si>
  <si>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</si>
  <si>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</si>
  <si>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</si>
  <si>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</si>
  <si>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</si>
  <si>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</si>
  <si>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</si>
  <si>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</si>
  <si>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</si>
  <si>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</si>
  <si>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</si>
  <si>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</si>
  <si>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</si>
  <si>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</si>
  <si>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</si>
  <si>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</si>
  <si>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</si>
  <si>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</si>
  <si>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</si>
  <si>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</si>
  <si>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</si>
  <si>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</si>
  <si>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</si>
  <si>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</si>
  <si>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</si>
  <si>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</si>
  <si>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</si>
  <si>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</si>
  <si>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</si>
  <si>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</si>
  <si>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</si>
  <si>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</si>
  <si>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</si>
  <si>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</si>
  <si>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</si>
  <si>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</si>
  <si>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</si>
  <si>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</si>
  <si>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</si>
  <si>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</si>
  <si>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</si>
  <si>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</si>
  <si>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</si>
  <si>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</si>
  <si>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</si>
  <si>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</si>
  <si>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</si>
  <si>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</si>
  <si>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</si>
  <si>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</si>
  <si>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</si>
  <si>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</si>
  <si>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</si>
  <si>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</si>
  <si>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</si>
  <si>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</si>
  <si>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</si>
  <si>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</si>
  <si>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</si>
  <si>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</si>
  <si>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</si>
  <si>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</si>
  <si>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</si>
  <si>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</si>
  <si>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</si>
  <si>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</si>
  <si>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</si>
  <si>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</si>
  <si>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</si>
  <si>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</si>
  <si>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</si>
  <si>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</si>
  <si>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</si>
  <si>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</si>
  <si>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</si>
  <si>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</si>
  <si>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</si>
  <si>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</si>
  <si>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</si>
  <si>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</si>
  <si>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</si>
  <si>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</si>
  <si>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</si>
  <si>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</si>
  <si>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</si>
  <si>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</si>
  <si>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</si>
  <si>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</si>
  <si>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</si>
  <si>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</si>
  <si>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</si>
  <si>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</si>
  <si>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</si>
  <si>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</si>
  <si>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</si>
  <si>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</si>
  <si>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</si>
  <si>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</si>
  <si>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</si>
  <si>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</si>
  <si>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</si>
  <si>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</si>
  <si>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</si>
  <si>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</si>
  <si>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</si>
  <si>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</si>
  <si>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</si>
  <si>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</si>
  <si>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</si>
  <si>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</si>
  <si>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</si>
  <si>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</si>
  <si>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</si>
  <si>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</si>
  <si>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</si>
  <si>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</si>
  <si>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</si>
  <si>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</si>
  <si>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</si>
  <si>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</si>
  <si>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</si>
  <si>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</si>
  <si>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</si>
  <si>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</si>
  <si>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</si>
  <si>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</si>
  <si>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</si>
  <si>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</si>
  <si>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</si>
  <si>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</si>
  <si>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</si>
  <si>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</si>
  <si>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</si>
  <si>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</si>
  <si>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</si>
  <si>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</si>
  <si>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</si>
  <si>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</si>
  <si>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</si>
  <si>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</si>
  <si>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</si>
  <si>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</si>
  <si>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</si>
  <si>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</si>
  <si>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</si>
  <si>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</si>
  <si>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</si>
  <si>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</si>
  <si>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</si>
  <si>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</si>
  <si>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</si>
  <si>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</si>
  <si>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</si>
  <si>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</si>
  <si>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</si>
  <si>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</si>
  <si>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</si>
  <si>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</si>
  <si>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</si>
  <si>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</si>
  <si>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</si>
  <si>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</si>
  <si>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</si>
  <si>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</si>
  <si>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</si>
  <si>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</si>
  <si>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</si>
  <si>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</si>
  <si>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</si>
  <si>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</si>
  <si>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</si>
  <si>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</si>
  <si>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</si>
  <si>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</si>
  <si>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</si>
  <si>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</si>
  <si>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</si>
  <si>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</si>
  <si>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</si>
  <si>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</si>
  <si>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</si>
  <si>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</si>
  <si>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</si>
  <si>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</si>
  <si>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</si>
  <si>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</si>
  <si>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</si>
  <si>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</si>
  <si>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</si>
  <si>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</si>
  <si>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</si>
  <si>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</si>
  <si>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</si>
  <si>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</si>
  <si>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</si>
  <si>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</si>
  <si>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</si>
  <si>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</si>
  <si>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</si>
  <si>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</si>
  <si>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</si>
  <si>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</si>
  <si>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</si>
  <si>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</si>
  <si>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</si>
  <si>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</si>
  <si>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</si>
  <si>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</si>
  <si>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</si>
  <si>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</si>
  <si>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</si>
  <si>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</si>
  <si>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</si>
  <si>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</si>
  <si>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</si>
  <si>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</si>
  <si>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</si>
  <si>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</si>
  <si>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</si>
  <si>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</si>
  <si>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</si>
  <si>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</si>
  <si>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</si>
  <si>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</si>
  <si>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</si>
  <si>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</si>
  <si>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</si>
  <si>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</si>
  <si>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</si>
  <si>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</si>
  <si>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</si>
  <si>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</si>
  <si>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</si>
  <si>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</si>
  <si>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</si>
  <si>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</si>
  <si>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</si>
  <si>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</si>
  <si>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</si>
  <si>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</si>
  <si>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</si>
  <si>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</si>
  <si>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</si>
  <si>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</si>
  <si>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</si>
  <si>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</si>
  <si>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</si>
  <si>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</si>
  <si>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</si>
  <si>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</si>
  <si>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</si>
  <si>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</si>
  <si>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</si>
  <si>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</si>
  <si>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</si>
  <si>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</si>
  <si>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</si>
  <si>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</si>
  <si>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</si>
  <si>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</si>
  <si>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</si>
  <si>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</si>
  <si>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</si>
  <si>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</si>
  <si>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</si>
  <si>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</si>
  <si>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</si>
  <si>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</si>
  <si>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</si>
  <si>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</si>
  <si>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</si>
  <si>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</si>
  <si>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</si>
  <si>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</si>
  <si>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</si>
  <si>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</si>
  <si>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</si>
  <si>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</si>
  <si>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</si>
  <si>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</si>
  <si>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</si>
  <si>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</si>
  <si>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</si>
  <si>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</si>
  <si>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</si>
  <si>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</si>
  <si>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</si>
  <si>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</si>
  <si>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</si>
  <si>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</si>
  <si>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</si>
  <si>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</si>
  <si>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</si>
  <si>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</si>
  <si>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</si>
  <si>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</si>
  <si>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</si>
  <si>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</si>
  <si>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</si>
  <si>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</si>
  <si>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</si>
  <si>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</si>
  <si>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</si>
  <si>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</si>
  <si>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</si>
  <si>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</si>
  <si>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</si>
  <si>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</si>
  <si>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</si>
  <si>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</si>
  <si>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</si>
  <si>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</si>
  <si>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</si>
  <si>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</si>
  <si>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</si>
  <si>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</si>
  <si>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</si>
  <si>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</si>
  <si>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</si>
  <si>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</si>
  <si>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</si>
  <si>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</si>
  <si>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</si>
  <si>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</si>
  <si>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</si>
  <si>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</si>
  <si>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</si>
  <si>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</si>
  <si>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</si>
  <si>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</si>
  <si>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</si>
  <si>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</si>
  <si>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</si>
  <si>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</si>
  <si>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</si>
  <si>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</si>
  <si>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</si>
  <si>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</si>
  <si>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</si>
  <si>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</si>
  <si>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</si>
  <si>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</si>
  <si>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</si>
  <si>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</si>
  <si>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</si>
  <si>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</si>
  <si>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</si>
  <si>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</si>
  <si>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</si>
  <si>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</si>
  <si>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</si>
  <si>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</si>
  <si>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</si>
  <si>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</si>
  <si>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</si>
  <si>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</si>
  <si>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</si>
  <si>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</si>
  <si>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</si>
  <si>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</si>
  <si>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</si>
  <si>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</si>
  <si>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</si>
  <si>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</si>
  <si>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</si>
  <si>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</si>
  <si>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</si>
  <si>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</si>
  <si>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</si>
  <si>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</si>
  <si>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</si>
  <si>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</si>
  <si>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</si>
  <si>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</si>
  <si>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</si>
  <si>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</si>
  <si>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</si>
  <si>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</si>
  <si>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</si>
  <si>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</si>
  <si>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</si>
  <si>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</si>
  <si>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</si>
  <si>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</si>
  <si>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</si>
  <si>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</si>
  <si>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</si>
  <si>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</si>
  <si>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</si>
  <si>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</si>
  <si>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</si>
  <si>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</si>
  <si>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</si>
  <si>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</si>
  <si>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</si>
  <si>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</si>
  <si>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</si>
  <si>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</si>
  <si>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</si>
  <si>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</si>
  <si>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</si>
  <si>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</si>
  <si>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</si>
  <si>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</si>
  <si>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</si>
  <si>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</si>
  <si>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</si>
  <si>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</si>
  <si>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</si>
  <si>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</si>
  <si>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</si>
  <si>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</si>
  <si>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</si>
  <si>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</si>
  <si>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</si>
  <si>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</si>
  <si>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</si>
  <si>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</si>
  <si>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</si>
  <si>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</si>
  <si>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</si>
  <si>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</si>
  <si>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</si>
  <si>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</si>
  <si>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</si>
  <si>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</si>
  <si>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</si>
  <si>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</si>
  <si>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</si>
  <si>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</si>
  <si>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</si>
  <si>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</si>
  <si>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</si>
  <si>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</si>
  <si>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</si>
  <si>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</si>
  <si>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</si>
  <si>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</si>
  <si>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</si>
  <si>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</si>
  <si>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</si>
  <si>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</si>
  <si>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</si>
  <si>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</si>
  <si>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</si>
  <si>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</si>
  <si>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</si>
  <si>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</si>
  <si>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</si>
  <si>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</si>
  <si>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</si>
  <si>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</si>
  <si>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</si>
  <si>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</si>
  <si>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</si>
  <si>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</si>
  <si>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</si>
  <si>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</si>
  <si>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</si>
  <si>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</si>
  <si>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</si>
  <si>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</si>
  <si>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</si>
  <si>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</si>
  <si>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</si>
  <si>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</si>
  <si>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</si>
  <si>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</si>
  <si>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</si>
  <si>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</si>
  <si>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</si>
  <si>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</si>
  <si>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</si>
  <si>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</si>
  <si>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</si>
  <si>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</si>
  <si>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</si>
  <si>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</si>
  <si>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</si>
  <si>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</si>
  <si>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</si>
  <si>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</si>
  <si>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</si>
  <si>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</si>
  <si>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</si>
  <si>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</si>
  <si>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</si>
  <si>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</si>
  <si>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</si>
  <si>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</si>
  <si>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</si>
  <si>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</si>
  <si>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</si>
  <si>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</si>
  <si>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</si>
  <si>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</si>
  <si>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</si>
  <si>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</si>
  <si>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</si>
  <si>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</si>
  <si>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</si>
  <si>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</si>
  <si>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</si>
  <si>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</si>
  <si>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</si>
  <si>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</si>
  <si>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</si>
  <si>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</si>
  <si>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</si>
  <si>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</si>
  <si>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</si>
  <si>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</si>
  <si>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</si>
  <si>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</si>
  <si>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</si>
  <si>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</si>
  <si>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</si>
  <si>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</si>
  <si>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</si>
  <si>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</si>
  <si>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</si>
  <si>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</si>
  <si>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</si>
  <si>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</si>
  <si>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</si>
  <si>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</si>
  <si>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</si>
  <si>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</si>
  <si>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</si>
  <si>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</si>
  <si>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</si>
  <si>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</si>
  <si>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</si>
  <si>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</si>
  <si>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</si>
  <si>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</si>
  <si>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</si>
  <si>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</si>
  <si>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</si>
  <si>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</si>
  <si>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</si>
  <si>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Low</t>
  </si>
  <si>
    <t>Medium</t>
  </si>
  <si>
    <t>High</t>
  </si>
  <si>
    <t>Row Labels</t>
  </si>
  <si>
    <t>Grand Total</t>
  </si>
  <si>
    <t>Sum of Revenue</t>
  </si>
  <si>
    <t>Revenue</t>
  </si>
  <si>
    <t>Jul</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</si>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</sst>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2" fontId="0" fillId="0" borderId="0" xfId="0" applyNumberFormat="1"/>
    <xf numFmtId="0" fontId="0" fillId="0" borderId="0" xfId="0" applyAlignment="1">
      <alignment horizontal="left" indent="2"/>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[02_powerquery_import (Autosaved).xlsx]Sheet5!PivotTable4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E6BE-42E1-99D5-84105B9D0B53}"/>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Sheet5!$A$4:$A$8</c:f>
              <c:strCache>
                <c:ptCount val="4"/>
                <c:pt idx="0">
                  <c:v>Electronics</c:v>
                </c:pt>
                <c:pt idx="1">
                  <c:v>Home Appliances</c:v>
                </c:pt>
                <c:pt idx="2">
                  <c:v>Industrial Machinery</c:v>
                </c:pt>
                <c:pt idx="3">
                  <c:v>Office Supplies</c:v>
                </c:pt>
              </c:strCache>
            </c:strRef>
          </c:cat>
          <c:val>
            <c:numRef>
              <c:f>Sheet5!$B$4:$B$8</c:f>
              <c:numCache>
                <c:formatCode>General</c:formatCode>
                <c:ptCount val="4"/>
                <c:pt idx="0">
                  <c:v>87703.180000000008</c:v>
                </c:pt>
                <c:pt idx="1">
                  <c:v>89066.63</c:v>
                </c:pt>
                <c:pt idx="2">
                  <c:v>86315.55</c:v>
                </c:pt>
                <c:pt idx="3">
                  <c:v>56550.460000000006</c:v>
                </c:pt>
              </c:numCache>
            </c:numRef>
          </c:val>
          <c:extLst>
            <c:ext xmlns:c16="http://schemas.microsoft.com/office/drawing/2014/chart" uri="{C3380CC4-5D6E-409C-BE32-E72D297353CC}">
              <c16:uniqueId val="{00000000-E6BE-42E1-99D5-84105B9D0B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[02_powerquery_import (Autosaved).xlsx]Sheet2!PivotTable1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Sum of Revenue</c:v>
                </c:pt>
              </c:strCache>
            </c:strRef>
          </c:tx>
          <c:spPr>
            <a:solidFill>
              <a:schemeClr val="accent1"/>
            </a:solidFill>
            <a:ln>
              <a:noFill/>
            </a:ln>
            <a:effectLst/>
          </c:spPr>
          <c:invertIfNegative val="0"/>
          <c:cat>
            <c:strRef>
              <c:f>Sheet2!$A$4:$A$8</c:f>
              <c:strCache>
                <c:ptCount val="4"/>
                <c:pt idx="0">
                  <c:v>Electronics</c:v>
                </c:pt>
                <c:pt idx="1">
                  <c:v>Home Appliances</c:v>
                </c:pt>
                <c:pt idx="2">
                  <c:v>Industrial Machinery</c:v>
                </c:pt>
                <c:pt idx="3">
                  <c:v>Office Supplies</c:v>
                </c:pt>
              </c:strCache>
            </c:strRef>
          </c:cat>
          <c:val>
            <c:numRef>
              <c:f>Sheet2!$B$4:$B$8</c:f>
              <c:numCache>
                <c:formatCode>General</c:formatCode>
                <c:ptCount val="4"/>
                <c:pt idx="0">
                  <c:v>2935318.6299999976</c:v>
                </c:pt>
                <c:pt idx="1">
                  <c:v>2983573.9900000007</c:v>
                </c:pt>
                <c:pt idx="2">
                  <c:v>2917904.0200000005</c:v>
                </c:pt>
                <c:pt idx="3">
                  <c:v>2882796.4999999991</c:v>
                </c:pt>
              </c:numCache>
            </c:numRef>
          </c:val>
          <c:extLst>
            <c:ext xmlns:c16="http://schemas.microsoft.com/office/drawing/2014/chart" uri="{C3380CC4-5D6E-409C-BE32-E72D297353CC}">
              <c16:uniqueId val="{00000000-A2CA-450C-9B2F-8067C126B9BD}"/>
            </c:ext>
          </c:extLst>
        </c:ser>
        <c:dLbls>
          <c:showLegendKey val="0"/>
          <c:showVal val="0"/>
          <c:showCatName val="0"/>
          <c:showSerName val="0"/>
          <c:showPercent val="0"/>
          <c:showBubbleSize val="0"/>
        </c:dLbls>
        <c:gapWidth val="219"/>
        <c:overlap val="-27"/>
        <c:axId val="479700207"/>
        <c:axId val="479683567"/>
      </c:barChart>
      <c:lineChart>
        <c:grouping val="standard"/>
        <c:varyColors val="0"/>
        <c:ser>
          <c:idx val="1"/>
          <c:order val="1"/>
          <c:tx>
            <c:strRef>
              <c:f>Sheet2!$C$3</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Sheet2!$A$4:$A$8</c:f>
              <c:strCache>
                <c:ptCount val="4"/>
                <c:pt idx="0">
                  <c:v>Electronics</c:v>
                </c:pt>
                <c:pt idx="1">
                  <c:v>Home Appliances</c:v>
                </c:pt>
                <c:pt idx="2">
                  <c:v>Industrial Machinery</c:v>
                </c:pt>
                <c:pt idx="3">
                  <c:v>Office Supplies</c:v>
                </c:pt>
              </c:strCache>
            </c:strRef>
          </c:cat>
          <c:val>
            <c:numRef>
              <c:f>Sheet2!$C$4:$C$8</c:f>
              <c:numCache>
                <c:formatCode>General</c:formatCode>
                <c:ptCount val="4"/>
                <c:pt idx="0">
                  <c:v>12606</c:v>
                </c:pt>
                <c:pt idx="1">
                  <c:v>12643</c:v>
                </c:pt>
                <c:pt idx="2">
                  <c:v>12548</c:v>
                </c:pt>
                <c:pt idx="3">
                  <c:v>12561</c:v>
                </c:pt>
              </c:numCache>
            </c:numRef>
          </c:val>
          <c:smooth val="0"/>
          <c:extLst>
            <c:ext xmlns:c16="http://schemas.microsoft.com/office/drawing/2014/chart" uri="{C3380CC4-5D6E-409C-BE32-E72D297353CC}">
              <c16:uniqueId val="{00000001-A2CA-450C-9B2F-8067C126B9BD}"/>
            </c:ext>
          </c:extLst>
        </c:ser>
        <c:dLbls>
          <c:showLegendKey val="0"/>
          <c:showVal val="0"/>
          <c:showCatName val="0"/>
          <c:showSerName val="0"/>
          <c:showPercent val="0"/>
          <c:showBubbleSize val="0"/>
        </c:dLbls>
        <c:marker val="1"/>
        <c:smooth val="0"/>
        <c:axId val="705496975"/>
        <c:axId val="705511951"/>
      </c:lineChart>
      <c:catAx>
        <c:axId val="47970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83567"/>
        <c:crosses val="autoZero"/>
        <c:auto val="1"/>
        <c:lblAlgn val="ctr"/>
        <c:lblOffset val="100"/>
        <c:noMultiLvlLbl val="0"/>
      </c:catAx>
      <c:valAx>
        <c:axId val="47968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00207"/>
        <c:crosses val="autoZero"/>
        <c:crossBetween val="between"/>
      </c:valAx>
      <c:valAx>
        <c:axId val="7055119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496975"/>
        <c:crosses val="max"/>
        <c:crossBetween val="between"/>
      </c:valAx>
      <c:catAx>
        <c:axId val="705496975"/>
        <c:scaling>
          <c:orientation val="minMax"/>
        </c:scaling>
        <c:delete val="1"/>
        <c:axPos val="b"/>
        <c:numFmt formatCode="General" sourceLinked="1"/>
        <c:majorTickMark val="out"/>
        <c:minorTickMark val="none"/>
        <c:tickLblPos val="nextTo"/>
        <c:crossAx val="705511951"/>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123825</xdr:colOff>
      <xdr:row>1</xdr:row>
      <xdr:rowOff>114300</xdr:rowOff>
    </xdr:from>
    <xdr:to>
      <xdr:col>9</xdr:col>
      <xdr:colOff>428625</xdr:colOff>
      <xdr:row>16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2</xdr:row>
      <xdr:rowOff>9525</xdr:rowOff>
    </xdr:from>
    <xdr:to>
      <xdr:col>7</xdr:col>
      <xdr:colOff>98701</xdr:colOff>
      <xdr:row>5</xdr:row>
      <xdr:rowOff>158025</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33600" y="390525"/>
              <a:ext cx="3137176"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2</xdr:row>
      <xdr:rowOff>0</xdr:rowOff>
    </xdr:from>
    <xdr:to>
      <xdr:col>12</xdr:col>
      <xdr:colOff>222526</xdr:colOff>
      <xdr:row>5</xdr:row>
      <xdr:rowOff>148500</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05425" y="381000"/>
              <a:ext cx="3137176"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5</xdr:row>
      <xdr:rowOff>171450</xdr:rowOff>
    </xdr:from>
    <xdr:to>
      <xdr:col>7</xdr:col>
      <xdr:colOff>295275</xdr:colOff>
      <xdr:row>13</xdr:row>
      <xdr:rowOff>19050</xdr:rowOff>
    </xdr:to>
    <mc:AlternateContent xmlns:mc="http://schemas.openxmlformats.org/markup-compatibility/2006">
      <mc:Choice xmlns:tsle="http://schemas.microsoft.com/office/drawing/2012/timeslicer" Requires="tsle">
        <xdr:graphicFrame macro="">
          <xdr:nvGraphicFramePr>
            <xdr:cNvPr id="6"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724150" y="11239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395287</xdr:colOff>
      <xdr:row>2</xdr:row>
      <xdr:rowOff>38100</xdr:rowOff>
    </xdr:from>
    <xdr:to>
      <xdr:col>11</xdr:col>
      <xdr:colOff>90487</xdr:colOff>
      <xdr:row>16</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o" refreshedDate="46230.539592824076" createdVersion="6" refreshedVersion="6" minRefreshableVersion="3" recordCount="5000">
  <cacheSource type="worksheet">
    <worksheetSource name="ecommerce_supply_chain"/>
  </cacheSource>
  <cacheFields count="9">
    <cacheField name="Transaction_ID" numFmtId="0">
      <sharedItems/>
    </cacheField>
    <cacheField name="Order_Date" numFmtId="22">
      <sharedItems containsSemiMixedTypes="0" containsNonDate="0" containsDate="1" containsString="0" minDate="2025-01-01T00:00:00" maxDate="2025-07-29T00:00:00" count="5000">
        <d v="2025-01-01T00:00:00"/>
        <d v="2025-01-01T01:00:00"/>
        <d v="2025-01-01T02:00:00"/>
        <d v="2025-01-01T03:00:00"/>
        <d v="2025-01-01T04:00:00"/>
        <d v="2025-01-01T05:00:00"/>
        <d v="2025-01-01T06:00:00"/>
        <d v="2025-01-01T07:00:00"/>
        <d v="2025-01-01T08:00:00"/>
        <d v="2025-01-01T09:00:00"/>
        <d v="2025-01-01T10:00:00"/>
        <d v="2025-01-01T11:00:00"/>
        <d v="2025-01-01T12:00:00"/>
        <d v="2025-01-01T13:00:00"/>
        <d v="2025-01-01T14:00:00"/>
        <d v="2025-01-01T15:00:00"/>
        <d v="2025-01-01T16:00:00"/>
        <d v="2025-01-01T17:00:00"/>
        <d v="2025-01-01T18:00:00"/>
        <d v="2025-01-01T19:00:00"/>
        <d v="2025-01-01T20:00:00"/>
        <d v="2025-01-01T21:00:00"/>
        <d v="2025-01-01T22:00:00"/>
        <d v="2025-01-01T23:00:00"/>
        <d v="2025-01-02T00:00:00"/>
        <d v="2025-01-02T01:00:00"/>
        <d v="2025-01-02T02:00:00"/>
        <d v="2025-01-02T03:00:00"/>
        <d v="2025-01-02T04:00:00"/>
        <d v="2025-01-02T05:00:00"/>
        <d v="2025-01-02T06:00:00"/>
        <d v="2025-01-02T07:00:00"/>
        <d v="2025-01-02T08:00:00"/>
        <d v="2025-01-02T09:00:00"/>
        <d v="2025-01-02T10:00:00"/>
        <d v="2025-01-02T11:00:00"/>
        <d v="2025-01-02T12:00:00"/>
        <d v="2025-01-02T13:00:00"/>
        <d v="2025-01-02T14:00:00"/>
        <d v="2025-01-02T15:00:00"/>
        <d v="2025-01-02T16:00:00"/>
        <d v="2025-01-02T17:00:00"/>
        <d v="2025-01-02T18:00:00"/>
        <d v="2025-01-02T19:00:00"/>
        <d v="2025-01-02T20:00:00"/>
        <d v="2025-01-02T21:00:00"/>
        <d v="2025-01-02T22:00:00"/>
        <d v="2025-01-02T23:00:00"/>
        <d v="2025-01-03T00:00:00"/>
        <d v="2025-01-03T01:00:00"/>
        <d v="2025-01-03T02:00:00"/>
        <d v="2025-01-03T03:00:00"/>
        <d v="2025-01-03T04:00:00"/>
        <d v="2025-01-03T05:00:00"/>
        <d v="2025-01-03T06:00:00"/>
        <d v="2025-01-03T07:00:00"/>
        <d v="2025-01-03T08:00:00"/>
        <d v="2025-01-03T09:00:00"/>
        <d v="2025-01-03T10:00:00"/>
        <d v="2025-01-03T11:00:00"/>
        <d v="2025-01-03T12:00:00"/>
        <d v="2025-01-03T13:00:00"/>
        <d v="2025-01-03T14:00:00"/>
        <d v="2025-01-03T15:00:00"/>
        <d v="2025-01-03T16:00:00"/>
        <d v="2025-01-03T17:00:00"/>
        <d v="2025-01-03T18:00:00"/>
        <d v="2025-01-03T19:00:00"/>
        <d v="2025-01-03T20:00:00"/>
        <d v="2025-01-03T21:00:00"/>
        <d v="2025-01-03T22:00:00"/>
        <d v="2025-01-03T23:00:00"/>
        <d v="2025-01-04T00:00:00"/>
        <d v="2025-01-04T01:00:00"/>
        <d v="2025-01-04T02:00:00"/>
        <d v="2025-01-04T03:00:00"/>
        <d v="2025-01-04T04:00:00"/>
        <d v="2025-01-04T05:00:00"/>
        <d v="2025-01-04T06:00:00"/>
        <d v="2025-01-04T07:00:00"/>
        <d v="2025-01-04T08:00:00"/>
        <d v="2025-01-04T09:00:00"/>
        <d v="2025-01-04T10:00:00"/>
        <d v="2025-01-04T11:00:00"/>
        <d v="2025-01-04T12:00:00"/>
        <d v="2025-01-04T13:00:00"/>
        <d v="2025-01-04T14:00:00"/>
        <d v="2025-01-04T15:00:00"/>
        <d v="2025-01-04T16:00:00"/>
        <d v="2025-01-04T17:00:00"/>
        <d v="2025-01-04T18:00:00"/>
        <d v="2025-01-04T19:00:00"/>
        <d v="2025-01-04T20:00:00"/>
        <d v="2025-01-04T21:00:00"/>
        <d v="2025-01-04T22:00:00"/>
        <d v="2025-01-04T23:00:00"/>
        <d v="2025-01-05T00:00:00"/>
        <d v="2025-01-05T01:00:00"/>
        <d v="2025-01-05T02:00:00"/>
        <d v="2025-01-05T03:00:00"/>
        <d v="2025-01-05T04:00:00"/>
        <d v="2025-01-05T05:00:00"/>
        <d v="2025-01-05T06:00:00"/>
        <d v="2025-01-05T07:00:00"/>
        <d v="2025-01-05T08:00:00"/>
        <d v="2025-01-05T09:00:00"/>
        <d v="2025-01-05T10:00:00"/>
        <d v="2025-01-05T11:00:00"/>
        <d v="2025-01-05T12:00:00"/>
        <d v="2025-01-05T13:00:00"/>
        <d v="2025-01-05T14:00:00"/>
        <d v="2025-01-05T15:00:00"/>
        <d v="2025-01-05T16:00:00"/>
        <d v="2025-01-05T17:00:00"/>
        <d v="2025-01-05T18:00:00"/>
        <d v="2025-01-05T19:00:00"/>
        <d v="2025-01-05T20:00:00"/>
        <d v="2025-01-05T21:00:00"/>
        <d v="2025-01-05T22:00:00"/>
        <d v="2025-01-05T23:00:00"/>
        <d v="2025-01-06T00:00:00"/>
        <d v="2025-01-06T01:00:00"/>
        <d v="2025-01-06T02:00:00"/>
        <d v="2025-01-06T03:00:00"/>
        <d v="2025-01-06T04:00:00"/>
        <d v="2025-01-06T05:00:00"/>
        <d v="2025-01-06T06:00:00"/>
        <d v="2025-01-06T07:00:00"/>
        <d v="2025-01-06T08:00:00"/>
        <d v="2025-01-06T09:00:00"/>
        <d v="2025-01-06T10:00:00"/>
        <d v="2025-01-06T11:00:00"/>
        <d v="2025-01-06T12:00:00"/>
        <d v="2025-01-06T13:00:00"/>
        <d v="2025-01-06T14:00:00"/>
        <d v="2025-01-06T15:00:00"/>
        <d v="2025-01-06T16:00:00"/>
        <d v="2025-01-06T17:00:00"/>
        <d v="2025-01-06T18:00:00"/>
        <d v="2025-01-06T19:00:00"/>
        <d v="2025-01-06T20:00:00"/>
        <d v="2025-01-06T21:00:00"/>
        <d v="2025-01-06T22:00:00"/>
        <d v="2025-01-06T23:00:00"/>
        <d v="2025-01-07T00:00:00"/>
        <d v="2025-01-07T01:00:00"/>
        <d v="2025-01-07T02:00:00"/>
        <d v="2025-01-07T03:00:00"/>
        <d v="2025-01-07T04:00:00"/>
        <d v="2025-01-07T05:00:00"/>
        <d v="2025-01-07T06:00:00"/>
        <d v="2025-01-07T07:00:00"/>
        <d v="2025-01-07T08:00:00"/>
        <d v="2025-01-07T09:00:00"/>
        <d v="2025-01-07T10:00:00"/>
        <d v="2025-01-07T11:00:00"/>
        <d v="2025-01-07T12:00:00"/>
        <d v="2025-01-07T13:00:00"/>
        <d v="2025-01-07T14:00:00"/>
        <d v="2025-01-07T15:00:00"/>
        <d v="2025-01-07T16:00:00"/>
        <d v="2025-01-07T17:00:00"/>
        <d v="2025-01-07T18:00:00"/>
        <d v="2025-01-07T19:00:00"/>
        <d v="2025-01-07T20:00:00"/>
        <d v="2025-01-07T21:00:00"/>
        <d v="2025-01-07T22:00:00"/>
        <d v="2025-01-07T23:00:00"/>
        <d v="2025-01-08T00:00:00"/>
        <d v="2025-01-08T01:00:00"/>
        <d v="2025-01-08T02:00:00"/>
        <d v="2025-01-08T03:00:00"/>
        <d v="2025-01-08T04:00:00"/>
        <d v="2025-01-08T05:00:00"/>
        <d v="2025-01-08T06:00:00"/>
        <d v="2025-01-08T07:00:00"/>
        <d v="2025-01-08T08:00:00"/>
        <d v="2025-01-08T09:00:00"/>
        <d v="2025-01-08T10:00:00"/>
        <d v="2025-01-08T11:00:00"/>
        <d v="2025-01-08T12:00:00"/>
        <d v="2025-01-08T13:00:00"/>
        <d v="2025-01-08T14:00:00"/>
        <d v="2025-01-08T15:00:00"/>
        <d v="2025-01-08T16:00:00"/>
        <d v="2025-01-08T17:00:00"/>
        <d v="2025-01-08T18:00:00"/>
        <d v="2025-01-08T19:00:00"/>
        <d v="2025-01-08T20:00:00"/>
        <d v="2025-01-08T21:00:00"/>
        <d v="2025-01-08T22:00:00"/>
        <d v="2025-01-08T23:00:00"/>
        <d v="2025-01-09T00:00:00"/>
        <d v="2025-01-09T01:00:00"/>
        <d v="2025-01-09T02:00:00"/>
        <d v="2025-01-09T03:00:00"/>
        <d v="2025-01-09T04:00:00"/>
        <d v="2025-01-09T05:00:00"/>
        <d v="2025-01-09T06:00:00"/>
        <d v="2025-01-09T07:00:00"/>
        <d v="2025-01-09T08:00:00"/>
        <d v="2025-01-09T09:00:00"/>
        <d v="2025-01-09T10:00:00"/>
        <d v="2025-01-09T11:00:00"/>
        <d v="2025-01-09T12:00:00"/>
        <d v="2025-01-09T13:00:00"/>
        <d v="2025-01-09T14:00:00"/>
        <d v="2025-01-09T15:00:00"/>
        <d v="2025-01-09T16:00:00"/>
        <d v="2025-01-09T17:00:00"/>
        <d v="2025-01-09T18:00:00"/>
        <d v="2025-01-09T19:00:00"/>
        <d v="2025-01-09T20:00:00"/>
        <d v="2025-01-09T21:00:00"/>
        <d v="2025-01-09T22:00:00"/>
        <d v="2025-01-09T23:00:00"/>
        <d v="2025-01-10T00:00:00"/>
        <d v="2025-01-10T01:00:00"/>
        <d v="2025-01-10T02:00:00"/>
        <d v="2025-01-10T03:00:00"/>
        <d v="2025-01-10T04:00:00"/>
        <d v="2025-01-10T05:00:00"/>
        <d v="2025-01-10T06:00:00"/>
        <d v="2025-01-10T07:00:00"/>
        <d v="2025-01-10T08:00:00"/>
        <d v="2025-01-10T09:00:00"/>
        <d v="2025-01-10T10:00:00"/>
        <d v="2025-01-10T11:00:00"/>
        <d v="2025-01-10T12:00:00"/>
        <d v="2025-01-10T13:00:00"/>
        <d v="2025-01-10T14:00:00"/>
        <d v="2025-01-10T15:00:00"/>
        <d v="2025-01-10T16:00:00"/>
        <d v="2025-01-10T17:00:00"/>
        <d v="2025-01-10T18:00:00"/>
        <d v="2025-01-10T19:00:00"/>
        <d v="2025-01-10T20:00:00"/>
        <d v="2025-01-10T21:00:00"/>
        <d v="2025-01-10T22:00:00"/>
        <d v="2025-01-10T23:00:00"/>
        <d v="2025-01-11T00:00:00"/>
        <d v="2025-01-11T01:00:00"/>
        <d v="2025-01-11T02:00:00"/>
        <d v="2025-01-11T03:00:00"/>
        <d v="2025-01-11T04:00:00"/>
        <d v="2025-01-11T05:00:00"/>
        <d v="2025-01-11T06:00:00"/>
        <d v="2025-01-11T07:00:00"/>
        <d v="2025-01-11T08:00:00"/>
        <d v="2025-01-11T09:00:00"/>
        <d v="2025-01-11T10:00:00"/>
        <d v="2025-01-11T11:00:00"/>
        <d v="2025-01-11T12:00:00"/>
        <d v="2025-01-11T13:00:00"/>
        <d v="2025-01-11T14:00:00"/>
        <d v="2025-01-11T15:00:00"/>
        <d v="2025-01-11T16:00:00"/>
        <d v="2025-01-11T17:00:00"/>
        <d v="2025-01-11T18:00:00"/>
        <d v="2025-01-11T19:00:00"/>
        <d v="2025-01-11T20:00:00"/>
        <d v="2025-01-11T21:00:00"/>
        <d v="2025-01-11T22:00:00"/>
        <d v="2025-01-11T23:00:00"/>
        <d v="2025-01-12T00:00:00"/>
        <d v="2025-01-12T01:00:00"/>
        <d v="2025-01-12T02:00:00"/>
        <d v="2025-01-12T03:00:00"/>
        <d v="2025-01-12T04:00:00"/>
        <d v="2025-01-12T05:00:00"/>
        <d v="2025-01-12T06:00:00"/>
        <d v="2025-01-12T07:00:00"/>
        <d v="2025-01-12T08:00:00"/>
        <d v="2025-01-12T09:00:00"/>
        <d v="2025-01-12T10:00:00"/>
        <d v="2025-01-12T11:00:00"/>
        <d v="2025-01-12T12:00:00"/>
        <d v="2025-01-12T13:00:00"/>
        <d v="2025-01-12T14:00:00"/>
        <d v="2025-01-12T15:00:00"/>
        <d v="2025-01-12T16:00:00"/>
        <d v="2025-01-12T17:00:00"/>
        <d v="2025-01-12T18:00:00"/>
        <d v="2025-01-12T19:00:00"/>
        <d v="2025-01-12T20:00:00"/>
        <d v="2025-01-12T21:00:00"/>
        <d v="2025-01-12T22:00:00"/>
        <d v="2025-01-12T23:00:00"/>
        <d v="2025-01-13T00:00:00"/>
        <d v="2025-01-13T01:00:00"/>
        <d v="2025-01-13T02:00:00"/>
        <d v="2025-01-13T03:00:00"/>
        <d v="2025-01-13T04:00:00"/>
        <d v="2025-01-13T05:00:00"/>
        <d v="2025-01-13T06:00:00"/>
        <d v="2025-01-13T07:00:00"/>
        <d v="2025-01-13T08:00:00"/>
        <d v="2025-01-13T09:00:00"/>
        <d v="2025-01-13T10:00:00"/>
        <d v="2025-01-13T11:00:00"/>
        <d v="2025-01-13T12:00:00"/>
        <d v="2025-01-13T13:00:00"/>
        <d v="2025-01-13T14:00:00"/>
        <d v="2025-01-13T15:00:00"/>
        <d v="2025-01-13T16:00:00"/>
        <d v="2025-01-13T17:00:00"/>
        <d v="2025-01-13T18:00:00"/>
        <d v="2025-01-13T19:00:00"/>
        <d v="2025-01-13T20:00:00"/>
        <d v="2025-01-13T21:00:00"/>
        <d v="2025-01-13T22:00:00"/>
        <d v="2025-01-13T23:00:00"/>
        <d v="2025-01-14T00:00:00"/>
        <d v="2025-01-14T01:00:00"/>
        <d v="2025-01-14T02:00:00"/>
        <d v="2025-01-14T03:00:00"/>
        <d v="2025-01-14T04:00:00"/>
        <d v="2025-01-14T05:00:00"/>
        <d v="2025-01-14T06:00:00"/>
        <d v="2025-01-14T07:00:00"/>
        <d v="2025-01-14T08:00:00"/>
        <d v="2025-01-14T09:00:00"/>
        <d v="2025-01-14T10:00:00"/>
        <d v="2025-01-14T11:00:00"/>
        <d v="2025-01-14T12:00:00"/>
        <d v="2025-01-14T13:00:00"/>
        <d v="2025-01-14T14:00:00"/>
        <d v="2025-01-14T15:00:00"/>
        <d v="2025-01-14T16:00:00"/>
        <d v="2025-01-14T17:00:00"/>
        <d v="2025-01-14T18:00:00"/>
        <d v="2025-01-14T19:00:00"/>
        <d v="2025-01-14T20:00:00"/>
        <d v="2025-01-14T21:00:00"/>
        <d v="2025-01-14T22:00:00"/>
        <d v="2025-01-14T23:00:00"/>
        <d v="2025-01-15T00:00:00"/>
        <d v="2025-01-15T01:00:00"/>
        <d v="2025-01-15T02:00:00"/>
        <d v="2025-01-15T03:00:00"/>
        <d v="2025-01-15T04:00:00"/>
        <d v="2025-01-15T05:00:00"/>
        <d v="2025-01-15T06:00:00"/>
        <d v="2025-01-15T07:00:00"/>
        <d v="2025-01-15T08:00:00"/>
        <d v="2025-01-15T09:00:00"/>
        <d v="2025-01-15T10:00:00"/>
        <d v="2025-01-15T11:00:00"/>
        <d v="2025-01-15T12:00:00"/>
        <d v="2025-01-15T13:00:00"/>
        <d v="2025-01-15T14:00:00"/>
        <d v="2025-01-15T15:00:00"/>
        <d v="2025-01-15T16:00:00"/>
        <d v="2025-01-15T17:00:00"/>
        <d v="2025-01-15T18:00:00"/>
        <d v="2025-01-15T19:00:00"/>
        <d v="2025-01-15T20:00:00"/>
        <d v="2025-01-15T21:00:00"/>
        <d v="2025-01-15T22:00:00"/>
        <d v="2025-01-15T23:00:00"/>
        <d v="2025-01-16T00:00:00"/>
        <d v="2025-01-16T01:00:00"/>
        <d v="2025-01-16T02:00:00"/>
        <d v="2025-01-16T03:00:00"/>
        <d v="2025-01-16T04:00:00"/>
        <d v="2025-01-16T05:00:00"/>
        <d v="2025-01-16T06:00:00"/>
        <d v="2025-01-16T07:00:00"/>
        <d v="2025-01-16T08:00:00"/>
        <d v="2025-01-16T09:00:00"/>
        <d v="2025-01-16T10:00:00"/>
        <d v="2025-01-16T11:00:00"/>
        <d v="2025-01-16T12:00:00"/>
        <d v="2025-01-16T13:00:00"/>
        <d v="2025-01-16T14:00:00"/>
        <d v="2025-01-16T15:00:00"/>
        <d v="2025-01-16T16:00:00"/>
        <d v="2025-01-16T17:00:00"/>
        <d v="2025-01-16T18:00:00"/>
        <d v="2025-01-16T19:00:00"/>
        <d v="2025-01-16T20:00:00"/>
        <d v="2025-01-16T21:00:00"/>
        <d v="2025-01-16T22:00:00"/>
        <d v="2025-01-16T23:00:00"/>
        <d v="2025-01-17T00:00:00"/>
        <d v="2025-01-17T01:00:00"/>
        <d v="2025-01-17T02:00:00"/>
        <d v="2025-01-17T03:00:00"/>
        <d v="2025-01-17T04:00:00"/>
        <d v="2025-01-17T05:00:00"/>
        <d v="2025-01-17T06:00:00"/>
        <d v="2025-01-17T07:00:00"/>
        <d v="2025-01-17T08:00:00"/>
        <d v="2025-01-17T09:00:00"/>
        <d v="2025-01-17T10:00:00"/>
        <d v="2025-01-17T11:00:00"/>
        <d v="2025-01-17T12:00:00"/>
        <d v="2025-01-17T13:00:00"/>
        <d v="2025-01-17T14:00:00"/>
        <d v="2025-01-17T15:00:00"/>
        <d v="2025-01-17T16:00:00"/>
        <d v="2025-01-17T17:00:00"/>
        <d v="2025-01-17T18:00:00"/>
        <d v="2025-01-17T19:00:00"/>
        <d v="2025-01-17T20:00:00"/>
        <d v="2025-01-17T21:00:00"/>
        <d v="2025-01-17T22:00:00"/>
        <d v="2025-01-17T23:00:00"/>
        <d v="2025-01-18T00:00:00"/>
        <d v="2025-01-18T01:00:00"/>
        <d v="2025-01-18T02:00:00"/>
        <d v="2025-01-18T03:00:00"/>
        <d v="2025-01-18T04:00:00"/>
        <d v="2025-01-18T05:00:00"/>
        <d v="2025-01-18T06:00:00"/>
        <d v="2025-01-18T07:00:00"/>
        <d v="2025-01-18T08:00:00"/>
        <d v="2025-01-18T09:00:00"/>
        <d v="2025-01-18T10:00:00"/>
        <d v="2025-01-18T11:00:00"/>
        <d v="2025-01-18T12:00:00"/>
        <d v="2025-01-18T13:00:00"/>
        <d v="2025-01-18T14:00:00"/>
        <d v="2025-01-18T15:00:00"/>
        <d v="2025-01-18T16:00:00"/>
        <d v="2025-01-18T17:00:00"/>
        <d v="2025-01-18T18:00:00"/>
        <d v="2025-01-18T19:00:00"/>
        <d v="2025-01-18T20:00:00"/>
        <d v="2025-01-18T21:00:00"/>
        <d v="2025-01-18T22:00:00"/>
        <d v="2025-01-18T23:00:00"/>
        <d v="2025-01-19T00:00:00"/>
        <d v="2025-01-19T01:00:00"/>
        <d v="2025-01-19T02:00:00"/>
        <d v="2025-01-19T03:00:00"/>
        <d v="2025-01-19T04:00:00"/>
        <d v="2025-01-19T05:00:00"/>
        <d v="2025-01-19T06:00:00"/>
        <d v="2025-01-19T07:00:00"/>
        <d v="2025-01-19T08:00:00"/>
        <d v="2025-01-19T09:00:00"/>
        <d v="2025-01-19T10:00:00"/>
        <d v="2025-01-19T11:00:00"/>
        <d v="2025-01-19T12:00:00"/>
        <d v="2025-01-19T13:00:00"/>
        <d v="2025-01-19T14:00:00"/>
        <d v="2025-01-19T15:00:00"/>
        <d v="2025-01-19T16:00:00"/>
        <d v="2025-01-19T17:00:00"/>
        <d v="2025-01-19T18:00:00"/>
        <d v="2025-01-19T19:00:00"/>
        <d v="2025-01-19T20:00:00"/>
        <d v="2025-01-19T21:00:00"/>
        <d v="2025-01-19T22:00:00"/>
        <d v="2025-01-19T23:00:00"/>
        <d v="2025-01-20T00:00:00"/>
        <d v="2025-01-20T01:00:00"/>
        <d v="2025-01-20T02:00:00"/>
        <d v="2025-01-20T03:00:00"/>
        <d v="2025-01-20T04:00:00"/>
        <d v="2025-01-20T05:00:00"/>
        <d v="2025-01-20T06:00:00"/>
        <d v="2025-01-20T07:00:00"/>
        <d v="2025-01-20T08:00:00"/>
        <d v="2025-01-20T09:00:00"/>
        <d v="2025-01-20T10:00:00"/>
        <d v="2025-01-20T11:00:00"/>
        <d v="2025-01-20T12:00:00"/>
        <d v="2025-01-20T13:00:00"/>
        <d v="2025-01-20T14:00:00"/>
        <d v="2025-01-20T15:00:00"/>
        <d v="2025-01-20T16:00:00"/>
        <d v="2025-01-20T17:00:00"/>
        <d v="2025-01-20T18:00:00"/>
        <d v="2025-01-20T19:00:00"/>
        <d v="2025-01-20T20:00:00"/>
        <d v="2025-01-20T21:00:00"/>
        <d v="2025-01-20T22:00:00"/>
        <d v="2025-01-20T23:00:00"/>
        <d v="2025-01-21T00:00:00"/>
        <d v="2025-01-21T01:00:00"/>
        <d v="2025-01-21T02:00:00"/>
        <d v="2025-01-21T03:00:00"/>
        <d v="2025-01-21T04:00:00"/>
        <d v="2025-01-21T05:00:00"/>
        <d v="2025-01-21T06:00:00"/>
        <d v="2025-01-21T07:00:00"/>
        <d v="2025-01-21T08:00:00"/>
        <d v="2025-01-21T09:00:00"/>
        <d v="2025-01-21T10:00:00"/>
        <d v="2025-01-21T11:00:00"/>
        <d v="2025-01-21T12:00:00"/>
        <d v="2025-01-21T13:00:00"/>
        <d v="2025-01-21T14:00:00"/>
        <d v="2025-01-21T15:00:00"/>
        <d v="2025-01-21T16:00:00"/>
        <d v="2025-01-21T17:00:00"/>
        <d v="2025-01-21T18:00:00"/>
        <d v="2025-01-21T19:00:00"/>
        <d v="2025-01-21T20:00:00"/>
        <d v="2025-01-21T21:00:00"/>
        <d v="2025-01-21T22:00:00"/>
        <d v="2025-01-21T23:00:00"/>
        <d v="2025-01-22T00:00:00"/>
        <d v="2025-01-22T01:00:00"/>
        <d v="2025-01-22T02:00:00"/>
        <d v="2025-01-22T03:00:00"/>
        <d v="2025-01-22T04:00:00"/>
        <d v="2025-01-22T05:00:00"/>
        <d v="2025-01-22T06:00:00"/>
        <d v="2025-01-22T07:00:00"/>
        <d v="2025-01-22T08:00:00"/>
        <d v="2025-01-22T09:00:00"/>
        <d v="2025-01-22T10:00:00"/>
        <d v="2025-01-22T11:00:00"/>
        <d v="2025-01-22T12:00:00"/>
        <d v="2025-01-22T13:00:00"/>
        <d v="2025-01-22T14:00:00"/>
        <d v="2025-01-22T15:00:00"/>
        <d v="2025-01-22T16:00:00"/>
        <d v="2025-01-22T17:00:00"/>
        <d v="2025-01-22T18:00:00"/>
        <d v="2025-01-22T19:00:00"/>
        <d v="2025-01-22T20:00:00"/>
        <d v="2025-01-22T21:00:00"/>
        <d v="2025-01-22T22:00:00"/>
        <d v="2025-01-22T23:00:00"/>
        <d v="2025-01-23T00:00:00"/>
        <d v="2025-01-23T01:00:00"/>
        <d v="2025-01-23T02:00:00"/>
        <d v="2025-01-23T03:00:00"/>
        <d v="2025-01-23T04:00:00"/>
        <d v="2025-01-23T05:00:00"/>
        <d v="2025-01-23T06:00:00"/>
        <d v="2025-01-23T07:00:00"/>
        <d v="2025-01-23T08:00:00"/>
        <d v="2025-01-23T09:00:00"/>
        <d v="2025-01-23T10:00:00"/>
        <d v="2025-01-23T11:00:00"/>
        <d v="2025-01-23T12:00:00"/>
        <d v="2025-01-23T13:00:00"/>
        <d v="2025-01-23T14:00:00"/>
        <d v="2025-01-23T15:00:00"/>
        <d v="2025-01-23T16:00:00"/>
        <d v="2025-01-23T17:00:00"/>
        <d v="2025-01-23T18:00:00"/>
        <d v="2025-01-23T19:00:00"/>
        <d v="2025-01-23T20:00:00"/>
        <d v="2025-01-23T21:00:00"/>
        <d v="2025-01-23T22:00:00"/>
        <d v="2025-01-23T23:00:00"/>
        <d v="2025-01-24T00:00:00"/>
        <d v="2025-01-24T01:00:00"/>
        <d v="2025-01-24T02:00:00"/>
        <d v="2025-01-24T03:00:00"/>
        <d v="2025-01-24T04:00:00"/>
        <d v="2025-01-24T05:00:00"/>
        <d v="2025-01-24T06:00:00"/>
        <d v="2025-01-24T07:00:00"/>
        <d v="2025-01-24T08:00:00"/>
        <d v="2025-01-24T09:00:00"/>
        <d v="2025-01-24T10:00:00"/>
        <d v="2025-01-24T11:00:00"/>
        <d v="2025-01-24T12:00:00"/>
        <d v="2025-01-24T13:00:00"/>
        <d v="2025-01-24T14:00:00"/>
        <d v="2025-01-24T15:00:00"/>
        <d v="2025-01-24T16:00:00"/>
        <d v="2025-01-24T17:00:00"/>
        <d v="2025-01-24T18:00:00"/>
        <d v="2025-01-24T19:00:00"/>
        <d v="2025-01-24T20:00:00"/>
        <d v="2025-01-24T21:00:00"/>
        <d v="2025-01-24T22:00:00"/>
        <d v="2025-01-24T23:00:00"/>
        <d v="2025-01-25T00:00:00"/>
        <d v="2025-01-25T01:00:00"/>
        <d v="2025-01-25T02:00:00"/>
        <d v="2025-01-25T03:00:00"/>
        <d v="2025-01-25T04:00:00"/>
        <d v="2025-01-25T05:00:00"/>
        <d v="2025-01-25T06:00:00"/>
        <d v="2025-01-25T07:00:00"/>
        <d v="2025-01-25T08:00:00"/>
        <d v="2025-01-25T09:00:00"/>
        <d v="2025-01-25T10:00:00"/>
        <d v="2025-01-25T11:00:00"/>
        <d v="2025-01-25T12:00:00"/>
        <d v="2025-01-25T13:00:00"/>
        <d v="2025-01-25T14:00:00"/>
        <d v="2025-01-25T15:00:00"/>
        <d v="2025-01-25T16:00:00"/>
        <d v="2025-01-25T17:00:00"/>
        <d v="2025-01-25T18:00:00"/>
        <d v="2025-01-25T19:00:00"/>
        <d v="2025-01-25T20:00:00"/>
        <d v="2025-01-25T21:00:00"/>
        <d v="2025-01-25T22:00:00"/>
        <d v="2025-01-25T23:00:00"/>
        <d v="2025-01-26T00:00:00"/>
        <d v="2025-01-26T01:00:00"/>
        <d v="2025-01-26T02:00:00"/>
        <d v="2025-01-26T03:00:00"/>
        <d v="2025-01-26T04:00:00"/>
        <d v="2025-01-26T05:00:00"/>
        <d v="2025-01-26T06:00:00"/>
        <d v="2025-01-26T07:00:00"/>
        <d v="2025-01-26T08:00:00"/>
        <d v="2025-01-26T09:00:00"/>
        <d v="2025-01-26T10:00:00"/>
        <d v="2025-01-26T11:00:00"/>
        <d v="2025-01-26T12:00:00"/>
        <d v="2025-01-26T13:00:00"/>
        <d v="2025-01-26T14:00:00"/>
        <d v="2025-01-26T15:00:00"/>
        <d v="2025-01-26T16:00:00"/>
        <d v="2025-01-26T17:00:00"/>
        <d v="2025-01-26T18:00:00"/>
        <d v="2025-01-26T19:00:00"/>
        <d v="2025-01-26T20:00:00"/>
        <d v="2025-01-26T21:00:00"/>
        <d v="2025-01-26T22:00:00"/>
        <d v="2025-01-26T23:00:00"/>
        <d v="2025-01-27T00:00:00"/>
        <d v="2025-01-27T01:00:00"/>
        <d v="2025-01-27T02:00:00"/>
        <d v="2025-01-27T03:00:00"/>
        <d v="2025-01-27T04:00:00"/>
        <d v="2025-01-27T05:00:00"/>
        <d v="2025-01-27T06:00:00"/>
        <d v="2025-01-27T07:00:00"/>
        <d v="2025-01-27T08:00:00"/>
        <d v="2025-01-27T09:00:00"/>
        <d v="2025-01-27T10:00:00"/>
        <d v="2025-01-27T11:00:00"/>
        <d v="2025-01-27T12:00:00"/>
        <d v="2025-01-27T13:00:00"/>
        <d v="2025-01-27T14:00:00"/>
        <d v="2025-01-27T15:00:00"/>
        <d v="2025-01-27T16:00:00"/>
        <d v="2025-01-27T17:00:00"/>
        <d v="2025-01-27T18:00:00"/>
        <d v="2025-01-27T19:00:00"/>
        <d v="2025-01-27T20:00:00"/>
        <d v="2025-01-27T21:00:00"/>
        <d v="2025-01-27T22:00:00"/>
        <d v="2025-01-27T23:00:00"/>
        <d v="2025-01-28T00:00:00"/>
        <d v="2025-01-28T01:00:00"/>
        <d v="2025-01-28T02:00:00"/>
        <d v="2025-01-28T03:00:00"/>
        <d v="2025-01-28T04:00:00"/>
        <d v="2025-01-28T05:00:00"/>
        <d v="2025-01-28T06:00:00"/>
        <d v="2025-01-28T07:00:00"/>
        <d v="2025-01-28T08:00:00"/>
        <d v="2025-01-28T09:00:00"/>
        <d v="2025-01-28T10:00:00"/>
        <d v="2025-01-28T11:00:00"/>
        <d v="2025-01-28T12:00:00"/>
        <d v="2025-01-28T13:00:00"/>
        <d v="2025-01-28T14:00:00"/>
        <d v="2025-01-28T15:00:00"/>
        <d v="2025-01-28T16:00:00"/>
        <d v="2025-01-28T17:00:00"/>
        <d v="2025-01-28T18:00:00"/>
        <d v="2025-01-28T19:00:00"/>
        <d v="2025-01-28T20:00:00"/>
        <d v="2025-01-28T21:00:00"/>
        <d v="2025-01-28T22:00:00"/>
        <d v="2025-01-28T23:00:00"/>
        <d v="2025-01-29T00:00:00"/>
        <d v="2025-01-29T01:00:00"/>
        <d v="2025-01-29T02:00:00"/>
        <d v="2025-01-29T03:00:00"/>
        <d v="2025-01-29T04:00:00"/>
        <d v="2025-01-29T05:00:00"/>
        <d v="2025-01-29T06:00:00"/>
        <d v="2025-01-29T07:00:00"/>
        <d v="2025-01-29T08:00:00"/>
        <d v="2025-01-29T09:00:00"/>
        <d v="2025-01-29T10:00:00"/>
        <d v="2025-01-29T11:00:00"/>
        <d v="2025-01-29T12:00:00"/>
        <d v="2025-01-29T13:00:00"/>
        <d v="2025-01-29T14:00:00"/>
        <d v="2025-01-29T15:00:00"/>
        <d v="2025-01-29T16:00:00"/>
        <d v="2025-01-29T17:00:00"/>
        <d v="2025-01-29T18:00:00"/>
        <d v="2025-01-29T19:00:00"/>
        <d v="2025-01-29T20:00:00"/>
        <d v="2025-01-29T21:00:00"/>
        <d v="2025-01-29T22:00:00"/>
        <d v="2025-01-29T23:00:00"/>
        <d v="2025-01-30T00:00:00"/>
        <d v="2025-01-30T01:00:00"/>
        <d v="2025-01-30T02:00:00"/>
        <d v="2025-01-30T03:00:00"/>
        <d v="2025-01-30T04:00:00"/>
        <d v="2025-01-30T05:00:00"/>
        <d v="2025-01-30T06:00:00"/>
        <d v="2025-01-30T07:00:00"/>
        <d v="2025-01-30T08:00:00"/>
        <d v="2025-01-30T09:00:00"/>
        <d v="2025-01-30T10:00:00"/>
        <d v="2025-01-30T11:00:00"/>
        <d v="2025-01-30T12:00:00"/>
        <d v="2025-01-30T13:00:00"/>
        <d v="2025-01-30T14:00:00"/>
        <d v="2025-01-30T15:00:00"/>
        <d v="2025-01-30T16:00:00"/>
        <d v="2025-01-30T17:00:00"/>
        <d v="2025-01-30T18:00:00"/>
        <d v="2025-01-30T19:00:00"/>
        <d v="2025-01-30T20:00:00"/>
        <d v="2025-01-30T21:00:00"/>
        <d v="2025-01-30T22:00:00"/>
        <d v="2025-01-30T23:00:00"/>
        <d v="2025-01-31T00:00:00"/>
        <d v="2025-01-31T01:00:00"/>
        <d v="2025-01-31T02:00:00"/>
        <d v="2025-01-31T03:00:00"/>
        <d v="2025-01-31T04:00:00"/>
        <d v="2025-01-31T05:00:00"/>
        <d v="2025-01-31T06:00:00"/>
        <d v="2025-01-31T07:00:00"/>
        <d v="2025-01-31T08:00:00"/>
        <d v="2025-01-31T09:00:00"/>
        <d v="2025-01-31T10:00:00"/>
        <d v="2025-01-31T11:00:00"/>
        <d v="2025-01-31T12:00:00"/>
        <d v="2025-01-31T13:00:00"/>
        <d v="2025-01-31T14:00:00"/>
        <d v="2025-01-31T15:00:00"/>
        <d v="2025-01-31T16:00:00"/>
        <d v="2025-01-31T17:00:00"/>
        <d v="2025-01-31T18:00:00"/>
        <d v="2025-01-31T19:00:00"/>
        <d v="2025-01-31T20:00:00"/>
        <d v="2025-01-31T21:00:00"/>
        <d v="2025-01-31T22:00:00"/>
        <d v="2025-01-31T23:00:00"/>
        <d v="2025-02-01T00:00:00"/>
        <d v="2025-02-01T01:00:00"/>
        <d v="2025-02-01T02:00:00"/>
        <d v="2025-02-01T03:00:00"/>
        <d v="2025-02-01T04:00:00"/>
        <d v="2025-02-01T05:00:00"/>
        <d v="2025-02-01T06:00:00"/>
        <d v="2025-02-01T07:00:00"/>
        <d v="2025-02-01T08:00:00"/>
        <d v="2025-02-01T09:00:00"/>
        <d v="2025-02-01T10:00:00"/>
        <d v="2025-02-01T11:00:00"/>
        <d v="2025-02-01T12:00:00"/>
        <d v="2025-02-01T13:00:00"/>
        <d v="2025-02-01T14:00:00"/>
        <d v="2025-02-01T15:00:00"/>
        <d v="2025-02-01T16:00:00"/>
        <d v="2025-02-01T17:00:00"/>
        <d v="2025-02-01T18:00:00"/>
        <d v="2025-02-01T19:00:00"/>
        <d v="2025-02-01T20:00:00"/>
        <d v="2025-02-01T21:00:00"/>
        <d v="2025-02-01T22:00:00"/>
        <d v="2025-02-01T23:00:00"/>
        <d v="2025-02-02T00:00:00"/>
        <d v="2025-02-02T01:00:00"/>
        <d v="2025-02-02T02:00:00"/>
        <d v="2025-02-02T03:00:00"/>
        <d v="2025-02-02T04:00:00"/>
        <d v="2025-02-02T05:00:00"/>
        <d v="2025-02-02T06:00:00"/>
        <d v="2025-02-02T07:00:00"/>
        <d v="2025-02-02T08:00:00"/>
        <d v="2025-02-02T09:00:00"/>
        <d v="2025-02-02T10:00:00"/>
        <d v="2025-02-02T11:00:00"/>
        <d v="2025-02-02T12:00:00"/>
        <d v="2025-02-02T13:00:00"/>
        <d v="2025-02-02T14:00:00"/>
        <d v="2025-02-02T15:00:00"/>
        <d v="2025-02-02T16:00:00"/>
        <d v="2025-02-02T17:00:00"/>
        <d v="2025-02-02T18:00:00"/>
        <d v="2025-02-02T19:00:00"/>
        <d v="2025-02-02T20:00:00"/>
        <d v="2025-02-02T21:00:00"/>
        <d v="2025-02-02T22:00:00"/>
        <d v="2025-02-02T23:00:00"/>
        <d v="2025-02-03T00:00:00"/>
        <d v="2025-02-03T01:00:00"/>
        <d v="2025-02-03T02:00:00"/>
        <d v="2025-02-03T03:00:00"/>
        <d v="2025-02-03T04:00:00"/>
        <d v="2025-02-03T05:00:00"/>
        <d v="2025-02-03T06:00:00"/>
        <d v="2025-02-03T07:00:00"/>
        <d v="2025-02-03T08:00:00"/>
        <d v="2025-02-03T09:00:00"/>
        <d v="2025-02-03T10:00:00"/>
        <d v="2025-02-03T11:00:00"/>
        <d v="2025-02-03T12:00:00"/>
        <d v="2025-02-03T13:00:00"/>
        <d v="2025-02-03T14:00:00"/>
        <d v="2025-02-03T15:00:00"/>
        <d v="2025-02-03T16:00:00"/>
        <d v="2025-02-03T17:00:00"/>
        <d v="2025-02-03T18:00:00"/>
        <d v="2025-02-03T19:00:00"/>
        <d v="2025-02-03T20:00:00"/>
        <d v="2025-02-03T21:00:00"/>
        <d v="2025-02-03T22:00:00"/>
        <d v="2025-02-03T23:00:00"/>
        <d v="2025-02-04T00:00:00"/>
        <d v="2025-02-04T01:00:00"/>
        <d v="2025-02-04T02:00:00"/>
        <d v="2025-02-04T03:00:00"/>
        <d v="2025-02-04T04:00:00"/>
        <d v="2025-02-04T05:00:00"/>
        <d v="2025-02-04T06:00:00"/>
        <d v="2025-02-04T07:00:00"/>
        <d v="2025-02-04T08:00:00"/>
        <d v="2025-02-04T09:00:00"/>
        <d v="2025-02-04T10:00:00"/>
        <d v="2025-02-04T11:00:00"/>
        <d v="2025-02-04T12:00:00"/>
        <d v="2025-02-04T13:00:00"/>
        <d v="2025-02-04T14:00:00"/>
        <d v="2025-02-04T15:00:00"/>
        <d v="2025-02-04T16:00:00"/>
        <d v="2025-02-04T17:00:00"/>
        <d v="2025-02-04T18:00:00"/>
        <d v="2025-02-04T19:00:00"/>
        <d v="2025-02-04T20:00:00"/>
        <d v="2025-02-04T21:00:00"/>
        <d v="2025-02-04T22:00:00"/>
        <d v="2025-02-04T23:00:00"/>
        <d v="2025-02-05T00:00:00"/>
        <d v="2025-02-05T01:00:00"/>
        <d v="2025-02-05T02:00:00"/>
        <d v="2025-02-05T03:00:00"/>
        <d v="2025-02-05T04:00:00"/>
        <d v="2025-02-05T05:00:00"/>
        <d v="2025-02-05T06:00:00"/>
        <d v="2025-02-05T07:00:00"/>
        <d v="2025-02-05T08:00:00"/>
        <d v="2025-02-05T09:00:00"/>
        <d v="2025-02-05T10:00:00"/>
        <d v="2025-02-05T11:00:00"/>
        <d v="2025-02-05T12:00:00"/>
        <d v="2025-02-05T13:00:00"/>
        <d v="2025-02-05T14:00:00"/>
        <d v="2025-02-05T15:00:00"/>
        <d v="2025-02-05T16:00:00"/>
        <d v="2025-02-05T17:00:00"/>
        <d v="2025-02-05T18:00:00"/>
        <d v="2025-02-05T19:00:00"/>
        <d v="2025-02-05T20:00:00"/>
        <d v="2025-02-05T21:00:00"/>
        <d v="2025-02-05T22:00:00"/>
        <d v="2025-02-05T23:00:00"/>
        <d v="2025-02-06T00:00:00"/>
        <d v="2025-02-06T01:00:00"/>
        <d v="2025-02-06T02:00:00"/>
        <d v="2025-02-06T03:00:00"/>
        <d v="2025-02-06T04:00:00"/>
        <d v="2025-02-06T05:00:00"/>
        <d v="2025-02-06T06:00:00"/>
        <d v="2025-02-06T07:00:00"/>
        <d v="2025-02-06T08:00:00"/>
        <d v="2025-02-06T09:00:00"/>
        <d v="2025-02-06T10:00:00"/>
        <d v="2025-02-06T11:00:00"/>
        <d v="2025-02-06T12:00:00"/>
        <d v="2025-02-06T13:00:00"/>
        <d v="2025-02-06T14:00:00"/>
        <d v="2025-02-06T15:00:00"/>
        <d v="2025-02-06T16:00:00"/>
        <d v="2025-02-06T17:00:00"/>
        <d v="2025-02-06T18:00:00"/>
        <d v="2025-02-06T19:00:00"/>
        <d v="2025-02-06T20:00:00"/>
        <d v="2025-02-06T21:00:00"/>
        <d v="2025-02-06T22:00:00"/>
        <d v="2025-02-06T23:00:00"/>
        <d v="2025-02-07T00:00:00"/>
        <d v="2025-02-07T01:00:00"/>
        <d v="2025-02-07T02:00:00"/>
        <d v="2025-02-07T03:00:00"/>
        <d v="2025-02-07T04:00:00"/>
        <d v="2025-02-07T05:00:00"/>
        <d v="2025-02-07T06:00:00"/>
        <d v="2025-02-07T07:00:00"/>
        <d v="2025-02-07T08:00:00"/>
        <d v="2025-02-07T09:00:00"/>
        <d v="2025-02-07T10:00:00"/>
        <d v="2025-02-07T11:00:00"/>
        <d v="2025-02-07T12:00:00"/>
        <d v="2025-02-07T13:00:00"/>
        <d v="2025-02-07T14:00:00"/>
        <d v="2025-02-07T15:00:00"/>
        <d v="2025-02-07T16:00:00"/>
        <d v="2025-02-07T17:00:00"/>
        <d v="2025-02-07T18:00:00"/>
        <d v="2025-02-07T19:00:00"/>
        <d v="2025-02-07T20:00:00"/>
        <d v="2025-02-07T21:00:00"/>
        <d v="2025-02-07T22:00:00"/>
        <d v="2025-02-07T23:00:00"/>
        <d v="2025-02-08T00:00:00"/>
        <d v="2025-02-08T01:00:00"/>
        <d v="2025-02-08T02:00:00"/>
        <d v="2025-02-08T03:00:00"/>
        <d v="2025-02-08T04:00:00"/>
        <d v="2025-02-08T05:00:00"/>
        <d v="2025-02-08T06:00:00"/>
        <d v="2025-02-08T07:00:00"/>
        <d v="2025-02-08T08:00:00"/>
        <d v="2025-02-08T09:00:00"/>
        <d v="2025-02-08T10:00:00"/>
        <d v="2025-02-08T11:00:00"/>
        <d v="2025-02-08T12:00:00"/>
        <d v="2025-02-08T13:00:00"/>
        <d v="2025-02-08T14:00:00"/>
        <d v="2025-02-08T15:00:00"/>
        <d v="2025-02-08T16:00:00"/>
        <d v="2025-02-08T17:00:00"/>
        <d v="2025-02-08T18:00:00"/>
        <d v="2025-02-08T19:00:00"/>
        <d v="2025-02-08T20:00:00"/>
        <d v="2025-02-08T21:00:00"/>
        <d v="2025-02-08T22:00:00"/>
        <d v="2025-02-08T23:00:00"/>
        <d v="2025-02-09T00:00:00"/>
        <d v="2025-02-09T01:00:00"/>
        <d v="2025-02-09T02:00:00"/>
        <d v="2025-02-09T03:00:00"/>
        <d v="2025-02-09T04:00:00"/>
        <d v="2025-02-09T05:00:00"/>
        <d v="2025-02-09T06:00:00"/>
        <d v="2025-02-09T07:00:00"/>
        <d v="2025-02-09T08:00:00"/>
        <d v="2025-02-09T09:00:00"/>
        <d v="2025-02-09T10:00:00"/>
        <d v="2025-02-09T11:00:00"/>
        <d v="2025-02-09T12:00:00"/>
        <d v="2025-02-09T13:00:00"/>
        <d v="2025-02-09T14:00:00"/>
        <d v="2025-02-09T15:00:00"/>
        <d v="2025-02-09T16:00:00"/>
        <d v="2025-02-09T17:00:00"/>
        <d v="2025-02-09T18:00:00"/>
        <d v="2025-02-09T19:00:00"/>
        <d v="2025-02-09T20:00:00"/>
        <d v="2025-02-09T21:00:00"/>
        <d v="2025-02-09T22:00:00"/>
        <d v="2025-02-09T23:00:00"/>
        <d v="2025-02-10T00:00:00"/>
        <d v="2025-02-10T01:00:00"/>
        <d v="2025-02-10T02:00:00"/>
        <d v="2025-02-10T03:00:00"/>
        <d v="2025-02-10T04:00:00"/>
        <d v="2025-02-10T05:00:00"/>
        <d v="2025-02-10T06:00:00"/>
        <d v="2025-02-10T07:00:00"/>
        <d v="2025-02-10T08:00:00"/>
        <d v="2025-02-10T09:00:00"/>
        <d v="2025-02-10T10:00:00"/>
        <d v="2025-02-10T11:00:00"/>
        <d v="2025-02-10T12:00:00"/>
        <d v="2025-02-10T13:00:00"/>
        <d v="2025-02-10T14:00:00"/>
        <d v="2025-02-10T15:00:00"/>
        <d v="2025-02-10T16:00:00"/>
        <d v="2025-02-10T17:00:00"/>
        <d v="2025-02-10T18:00:00"/>
        <d v="2025-02-10T19:00:00"/>
        <d v="2025-02-10T20:00:00"/>
        <d v="2025-02-10T21:00:00"/>
        <d v="2025-02-10T22:00:00"/>
        <d v="2025-02-10T23:00:00"/>
        <d v="2025-02-11T00:00:00"/>
        <d v="2025-02-11T01:00:00"/>
        <d v="2025-02-11T02:00:00"/>
        <d v="2025-02-11T03:00:00"/>
        <d v="2025-02-11T04:00:00"/>
        <d v="2025-02-11T05:00:00"/>
        <d v="2025-02-11T06:00:00"/>
        <d v="2025-02-11T07:00:00"/>
        <d v="2025-02-11T08:00:00"/>
        <d v="2025-02-11T09:00:00"/>
        <d v="2025-02-11T10:00:00"/>
        <d v="2025-02-11T11:00:00"/>
        <d v="2025-02-11T12:00:00"/>
        <d v="2025-02-11T13:00:00"/>
        <d v="2025-02-11T14:00:00"/>
        <d v="2025-02-11T15:00:00"/>
        <d v="2025-02-11T16:00:00"/>
        <d v="2025-02-11T17:00:00"/>
        <d v="2025-02-11T18:00:00"/>
        <d v="2025-02-11T19:00:00"/>
        <d v="2025-02-11T20:00:00"/>
        <d v="2025-02-11T21:00:00"/>
        <d v="2025-02-11T22:00:00"/>
        <d v="2025-02-11T23:00:00"/>
        <d v="2025-02-12T00:00:00"/>
        <d v="2025-02-12T01:00:00"/>
        <d v="2025-02-12T02:00:00"/>
        <d v="2025-02-12T03:00:00"/>
        <d v="2025-02-12T04:00:00"/>
        <d v="2025-02-12T05:00:00"/>
        <d v="2025-02-12T06:00:00"/>
        <d v="2025-02-12T07:00:00"/>
        <d v="2025-02-12T08:00:00"/>
        <d v="2025-02-12T09:00:00"/>
        <d v="2025-02-12T10:00:00"/>
        <d v="2025-02-12T11:00:00"/>
        <d v="2025-02-12T12:00:00"/>
        <d v="2025-02-12T13:00:00"/>
        <d v="2025-02-12T14:00:00"/>
        <d v="2025-02-12T15:00:00"/>
        <d v="2025-02-12T16:00:00"/>
        <d v="2025-02-12T17:00:00"/>
        <d v="2025-02-12T18:00:00"/>
        <d v="2025-02-12T19:00:00"/>
        <d v="2025-02-12T20:00:00"/>
        <d v="2025-02-12T21:00:00"/>
        <d v="2025-02-12T22:00:00"/>
        <d v="2025-02-12T23:00:00"/>
        <d v="2025-02-13T00:00:00"/>
        <d v="2025-02-13T01:00:00"/>
        <d v="2025-02-13T02:00:00"/>
        <d v="2025-02-13T03:00:00"/>
        <d v="2025-02-13T04:00:00"/>
        <d v="2025-02-13T05:00:00"/>
        <d v="2025-02-13T06:00:00"/>
        <d v="2025-02-13T07:00:00"/>
        <d v="2025-02-13T08:00:00"/>
        <d v="2025-02-13T09:00:00"/>
        <d v="2025-02-13T10:00:00"/>
        <d v="2025-02-13T11:00:00"/>
        <d v="2025-02-13T12:00:00"/>
        <d v="2025-02-13T13:00:00"/>
        <d v="2025-02-13T14:00:00"/>
        <d v="2025-02-13T15:00:00"/>
        <d v="2025-02-13T16:00:00"/>
        <d v="2025-02-13T17:00:00"/>
        <d v="2025-02-13T18:00:00"/>
        <d v="2025-02-13T19:00:00"/>
        <d v="2025-02-13T20:00:00"/>
        <d v="2025-02-13T21:00:00"/>
        <d v="2025-02-13T22:00:00"/>
        <d v="2025-02-13T23:00:00"/>
        <d v="2025-02-14T00:00:00"/>
        <d v="2025-02-14T01:00:00"/>
        <d v="2025-02-14T02:00:00"/>
        <d v="2025-02-14T03:00:00"/>
        <d v="2025-02-14T04:00:00"/>
        <d v="2025-02-14T05:00:00"/>
        <d v="2025-02-14T06:00:00"/>
        <d v="2025-02-14T07:00:00"/>
        <d v="2025-02-14T08:00:00"/>
        <d v="2025-02-14T09:00:00"/>
        <d v="2025-02-14T10:00:00"/>
        <d v="2025-02-14T11:00:00"/>
        <d v="2025-02-14T12:00:00"/>
        <d v="2025-02-14T13:00:00"/>
        <d v="2025-02-14T14:00:00"/>
        <d v="2025-02-14T15:00:00"/>
        <d v="2025-02-14T16:00:00"/>
        <d v="2025-02-14T17:00:00"/>
        <d v="2025-02-14T18:00:00"/>
        <d v="2025-02-14T19:00:00"/>
        <d v="2025-02-14T20:00:00"/>
        <d v="2025-02-14T21:00:00"/>
        <d v="2025-02-14T22:00:00"/>
        <d v="2025-02-14T23:00:00"/>
        <d v="2025-02-15T00:00:00"/>
        <d v="2025-02-15T01:00:00"/>
        <d v="2025-02-15T02:00:00"/>
        <d v="2025-02-15T03:00:00"/>
        <d v="2025-02-15T04:00:00"/>
        <d v="2025-02-15T05:00:00"/>
        <d v="2025-02-15T06:00:00"/>
        <d v="2025-02-15T07:00:00"/>
        <d v="2025-02-15T08:00:00"/>
        <d v="2025-02-15T09:00:00"/>
        <d v="2025-02-15T10:00:00"/>
        <d v="2025-02-15T11:00:00"/>
        <d v="2025-02-15T12:00:00"/>
        <d v="2025-02-15T13:00:00"/>
        <d v="2025-02-15T14:00:00"/>
        <d v="2025-02-15T15:00:00"/>
        <d v="2025-02-15T16:00:00"/>
        <d v="2025-02-15T17:00:00"/>
        <d v="2025-02-15T18:00:00"/>
        <d v="2025-02-15T19:00:00"/>
        <d v="2025-02-15T20:00:00"/>
        <d v="2025-02-15T21:00:00"/>
        <d v="2025-02-15T22:00:00"/>
        <d v="2025-02-15T23:00:00"/>
        <d v="2025-02-16T00:00:00"/>
        <d v="2025-02-16T01:00:00"/>
        <d v="2025-02-16T02:00:00"/>
        <d v="2025-02-16T03:00:00"/>
        <d v="2025-02-16T04:00:00"/>
        <d v="2025-02-16T05:00:00"/>
        <d v="2025-02-16T06:00:00"/>
        <d v="2025-02-16T07:00:00"/>
        <d v="2025-02-16T08:00:00"/>
        <d v="2025-02-16T09:00:00"/>
        <d v="2025-02-16T10:00:00"/>
        <d v="2025-02-16T11:00:00"/>
        <d v="2025-02-16T12:00:00"/>
        <d v="2025-02-16T13:00:00"/>
        <d v="2025-02-16T14:00:00"/>
        <d v="2025-02-16T15:00:00"/>
        <d v="2025-02-16T16:00:00"/>
        <d v="2025-02-16T17:00:00"/>
        <d v="2025-02-16T18:00:00"/>
        <d v="2025-02-16T19:00:00"/>
        <d v="2025-02-16T20:00:00"/>
        <d v="2025-02-16T21:00:00"/>
        <d v="2025-02-16T22:00:00"/>
        <d v="2025-02-16T23:00:00"/>
        <d v="2025-02-17T00:00:00"/>
        <d v="2025-02-17T01:00:00"/>
        <d v="2025-02-17T02:00:00"/>
        <d v="2025-02-17T03:00:00"/>
        <d v="2025-02-17T04:00:00"/>
        <d v="2025-02-17T05:00:00"/>
        <d v="2025-02-17T06:00:00"/>
        <d v="2025-02-17T07:00:00"/>
        <d v="2025-02-17T08:00:00"/>
        <d v="2025-02-17T09:00:00"/>
        <d v="2025-02-17T10:00:00"/>
        <d v="2025-02-17T11:00:00"/>
        <d v="2025-02-17T12:00:00"/>
        <d v="2025-02-17T13:00:00"/>
        <d v="2025-02-17T14:00:00"/>
        <d v="2025-02-17T15:00:00"/>
        <d v="2025-02-17T16:00:00"/>
        <d v="2025-02-17T17:00:00"/>
        <d v="2025-02-17T18:00:00"/>
        <d v="2025-02-17T19:00:00"/>
        <d v="2025-02-17T20:00:00"/>
        <d v="2025-02-17T21:00:00"/>
        <d v="2025-02-17T22:00:00"/>
        <d v="2025-02-17T23:00:00"/>
        <d v="2025-02-18T00:00:00"/>
        <d v="2025-02-18T01:00:00"/>
        <d v="2025-02-18T02:00:00"/>
        <d v="2025-02-18T03:00:00"/>
        <d v="2025-02-18T04:00:00"/>
        <d v="2025-02-18T05:00:00"/>
        <d v="2025-02-18T06:00:00"/>
        <d v="2025-02-18T07:00:00"/>
        <d v="2025-02-18T08:00:00"/>
        <d v="2025-02-18T09:00:00"/>
        <d v="2025-02-18T10:00:00"/>
        <d v="2025-02-18T11:00:00"/>
        <d v="2025-02-18T12:00:00"/>
        <d v="2025-02-18T13:00:00"/>
        <d v="2025-02-18T14:00:00"/>
        <d v="2025-02-18T15:00:00"/>
        <d v="2025-02-18T16:00:00"/>
        <d v="2025-02-18T17:00:00"/>
        <d v="2025-02-18T18:00:00"/>
        <d v="2025-02-18T19:00:00"/>
        <d v="2025-02-18T20:00:00"/>
        <d v="2025-02-18T21:00:00"/>
        <d v="2025-02-18T22:00:00"/>
        <d v="2025-02-18T23:00:00"/>
        <d v="2025-02-19T00:00:00"/>
        <d v="2025-02-19T01:00:00"/>
        <d v="2025-02-19T02:00:00"/>
        <d v="2025-02-19T03:00:00"/>
        <d v="2025-02-19T04:00:00"/>
        <d v="2025-02-19T05:00:00"/>
        <d v="2025-02-19T06:00:00"/>
        <d v="2025-02-19T07:00:00"/>
        <d v="2025-02-19T08:00:00"/>
        <d v="2025-02-19T09:00:00"/>
        <d v="2025-02-19T10:00:00"/>
        <d v="2025-02-19T11:00:00"/>
        <d v="2025-02-19T12:00:00"/>
        <d v="2025-02-19T13:00:00"/>
        <d v="2025-02-19T14:00:00"/>
        <d v="2025-02-19T15:00:00"/>
        <d v="2025-02-19T16:00:00"/>
        <d v="2025-02-19T17:00:00"/>
        <d v="2025-02-19T18:00:00"/>
        <d v="2025-02-19T19:00:00"/>
        <d v="2025-02-19T20:00:00"/>
        <d v="2025-02-19T21:00:00"/>
        <d v="2025-02-19T22:00:00"/>
        <d v="2025-02-19T23:00:00"/>
        <d v="2025-02-20T00:00:00"/>
        <d v="2025-02-20T01:00:00"/>
        <d v="2025-02-20T02:00:00"/>
        <d v="2025-02-20T03:00:00"/>
        <d v="2025-02-20T04:00:00"/>
        <d v="2025-02-20T05:00:00"/>
        <d v="2025-02-20T06:00:00"/>
        <d v="2025-02-20T07:00:00"/>
        <d v="2025-02-20T08:00:00"/>
        <d v="2025-02-20T09:00:00"/>
        <d v="2025-02-20T10:00:00"/>
        <d v="2025-02-20T11:00:00"/>
        <d v="2025-02-20T12:00:00"/>
        <d v="2025-02-20T13:00:00"/>
        <d v="2025-02-20T14:00:00"/>
        <d v="2025-02-20T15:00:00"/>
        <d v="2025-02-20T16:00:00"/>
        <d v="2025-02-20T17:00:00"/>
        <d v="2025-02-20T18:00:00"/>
        <d v="2025-02-20T19:00:00"/>
        <d v="2025-02-20T20:00:00"/>
        <d v="2025-02-20T21:00:00"/>
        <d v="2025-02-20T22:00:00"/>
        <d v="2025-02-20T23:00:00"/>
        <d v="2025-02-21T00:00:00"/>
        <d v="2025-02-21T01:00:00"/>
        <d v="2025-02-21T02:00:00"/>
        <d v="2025-02-21T03:00:00"/>
        <d v="2025-02-21T04:00:00"/>
        <d v="2025-02-21T05:00:00"/>
        <d v="2025-02-21T06:00:00"/>
        <d v="2025-02-21T07:00:00"/>
        <d v="2025-02-21T08:00:00"/>
        <d v="2025-02-21T09:00:00"/>
        <d v="2025-02-21T10:00:00"/>
        <d v="2025-02-21T11:00:00"/>
        <d v="2025-02-21T12:00:00"/>
        <d v="2025-02-21T13:00:00"/>
        <d v="2025-02-21T14:00:00"/>
        <d v="2025-02-21T15:00:00"/>
        <d v="2025-02-21T16:00:00"/>
        <d v="2025-02-21T17:00:00"/>
        <d v="2025-02-21T18:00:00"/>
        <d v="2025-02-21T19:00:00"/>
        <d v="2025-02-21T20:00:00"/>
        <d v="2025-02-21T21:00:00"/>
        <d v="2025-02-21T22:00:00"/>
        <d v="2025-02-21T23:00:00"/>
        <d v="2025-02-22T00:00:00"/>
        <d v="2025-02-22T01:00:00"/>
        <d v="2025-02-22T02:00:00"/>
        <d v="2025-02-22T03:00:00"/>
        <d v="2025-02-22T04:00:00"/>
        <d v="2025-02-22T05:00:00"/>
        <d v="2025-02-22T06:00:00"/>
        <d v="2025-02-22T07:00:00"/>
        <d v="2025-02-22T08:00:00"/>
        <d v="2025-02-22T09:00:00"/>
        <d v="2025-02-22T10:00:00"/>
        <d v="2025-02-22T11:00:00"/>
        <d v="2025-02-22T12:00:00"/>
        <d v="2025-02-22T13:00:00"/>
        <d v="2025-02-22T14:00:00"/>
        <d v="2025-02-22T15:00:00"/>
        <d v="2025-02-22T16:00:00"/>
        <d v="2025-02-22T17:00:00"/>
        <d v="2025-02-22T18:00:00"/>
        <d v="2025-02-22T19:00:00"/>
        <d v="2025-02-22T20:00:00"/>
        <d v="2025-02-22T21:00:00"/>
        <d v="2025-02-22T22:00:00"/>
        <d v="2025-02-22T23:00:00"/>
        <d v="2025-02-23T00:00:00"/>
        <d v="2025-02-23T01:00:00"/>
        <d v="2025-02-23T02:00:00"/>
        <d v="2025-02-23T03:00:00"/>
        <d v="2025-02-23T04:00:00"/>
        <d v="2025-02-23T05:00:00"/>
        <d v="2025-02-23T06:00:00"/>
        <d v="2025-02-23T07:00:00"/>
        <d v="2025-02-23T08:00:00"/>
        <d v="2025-02-23T09:00:00"/>
        <d v="2025-02-23T10:00:00"/>
        <d v="2025-02-23T11:00:00"/>
        <d v="2025-02-23T12:00:00"/>
        <d v="2025-02-23T13:00:00"/>
        <d v="2025-02-23T14:00:00"/>
        <d v="2025-02-23T15:00:00"/>
        <d v="2025-02-23T16:00:00"/>
        <d v="2025-02-23T17:00:00"/>
        <d v="2025-02-23T18:00:00"/>
        <d v="2025-02-23T19:00:00"/>
        <d v="2025-02-23T20:00:00"/>
        <d v="2025-02-23T21:00:00"/>
        <d v="2025-02-23T22:00:00"/>
        <d v="2025-02-23T23:00:00"/>
        <d v="2025-02-24T00:00:00"/>
        <d v="2025-02-24T01:00:00"/>
        <d v="2025-02-24T02:00:00"/>
        <d v="2025-02-24T03:00:00"/>
        <d v="2025-02-24T04:00:00"/>
        <d v="2025-02-24T05:00:00"/>
        <d v="2025-02-24T06:00:00"/>
        <d v="2025-02-24T07:00:00"/>
        <d v="2025-02-24T08:00:00"/>
        <d v="2025-02-24T09:00:00"/>
        <d v="2025-02-24T10:00:00"/>
        <d v="2025-02-24T11:00:00"/>
        <d v="2025-02-24T12:00:00"/>
        <d v="2025-02-24T13:00:00"/>
        <d v="2025-02-24T14:00:00"/>
        <d v="2025-02-24T15:00:00"/>
        <d v="2025-02-24T16:00:00"/>
        <d v="2025-02-24T17:00:00"/>
        <d v="2025-02-24T18:00:00"/>
        <d v="2025-02-24T19:00:00"/>
        <d v="2025-02-24T20:00:00"/>
        <d v="2025-02-24T21:00:00"/>
        <d v="2025-02-24T22:00:00"/>
        <d v="2025-02-24T23:00:00"/>
        <d v="2025-02-25T00:00:00"/>
        <d v="2025-02-25T01:00:00"/>
        <d v="2025-02-25T02:00:00"/>
        <d v="2025-02-25T03:00:00"/>
        <d v="2025-02-25T04:00:00"/>
        <d v="2025-02-25T05:00:00"/>
        <d v="2025-02-25T06:00:00"/>
        <d v="2025-02-25T07:00:00"/>
        <d v="2025-02-25T08:00:00"/>
        <d v="2025-02-25T09:00:00"/>
        <d v="2025-02-25T10:00:00"/>
        <d v="2025-02-25T11:00:00"/>
        <d v="2025-02-25T12:00:00"/>
        <d v="2025-02-25T13:00:00"/>
        <d v="2025-02-25T14:00:00"/>
        <d v="2025-02-25T15:00:00"/>
        <d v="2025-02-25T16:00:00"/>
        <d v="2025-02-25T17:00:00"/>
        <d v="2025-02-25T18:00:00"/>
        <d v="2025-02-25T19:00:00"/>
        <d v="2025-02-25T20:00:00"/>
        <d v="2025-02-25T21:00:00"/>
        <d v="2025-02-25T22:00:00"/>
        <d v="2025-02-25T23:00:00"/>
        <d v="2025-02-26T00:00:00"/>
        <d v="2025-02-26T01:00:00"/>
        <d v="2025-02-26T02:00:00"/>
        <d v="2025-02-26T03:00:00"/>
        <d v="2025-02-26T04:00:00"/>
        <d v="2025-02-26T05:00:00"/>
        <d v="2025-02-26T06:00:00"/>
        <d v="2025-02-26T07:00:00"/>
        <d v="2025-02-26T08:00:00"/>
        <d v="2025-02-26T09:00:00"/>
        <d v="2025-02-26T10:00:00"/>
        <d v="2025-02-26T11:00:00"/>
        <d v="2025-02-26T12:00:00"/>
        <d v="2025-02-26T13:00:00"/>
        <d v="2025-02-26T14:00:00"/>
        <d v="2025-02-26T15:00:00"/>
        <d v="2025-02-26T16:00:00"/>
        <d v="2025-02-26T17:00:00"/>
        <d v="2025-02-26T18:00:00"/>
        <d v="2025-02-26T19:00:00"/>
        <d v="2025-02-26T20:00:00"/>
        <d v="2025-02-26T21:00:00"/>
        <d v="2025-02-26T22:00:00"/>
        <d v="2025-02-26T23:00:00"/>
        <d v="2025-02-27T00:00:00"/>
        <d v="2025-02-27T01:00:00"/>
        <d v="2025-02-27T02:00:00"/>
        <d v="2025-02-27T03:00:00"/>
        <d v="2025-02-27T04:00:00"/>
        <d v="2025-02-27T05:00:00"/>
        <d v="2025-02-27T06:00:00"/>
        <d v="2025-02-27T07:00:00"/>
        <d v="2025-02-27T08:00:00"/>
        <d v="2025-02-27T09:00:00"/>
        <d v="2025-02-27T10:00:00"/>
        <d v="2025-02-27T11:00:00"/>
        <d v="2025-02-27T12:00:00"/>
        <d v="2025-02-27T13:00:00"/>
        <d v="2025-02-27T14:00:00"/>
        <d v="2025-02-27T15:00:00"/>
        <d v="2025-02-27T16:00:00"/>
        <d v="2025-02-27T17:00:00"/>
        <d v="2025-02-27T18:00:00"/>
        <d v="2025-02-27T19:00:00"/>
        <d v="2025-02-27T20:00:00"/>
        <d v="2025-02-27T21:00:00"/>
        <d v="2025-02-27T22:00:00"/>
        <d v="2025-02-27T23:00:00"/>
        <d v="2025-02-28T00:00:00"/>
        <d v="2025-02-28T01:00:00"/>
        <d v="2025-02-28T02:00:00"/>
        <d v="2025-02-28T03:00:00"/>
        <d v="2025-02-28T04:00:00"/>
        <d v="2025-02-28T05:00:00"/>
        <d v="2025-02-28T06:00:00"/>
        <d v="2025-02-28T07:00:00"/>
        <d v="2025-02-28T08:00:00"/>
        <d v="2025-02-28T09:00:00"/>
        <d v="2025-02-28T10:00:00"/>
        <d v="2025-02-28T11:00:00"/>
        <d v="2025-02-28T12:00:00"/>
        <d v="2025-02-28T13:00:00"/>
        <d v="2025-02-28T14:00:00"/>
        <d v="2025-02-28T15:00:00"/>
        <d v="2025-02-28T16:00:00"/>
        <d v="2025-02-28T17:00:00"/>
        <d v="2025-02-28T18:00:00"/>
        <d v="2025-02-28T19:00:00"/>
        <d v="2025-02-28T20:00:00"/>
        <d v="2025-02-28T21:00:00"/>
        <d v="2025-02-28T22:00:00"/>
        <d v="2025-02-28T23:00:00"/>
        <d v="2025-03-01T00:00:00"/>
        <d v="2025-03-01T01:00:00"/>
        <d v="2025-03-01T02:00:00"/>
        <d v="2025-03-01T03:00:00"/>
        <d v="2025-03-01T04:00:00"/>
        <d v="2025-03-01T05:00:00"/>
        <d v="2025-03-01T06:00:00"/>
        <d v="2025-03-01T07:00:00"/>
        <d v="2025-03-01T08:00:00"/>
        <d v="2025-03-01T09:00:00"/>
        <d v="2025-03-01T10:00:00"/>
        <d v="2025-03-01T11:00:00"/>
        <d v="2025-03-01T12:00:00"/>
        <d v="2025-03-01T13:00:00"/>
        <d v="2025-03-01T14:00:00"/>
        <d v="2025-03-01T15:00:00"/>
        <d v="2025-03-01T16:00:00"/>
        <d v="2025-03-01T17:00:00"/>
        <d v="2025-03-01T18:00:00"/>
        <d v="2025-03-01T19:00:00"/>
        <d v="2025-03-01T20:00:00"/>
        <d v="2025-03-01T21:00:00"/>
        <d v="2025-03-01T22:00:00"/>
        <d v="2025-03-01T23:00:00"/>
        <d v="2025-03-02T00:00:00"/>
        <d v="2025-03-02T01:00:00"/>
        <d v="2025-03-02T02:00:00"/>
        <d v="2025-03-02T03:00:00"/>
        <d v="2025-03-02T04:00:00"/>
        <d v="2025-03-02T05:00:00"/>
        <d v="2025-03-02T06:00:00"/>
        <d v="2025-03-02T07:00:00"/>
        <d v="2025-03-02T08:00:00"/>
        <d v="2025-03-02T09:00:00"/>
        <d v="2025-03-02T10:00:00"/>
        <d v="2025-03-02T11:00:00"/>
        <d v="2025-03-02T12:00:00"/>
        <d v="2025-03-02T13:00:00"/>
        <d v="2025-03-02T14:00:00"/>
        <d v="2025-03-02T15:00:00"/>
        <d v="2025-03-02T16:00:00"/>
        <d v="2025-03-02T17:00:00"/>
        <d v="2025-03-02T18:00:00"/>
        <d v="2025-03-02T19:00:00"/>
        <d v="2025-03-02T20:00:00"/>
        <d v="2025-03-02T21:00:00"/>
        <d v="2025-03-02T22:00:00"/>
        <d v="2025-03-02T23:00:00"/>
        <d v="2025-03-03T00:00:00"/>
        <d v="2025-03-03T01:00:00"/>
        <d v="2025-03-03T02:00:00"/>
        <d v="2025-03-03T03:00:00"/>
        <d v="2025-03-03T04:00:00"/>
        <d v="2025-03-03T05:00:00"/>
        <d v="2025-03-03T06:00:00"/>
        <d v="2025-03-03T07:00:00"/>
        <d v="2025-03-03T08:00:00"/>
        <d v="2025-03-03T09:00:00"/>
        <d v="2025-03-03T10:00:00"/>
        <d v="2025-03-03T11:00:00"/>
        <d v="2025-03-03T12:00:00"/>
        <d v="2025-03-03T13:00:00"/>
        <d v="2025-03-03T14:00:00"/>
        <d v="2025-03-03T15:00:00"/>
        <d v="2025-03-03T16:00:00"/>
        <d v="2025-03-03T17:00:00"/>
        <d v="2025-03-03T18:00:00"/>
        <d v="2025-03-03T19:00:00"/>
        <d v="2025-03-03T20:00:00"/>
        <d v="2025-03-03T21:00:00"/>
        <d v="2025-03-03T22:00:00"/>
        <d v="2025-03-03T23:00:00"/>
        <d v="2025-03-04T00:00:00"/>
        <d v="2025-03-04T01:00:00"/>
        <d v="2025-03-04T02:00:00"/>
        <d v="2025-03-04T03:00:00"/>
        <d v="2025-03-04T04:00:00"/>
        <d v="2025-03-04T05:00:00"/>
        <d v="2025-03-04T06:00:00"/>
        <d v="2025-03-04T07:00:00"/>
        <d v="2025-03-04T08:00:00"/>
        <d v="2025-03-04T09:00:00"/>
        <d v="2025-03-04T10:00:00"/>
        <d v="2025-03-04T11:00:00"/>
        <d v="2025-03-04T12:00:00"/>
        <d v="2025-03-04T13:00:00"/>
        <d v="2025-03-04T14:00:00"/>
        <d v="2025-03-04T15:00:00"/>
        <d v="2025-03-04T16:00:00"/>
        <d v="2025-03-04T17:00:00"/>
        <d v="2025-03-04T18:00:00"/>
        <d v="2025-03-04T19:00:00"/>
        <d v="2025-03-04T20:00:00"/>
        <d v="2025-03-04T21:00:00"/>
        <d v="2025-03-04T22:00:00"/>
        <d v="2025-03-04T23:00:00"/>
        <d v="2025-03-05T00:00:00"/>
        <d v="2025-03-05T01:00:00"/>
        <d v="2025-03-05T02:00:00"/>
        <d v="2025-03-05T03:00:00"/>
        <d v="2025-03-05T04:00:00"/>
        <d v="2025-03-05T05:00:00"/>
        <d v="2025-03-05T06:00:00"/>
        <d v="2025-03-05T07:00:00"/>
        <d v="2025-03-05T08:00:00"/>
        <d v="2025-03-05T09:00:00"/>
        <d v="2025-03-05T10:00:00"/>
        <d v="2025-03-05T11:00:00"/>
        <d v="2025-03-05T12:00:00"/>
        <d v="2025-03-05T13:00:00"/>
        <d v="2025-03-05T14:00:00"/>
        <d v="2025-03-05T15:00:00"/>
        <d v="2025-03-05T16:00:00"/>
        <d v="2025-03-05T17:00:00"/>
        <d v="2025-03-05T18:00:00"/>
        <d v="2025-03-05T19:00:00"/>
        <d v="2025-03-05T20:00:00"/>
        <d v="2025-03-05T21:00:00"/>
        <d v="2025-03-05T22:00:00"/>
        <d v="2025-03-05T23:00:00"/>
        <d v="2025-03-06T00:00:00"/>
        <d v="2025-03-06T01:00:00"/>
        <d v="2025-03-06T02:00:00"/>
        <d v="2025-03-06T03:00:00"/>
        <d v="2025-03-06T04:00:00"/>
        <d v="2025-03-06T05:00:00"/>
        <d v="2025-03-06T06:00:00"/>
        <d v="2025-03-06T07:00:00"/>
        <d v="2025-03-06T08:00:00"/>
        <d v="2025-03-06T09:00:00"/>
        <d v="2025-03-06T10:00:00"/>
        <d v="2025-03-06T11:00:00"/>
        <d v="2025-03-06T12:00:00"/>
        <d v="2025-03-06T13:00:00"/>
        <d v="2025-03-06T14:00:00"/>
        <d v="2025-03-06T15:00:00"/>
        <d v="2025-03-06T16:00:00"/>
        <d v="2025-03-06T17:00:00"/>
        <d v="2025-03-06T18:00:00"/>
        <d v="2025-03-06T19:00:00"/>
        <d v="2025-03-06T20:00:00"/>
        <d v="2025-03-06T21:00:00"/>
        <d v="2025-03-06T22:00:00"/>
        <d v="2025-03-06T23:00:00"/>
        <d v="2025-03-07T00:00:00"/>
        <d v="2025-03-07T01:00:00"/>
        <d v="2025-03-07T02:00:00"/>
        <d v="2025-03-07T03:00:00"/>
        <d v="2025-03-07T04:00:00"/>
        <d v="2025-03-07T05:00:00"/>
        <d v="2025-03-07T06:00:00"/>
        <d v="2025-03-07T07:00:00"/>
        <d v="2025-03-07T08:00:00"/>
        <d v="2025-03-07T09:00:00"/>
        <d v="2025-03-07T10:00:00"/>
        <d v="2025-03-07T11:00:00"/>
        <d v="2025-03-07T12:00:00"/>
        <d v="2025-03-07T13:00:00"/>
        <d v="2025-03-07T14:00:00"/>
        <d v="2025-03-07T15:00:00"/>
        <d v="2025-03-07T16:00:00"/>
        <d v="2025-03-07T17:00:00"/>
        <d v="2025-03-07T18:00:00"/>
        <d v="2025-03-07T19:00:00"/>
        <d v="2025-03-07T20:00:00"/>
        <d v="2025-03-07T21:00:00"/>
        <d v="2025-03-07T22:00:00"/>
        <d v="2025-03-07T23:00:00"/>
        <d v="2025-03-08T00:00:00"/>
        <d v="2025-03-08T01:00:00"/>
        <d v="2025-03-08T02:00:00"/>
        <d v="2025-03-08T03:00:00"/>
        <d v="2025-03-08T04:00:00"/>
        <d v="2025-03-08T05:00:00"/>
        <d v="2025-03-08T06:00:00"/>
        <d v="2025-03-08T07:00:00"/>
        <d v="2025-03-08T08:00:00"/>
        <d v="2025-03-08T09:00:00"/>
        <d v="2025-03-08T10:00:00"/>
        <d v="2025-03-08T11:00:00"/>
        <d v="2025-03-08T12:00:00"/>
        <d v="2025-03-08T13:00:00"/>
        <d v="2025-03-08T14:00:00"/>
        <d v="2025-03-08T15:00:00"/>
        <d v="2025-03-08T16:00:00"/>
        <d v="2025-03-08T17:00:00"/>
        <d v="2025-03-08T18:00:00"/>
        <d v="2025-03-08T19:00:00"/>
        <d v="2025-03-08T20:00:00"/>
        <d v="2025-03-08T21:00:00"/>
        <d v="2025-03-08T22:00:00"/>
        <d v="2025-03-08T23:00:00"/>
        <d v="2025-03-09T00:00:00"/>
        <d v="2025-03-09T01:00:00"/>
        <d v="2025-03-09T02:00:00"/>
        <d v="2025-03-09T03:00:00"/>
        <d v="2025-03-09T04:00:00"/>
        <d v="2025-03-09T05:00:00"/>
        <d v="2025-03-09T06:00:00"/>
        <d v="2025-03-09T07:00:00"/>
        <d v="2025-03-09T08:00:00"/>
        <d v="2025-03-09T09:00:00"/>
        <d v="2025-03-09T10:00:00"/>
        <d v="2025-03-09T11:00:00"/>
        <d v="2025-03-09T12:00:00"/>
        <d v="2025-03-09T13:00:00"/>
        <d v="2025-03-09T14:00:00"/>
        <d v="2025-03-09T15:00:00"/>
        <d v="2025-03-09T16:00:00"/>
        <d v="2025-03-09T17:00:00"/>
        <d v="2025-03-09T18:00:00"/>
        <d v="2025-03-09T19:00:00"/>
        <d v="2025-03-09T20:00:00"/>
        <d v="2025-03-09T21:00:00"/>
        <d v="2025-03-09T22:00:00"/>
        <d v="2025-03-09T23:00:00"/>
        <d v="2025-03-10T00:00:00"/>
        <d v="2025-03-10T01:00:00"/>
        <d v="2025-03-10T02:00:00"/>
        <d v="2025-03-10T03:00:00"/>
        <d v="2025-03-10T04:00:00"/>
        <d v="2025-03-10T05:00:00"/>
        <d v="2025-03-10T06:00:00"/>
        <d v="2025-03-10T07:00:00"/>
        <d v="2025-03-10T08:00:00"/>
        <d v="2025-03-10T09:00:00"/>
        <d v="2025-03-10T10:00:00"/>
        <d v="2025-03-10T11:00:00"/>
        <d v="2025-03-10T12:00:00"/>
        <d v="2025-03-10T13:00:00"/>
        <d v="2025-03-10T14:00:00"/>
        <d v="2025-03-10T15:00:00"/>
        <d v="2025-03-10T16:00:00"/>
        <d v="2025-03-10T17:00:00"/>
        <d v="2025-03-10T18:00:00"/>
        <d v="2025-03-10T19:00:00"/>
        <d v="2025-03-10T20:00:00"/>
        <d v="2025-03-10T21:00:00"/>
        <d v="2025-03-10T22:00:00"/>
        <d v="2025-03-10T23:00:00"/>
        <d v="2025-03-11T00:00:00"/>
        <d v="2025-03-11T01:00:00"/>
        <d v="2025-03-11T02:00:00"/>
        <d v="2025-03-11T03:00:00"/>
        <d v="2025-03-11T04:00:00"/>
        <d v="2025-03-11T05:00:00"/>
        <d v="2025-03-11T06:00:00"/>
        <d v="2025-03-11T07:00:00"/>
        <d v="2025-03-11T08:00:00"/>
        <d v="2025-03-11T09:00:00"/>
        <d v="2025-03-11T10:00:00"/>
        <d v="2025-03-11T11:00:00"/>
        <d v="2025-03-11T12:00:00"/>
        <d v="2025-03-11T13:00:00"/>
        <d v="2025-03-11T14:00:00"/>
        <d v="2025-03-11T15:00:00"/>
        <d v="2025-03-11T16:00:00"/>
        <d v="2025-03-11T17:00:00"/>
        <d v="2025-03-11T18:00:00"/>
        <d v="2025-03-11T19:00:00"/>
        <d v="2025-03-11T20:00:00"/>
        <d v="2025-03-11T21:00:00"/>
        <d v="2025-03-11T22:00:00"/>
        <d v="2025-03-11T23:00:00"/>
        <d v="2025-03-12T00:00:00"/>
        <d v="2025-03-12T01:00:00"/>
        <d v="2025-03-12T02:00:00"/>
        <d v="2025-03-12T03:00:00"/>
        <d v="2025-03-12T04:00:00"/>
        <d v="2025-03-12T05:00:00"/>
        <d v="2025-03-12T06:00:00"/>
        <d v="2025-03-12T07:00:00"/>
        <d v="2025-03-12T08:00:00"/>
        <d v="2025-03-12T09:00:00"/>
        <d v="2025-03-12T10:00:00"/>
        <d v="2025-03-12T11:00:00"/>
        <d v="2025-03-12T12:00:00"/>
        <d v="2025-03-12T13:00:00"/>
        <d v="2025-03-12T14:00:00"/>
        <d v="2025-03-12T15:00:00"/>
        <d v="2025-03-12T16:00:00"/>
        <d v="2025-03-12T17:00:00"/>
        <d v="2025-03-12T18:00:00"/>
        <d v="2025-03-12T19:00:00"/>
        <d v="2025-03-12T20:00:00"/>
        <d v="2025-03-12T21:00:00"/>
        <d v="2025-03-12T22:00:00"/>
        <d v="2025-03-12T23:00:00"/>
        <d v="2025-03-13T00:00:00"/>
        <d v="2025-03-13T01:00:00"/>
        <d v="2025-03-13T02:00:00"/>
        <d v="2025-03-13T03:00:00"/>
        <d v="2025-03-13T04:00:00"/>
        <d v="2025-03-13T05:00:00"/>
        <d v="2025-03-13T06:00:00"/>
        <d v="2025-03-13T07:00:00"/>
        <d v="2025-03-13T08:00:00"/>
        <d v="2025-03-13T09:00:00"/>
        <d v="2025-03-13T10:00:00"/>
        <d v="2025-03-13T11:00:00"/>
        <d v="2025-03-13T12:00:00"/>
        <d v="2025-03-13T13:00:00"/>
        <d v="2025-03-13T14:00:00"/>
        <d v="2025-03-13T15:00:00"/>
        <d v="2025-03-13T16:00:00"/>
        <d v="2025-03-13T17:00:00"/>
        <d v="2025-03-13T18:00:00"/>
        <d v="2025-03-13T19:00:00"/>
        <d v="2025-03-13T20:00:00"/>
        <d v="2025-03-13T21:00:00"/>
        <d v="2025-03-13T22:00:00"/>
        <d v="2025-03-13T23:00:00"/>
        <d v="2025-03-14T00:00:00"/>
        <d v="2025-03-14T01:00:00"/>
        <d v="2025-03-14T02:00:00"/>
        <d v="2025-03-14T03:00:00"/>
        <d v="2025-03-14T04:00:00"/>
        <d v="2025-03-14T05:00:00"/>
        <d v="2025-03-14T06:00:00"/>
        <d v="2025-03-14T07:00:00"/>
        <d v="2025-03-14T08:00:00"/>
        <d v="2025-03-14T09:00:00"/>
        <d v="2025-03-14T10:00:00"/>
        <d v="2025-03-14T11:00:00"/>
        <d v="2025-03-14T12:00:00"/>
        <d v="2025-03-14T13:00:00"/>
        <d v="2025-03-14T14:00:00"/>
        <d v="2025-03-14T15:00:00"/>
        <d v="2025-03-14T16:00:00"/>
        <d v="2025-03-14T17:00:00"/>
        <d v="2025-03-14T18:00:00"/>
        <d v="2025-03-14T19:00:00"/>
        <d v="2025-03-14T20:00:00"/>
        <d v="2025-03-14T21:00:00"/>
        <d v="2025-03-14T22:00:00"/>
        <d v="2025-03-14T23:00:00"/>
        <d v="2025-03-15T00:00:00"/>
        <d v="2025-03-15T01:00:00"/>
        <d v="2025-03-15T02:00:00"/>
        <d v="2025-03-15T03:00:00"/>
        <d v="2025-03-15T04:00:00"/>
        <d v="2025-03-15T05:00:00"/>
        <d v="2025-03-15T06:00:00"/>
        <d v="2025-03-15T07:00:00"/>
        <d v="2025-03-15T08:00:00"/>
        <d v="2025-03-15T09:00:00"/>
        <d v="2025-03-15T10:00:00"/>
        <d v="2025-03-15T11:00:00"/>
        <d v="2025-03-15T12:00:00"/>
        <d v="2025-03-15T13:00:00"/>
        <d v="2025-03-15T14:00:00"/>
        <d v="2025-03-15T15:00:00"/>
        <d v="2025-03-15T16:00:00"/>
        <d v="2025-03-15T17:00:00"/>
        <d v="2025-03-15T18:00:00"/>
        <d v="2025-03-15T19:00:00"/>
        <d v="2025-03-15T20:00:00"/>
        <d v="2025-03-15T21:00:00"/>
        <d v="2025-03-15T22:00:00"/>
        <d v="2025-03-15T23:00:00"/>
        <d v="2025-03-16T00:00:00"/>
        <d v="2025-03-16T01:00:00"/>
        <d v="2025-03-16T02:00:00"/>
        <d v="2025-03-16T03:00:00"/>
        <d v="2025-03-16T04:00:00"/>
        <d v="2025-03-16T05:00:00"/>
        <d v="2025-03-16T06:00:00"/>
        <d v="2025-03-16T07:00:00"/>
        <d v="2025-03-16T08:00:00"/>
        <d v="2025-03-16T09:00:00"/>
        <d v="2025-03-16T10:00:00"/>
        <d v="2025-03-16T11:00:00"/>
        <d v="2025-03-16T12:00:00"/>
        <d v="2025-03-16T13:00:00"/>
        <d v="2025-03-16T14:00:00"/>
        <d v="2025-03-16T15:00:00"/>
        <d v="2025-03-16T16:00:00"/>
        <d v="2025-03-16T17:00:00"/>
        <d v="2025-03-16T18:00:00"/>
        <d v="2025-03-16T19:00:00"/>
        <d v="2025-03-16T20:00:00"/>
        <d v="2025-03-16T21:00:00"/>
        <d v="2025-03-16T22:00:00"/>
        <d v="2025-03-16T23:00:00"/>
        <d v="2025-03-17T00:00:00"/>
        <d v="2025-03-17T01:00:00"/>
        <d v="2025-03-17T02:00:00"/>
        <d v="2025-03-17T03:00:00"/>
        <d v="2025-03-17T04:00:00"/>
        <d v="2025-03-17T05:00:00"/>
        <d v="2025-03-17T06:00:00"/>
        <d v="2025-03-17T07:00:00"/>
        <d v="2025-03-17T08:00:00"/>
        <d v="2025-03-17T09:00:00"/>
        <d v="2025-03-17T10:00:00"/>
        <d v="2025-03-17T11:00:00"/>
        <d v="2025-03-17T12:00:00"/>
        <d v="2025-03-17T13:00:00"/>
        <d v="2025-03-17T14:00:00"/>
        <d v="2025-03-17T15:00:00"/>
        <d v="2025-03-17T16:00:00"/>
        <d v="2025-03-17T17:00:00"/>
        <d v="2025-03-17T18:00:00"/>
        <d v="2025-03-17T19:00:00"/>
        <d v="2025-03-17T20:00:00"/>
        <d v="2025-03-17T21:00:00"/>
        <d v="2025-03-17T22:00:00"/>
        <d v="2025-03-17T23:00:00"/>
        <d v="2025-03-18T00:00:00"/>
        <d v="2025-03-18T01:00:00"/>
        <d v="2025-03-18T02:00:00"/>
        <d v="2025-03-18T03:00:00"/>
        <d v="2025-03-18T04:00:00"/>
        <d v="2025-03-18T05:00:00"/>
        <d v="2025-03-18T06:00:00"/>
        <d v="2025-03-18T07:00:00"/>
        <d v="2025-03-18T08:00:00"/>
        <d v="2025-03-18T09:00:00"/>
        <d v="2025-03-18T10:00:00"/>
        <d v="2025-03-18T11:00:00"/>
        <d v="2025-03-18T12:00:00"/>
        <d v="2025-03-18T13:00:00"/>
        <d v="2025-03-18T14:00:00"/>
        <d v="2025-03-18T15:00:00"/>
        <d v="2025-03-18T16:00:00"/>
        <d v="2025-03-18T17:00:00"/>
        <d v="2025-03-18T18:00:00"/>
        <d v="2025-03-18T19:00:00"/>
        <d v="2025-03-18T20:00:00"/>
        <d v="2025-03-18T21:00:00"/>
        <d v="2025-03-18T22:00:00"/>
        <d v="2025-03-18T23:00:00"/>
        <d v="2025-03-19T00:00:00"/>
        <d v="2025-03-19T01:00:00"/>
        <d v="2025-03-19T02:00:00"/>
        <d v="2025-03-19T03:00:00"/>
        <d v="2025-03-19T04:00:00"/>
        <d v="2025-03-19T05:00:00"/>
        <d v="2025-03-19T06:00:00"/>
        <d v="2025-03-19T07:00:00"/>
        <d v="2025-03-19T08:00:00"/>
        <d v="2025-03-19T09:00:00"/>
        <d v="2025-03-19T10:00:00"/>
        <d v="2025-03-19T11:00:00"/>
        <d v="2025-03-19T12:00:00"/>
        <d v="2025-03-19T13:00:00"/>
        <d v="2025-03-19T14:00:00"/>
        <d v="2025-03-19T15:00:00"/>
        <d v="2025-03-19T16:00:00"/>
        <d v="2025-03-19T17:00:00"/>
        <d v="2025-03-19T18:00:00"/>
        <d v="2025-03-19T19:00:00"/>
        <d v="2025-03-19T20:00:00"/>
        <d v="2025-03-19T21:00:00"/>
        <d v="2025-03-19T22:00:00"/>
        <d v="2025-03-19T23:00:00"/>
        <d v="2025-03-20T00:00:00"/>
        <d v="2025-03-20T01:00:00"/>
        <d v="2025-03-20T02:00:00"/>
        <d v="2025-03-20T03:00:00"/>
        <d v="2025-03-20T04:00:00"/>
        <d v="2025-03-20T05:00:00"/>
        <d v="2025-03-20T06:00:00"/>
        <d v="2025-03-20T07:00:00"/>
        <d v="2025-03-20T08:00:00"/>
        <d v="2025-03-20T09:00:00"/>
        <d v="2025-03-20T10:00:00"/>
        <d v="2025-03-20T11:00:00"/>
        <d v="2025-03-20T12:00:00"/>
        <d v="2025-03-20T13:00:00"/>
        <d v="2025-03-20T14:00:00"/>
        <d v="2025-03-20T15:00:00"/>
        <d v="2025-03-20T16:00:00"/>
        <d v="2025-03-20T17:00:00"/>
        <d v="2025-03-20T18:00:00"/>
        <d v="2025-03-20T19:00:00"/>
        <d v="2025-03-20T20:00:00"/>
        <d v="2025-03-20T21:00:00"/>
        <d v="2025-03-20T22:00:00"/>
        <d v="2025-03-20T23:00:00"/>
        <d v="2025-03-21T00:00:00"/>
        <d v="2025-03-21T01:00:00"/>
        <d v="2025-03-21T02:00:00"/>
        <d v="2025-03-21T03:00:00"/>
        <d v="2025-03-21T04:00:00"/>
        <d v="2025-03-21T05:00:00"/>
        <d v="2025-03-21T06:00:00"/>
        <d v="2025-03-21T07:00:00"/>
        <d v="2025-03-21T08:00:00"/>
        <d v="2025-03-21T09:00:00"/>
        <d v="2025-03-21T10:00:00"/>
        <d v="2025-03-21T11:00:00"/>
        <d v="2025-03-21T12:00:00"/>
        <d v="2025-03-21T13:00:00"/>
        <d v="2025-03-21T14:00:00"/>
        <d v="2025-03-21T15:00:00"/>
        <d v="2025-03-21T16:00:00"/>
        <d v="2025-03-21T17:00:00"/>
        <d v="2025-03-21T18:00:00"/>
        <d v="2025-03-21T19:00:00"/>
        <d v="2025-03-21T20:00:00"/>
        <d v="2025-03-21T21:00:00"/>
        <d v="2025-03-21T22:00:00"/>
        <d v="2025-03-21T23:00:00"/>
        <d v="2025-03-22T00:00:00"/>
        <d v="2025-03-22T01:00:00"/>
        <d v="2025-03-22T02:00:00"/>
        <d v="2025-03-22T03:00:00"/>
        <d v="2025-03-22T04:00:00"/>
        <d v="2025-03-22T05:00:00"/>
        <d v="2025-03-22T06:00:00"/>
        <d v="2025-03-22T07:00:00"/>
        <d v="2025-03-22T08:00:00"/>
        <d v="2025-03-22T09:00:00"/>
        <d v="2025-03-22T10:00:00"/>
        <d v="2025-03-22T11:00:00"/>
        <d v="2025-03-22T12:00:00"/>
        <d v="2025-03-22T13:00:00"/>
        <d v="2025-03-22T14:00:00"/>
        <d v="2025-03-22T15:00:00"/>
        <d v="2025-03-22T16:00:00"/>
        <d v="2025-03-22T17:00:00"/>
        <d v="2025-03-22T18:00:00"/>
        <d v="2025-03-22T19:00:00"/>
        <d v="2025-03-22T20:00:00"/>
        <d v="2025-03-22T21:00:00"/>
        <d v="2025-03-22T22:00:00"/>
        <d v="2025-03-22T23:00:00"/>
        <d v="2025-03-23T00:00:00"/>
        <d v="2025-03-23T01:00:00"/>
        <d v="2025-03-23T02:00:00"/>
        <d v="2025-03-23T03:00:00"/>
        <d v="2025-03-23T04:00:00"/>
        <d v="2025-03-23T05:00:00"/>
        <d v="2025-03-23T06:00:00"/>
        <d v="2025-03-23T07:00:00"/>
        <d v="2025-03-23T08:00:00"/>
        <d v="2025-03-23T09:00:00"/>
        <d v="2025-03-23T10:00:00"/>
        <d v="2025-03-23T11:00:00"/>
        <d v="2025-03-23T12:00:00"/>
        <d v="2025-03-23T13:00:00"/>
        <d v="2025-03-23T14:00:00"/>
        <d v="2025-03-23T15:00:00"/>
        <d v="2025-03-23T16:00:00"/>
        <d v="2025-03-23T17:00:00"/>
        <d v="2025-03-23T18:00:00"/>
        <d v="2025-03-23T19:00:00"/>
        <d v="2025-03-23T20:00:00"/>
        <d v="2025-03-23T21:00:00"/>
        <d v="2025-03-23T22:00:00"/>
        <d v="2025-03-23T23:00:00"/>
        <d v="2025-03-24T00:00:00"/>
        <d v="2025-03-24T01:00:00"/>
        <d v="2025-03-24T02:00:00"/>
        <d v="2025-03-24T03:00:00"/>
        <d v="2025-03-24T04:00:00"/>
        <d v="2025-03-24T05:00:00"/>
        <d v="2025-03-24T06:00:00"/>
        <d v="2025-03-24T07:00:00"/>
        <d v="2025-03-24T08:00:00"/>
        <d v="2025-03-24T09:00:00"/>
        <d v="2025-03-24T10:00:00"/>
        <d v="2025-03-24T11:00:00"/>
        <d v="2025-03-24T12:00:00"/>
        <d v="2025-03-24T13:00:00"/>
        <d v="2025-03-24T14:00:00"/>
        <d v="2025-03-24T15:00:00"/>
        <d v="2025-03-24T16:00:00"/>
        <d v="2025-03-24T17:00:00"/>
        <d v="2025-03-24T18:00:00"/>
        <d v="2025-03-24T19:00:00"/>
        <d v="2025-03-24T20:00:00"/>
        <d v="2025-03-24T21:00:00"/>
        <d v="2025-03-24T22:00:00"/>
        <d v="2025-03-24T23:00:00"/>
        <d v="2025-03-25T00:00:00"/>
        <d v="2025-03-25T01:00:00"/>
        <d v="2025-03-25T02:00:00"/>
        <d v="2025-03-25T03:00:00"/>
        <d v="2025-03-25T04:00:00"/>
        <d v="2025-03-25T05:00:00"/>
        <d v="2025-03-25T06:00:00"/>
        <d v="2025-03-25T07:00:00"/>
        <d v="2025-03-25T08:00:00"/>
        <d v="2025-03-25T09:00:00"/>
        <d v="2025-03-25T10:00:00"/>
        <d v="2025-03-25T11:00:00"/>
        <d v="2025-03-25T12:00:00"/>
        <d v="2025-03-25T13:00:00"/>
        <d v="2025-03-25T14:00:00"/>
        <d v="2025-03-25T15:00:00"/>
        <d v="2025-03-25T16:00:00"/>
        <d v="2025-03-25T17:00:00"/>
        <d v="2025-03-25T18:00:00"/>
        <d v="2025-03-25T19:00:00"/>
        <d v="2025-03-25T20:00:00"/>
        <d v="2025-03-25T21:00:00"/>
        <d v="2025-03-25T22:00:00"/>
        <d v="2025-03-25T23:00:00"/>
        <d v="2025-03-26T00:00:00"/>
        <d v="2025-03-26T01:00:00"/>
        <d v="2025-03-26T02:00:00"/>
        <d v="2025-03-26T03:00:00"/>
        <d v="2025-03-26T04:00:00"/>
        <d v="2025-03-26T05:00:00"/>
        <d v="2025-03-26T06:00:00"/>
        <d v="2025-03-26T07:00:00"/>
        <d v="2025-03-26T08:00:00"/>
        <d v="2025-03-26T09:00:00"/>
        <d v="2025-03-26T10:00:00"/>
        <d v="2025-03-26T11:00:00"/>
        <d v="2025-03-26T12:00:00"/>
        <d v="2025-03-26T13:00:00"/>
        <d v="2025-03-26T14:00:00"/>
        <d v="2025-03-26T15:00:00"/>
        <d v="2025-03-26T16:00:00"/>
        <d v="2025-03-26T17:00:00"/>
        <d v="2025-03-26T18:00:00"/>
        <d v="2025-03-26T19:00:00"/>
        <d v="2025-03-26T20:00:00"/>
        <d v="2025-03-26T21:00:00"/>
        <d v="2025-03-26T22:00:00"/>
        <d v="2025-03-26T23:00:00"/>
        <d v="2025-03-27T00:00:00"/>
        <d v="2025-03-27T01:00:00"/>
        <d v="2025-03-27T02:00:00"/>
        <d v="2025-03-27T03:00:00"/>
        <d v="2025-03-27T04:00:00"/>
        <d v="2025-03-27T05:00:00"/>
        <d v="2025-03-27T06:00:00"/>
        <d v="2025-03-27T07:00:00"/>
        <d v="2025-03-27T08:00:00"/>
        <d v="2025-03-27T09:00:00"/>
        <d v="2025-03-27T10:00:00"/>
        <d v="2025-03-27T11:00:00"/>
        <d v="2025-03-27T12:00:00"/>
        <d v="2025-03-27T13:00:00"/>
        <d v="2025-03-27T14:00:00"/>
        <d v="2025-03-27T15:00:00"/>
        <d v="2025-03-27T16:00:00"/>
        <d v="2025-03-27T17:00:00"/>
        <d v="2025-03-27T18:00:00"/>
        <d v="2025-03-27T19:00:00"/>
        <d v="2025-03-27T20:00:00"/>
        <d v="2025-03-27T21:00:00"/>
        <d v="2025-03-27T22:00:00"/>
        <d v="2025-03-27T23:00:00"/>
        <d v="2025-03-28T00:00:00"/>
        <d v="2025-03-28T01:00:00"/>
        <d v="2025-03-28T02:00:00"/>
        <d v="2025-03-28T03:00:00"/>
        <d v="2025-03-28T04:00:00"/>
        <d v="2025-03-28T05:00:00"/>
        <d v="2025-03-28T06:00:00"/>
        <d v="2025-03-28T07:00:00"/>
        <d v="2025-03-28T08:00:00"/>
        <d v="2025-03-28T09:00:00"/>
        <d v="2025-03-28T10:00:00"/>
        <d v="2025-03-28T11:00:00"/>
        <d v="2025-03-28T12:00:00"/>
        <d v="2025-03-28T13:00:00"/>
        <d v="2025-03-28T14:00:00"/>
        <d v="2025-03-28T15:00:00"/>
        <d v="2025-03-28T16:00:00"/>
        <d v="2025-03-28T17:00:00"/>
        <d v="2025-03-28T18:00:00"/>
        <d v="2025-03-28T19:00:00"/>
        <d v="2025-03-28T20:00:00"/>
        <d v="2025-03-28T21:00:00"/>
        <d v="2025-03-28T22:00:00"/>
        <d v="2025-03-28T23:00:00"/>
        <d v="2025-03-29T00:00:00"/>
        <d v="2025-03-29T01:00:00"/>
        <d v="2025-03-29T02:00:00"/>
        <d v="2025-03-29T03:00:00"/>
        <d v="2025-03-29T04:00:00"/>
        <d v="2025-03-29T05:00:00"/>
        <d v="2025-03-29T06:00:00"/>
        <d v="2025-03-29T07:00:00"/>
        <d v="2025-03-29T08:00:00"/>
        <d v="2025-03-29T09:00:00"/>
        <d v="2025-03-29T10:00:00"/>
        <d v="2025-03-29T11:00:00"/>
        <d v="2025-03-29T12:00:00"/>
        <d v="2025-03-29T13:00:00"/>
        <d v="2025-03-29T14:00:00"/>
        <d v="2025-03-29T15:00:00"/>
        <d v="2025-03-29T16:00:00"/>
        <d v="2025-03-29T17:00:00"/>
        <d v="2025-03-29T18:00:00"/>
        <d v="2025-03-29T19:00:00"/>
        <d v="2025-03-29T20:00:00"/>
        <d v="2025-03-29T21:00:00"/>
        <d v="2025-03-29T22:00:00"/>
        <d v="2025-03-29T23:00:00"/>
        <d v="2025-03-30T00:00:00"/>
        <d v="2025-03-30T01:00:00"/>
        <d v="2025-03-30T02:00:00"/>
        <d v="2025-03-30T03:00:00"/>
        <d v="2025-03-30T04:00:00"/>
        <d v="2025-03-30T05:00:00"/>
        <d v="2025-03-30T06:00:00"/>
        <d v="2025-03-30T07:00:00"/>
        <d v="2025-03-30T08:00:00"/>
        <d v="2025-03-30T09:00:00"/>
        <d v="2025-03-30T10:00:00"/>
        <d v="2025-03-30T11:00:00"/>
        <d v="2025-03-30T12:00:00"/>
        <d v="2025-03-30T13:00:00"/>
        <d v="2025-03-30T14:00:00"/>
        <d v="2025-03-30T15:00:00"/>
        <d v="2025-03-30T16:00:00"/>
        <d v="2025-03-30T17:00:00"/>
        <d v="2025-03-30T18:00:00"/>
        <d v="2025-03-30T19:00:00"/>
        <d v="2025-03-30T20:00:00"/>
        <d v="2025-03-30T21:00:00"/>
        <d v="2025-03-30T22:00:00"/>
        <d v="2025-03-30T23:00:00"/>
        <d v="2025-03-31T00:00:00"/>
        <d v="2025-03-31T01:00:00"/>
        <d v="2025-03-31T02:00:00"/>
        <d v="2025-03-31T03:00:00"/>
        <d v="2025-03-31T04:00:00"/>
        <d v="2025-03-31T05:00:00"/>
        <d v="2025-03-31T06:00:00"/>
        <d v="2025-03-31T07:00:00"/>
        <d v="2025-03-31T08:00:00"/>
        <d v="2025-03-31T09:00:00"/>
        <d v="2025-03-31T10:00:00"/>
        <d v="2025-03-31T11:00:00"/>
        <d v="2025-03-31T12:00:00"/>
        <d v="2025-03-31T13:00:00"/>
        <d v="2025-03-31T14:00:00"/>
        <d v="2025-03-31T15:00:00"/>
        <d v="2025-03-31T16:00:00"/>
        <d v="2025-03-31T17:00:00"/>
        <d v="2025-03-31T18:00:00"/>
        <d v="2025-03-31T19:00:00"/>
        <d v="2025-03-31T20:00:00"/>
        <d v="2025-03-31T21:00:00"/>
        <d v="2025-03-31T22:00:00"/>
        <d v="2025-03-31T23:00:00"/>
        <d v="2025-04-01T00:00:00"/>
        <d v="2025-04-01T01:00:00"/>
        <d v="2025-04-01T02:00:00"/>
        <d v="2025-04-01T03:00:00"/>
        <d v="2025-04-01T04:00:00"/>
        <d v="2025-04-01T05:00:00"/>
        <d v="2025-04-01T06:00:00"/>
        <d v="2025-04-01T07:00:00"/>
        <d v="2025-04-01T08:00:00"/>
        <d v="2025-04-01T09:00:00"/>
        <d v="2025-04-01T10:00:00"/>
        <d v="2025-04-01T11:00:00"/>
        <d v="2025-04-01T12:00:00"/>
        <d v="2025-04-01T13:00:00"/>
        <d v="2025-04-01T14:00:00"/>
        <d v="2025-04-01T15:00:00"/>
        <d v="2025-04-01T16:00:00"/>
        <d v="2025-04-01T17:00:00"/>
        <d v="2025-04-01T18:00:00"/>
        <d v="2025-04-01T19:00:00"/>
        <d v="2025-04-01T20:00:00"/>
        <d v="2025-04-01T21:00:00"/>
        <d v="2025-04-01T22:00:00"/>
        <d v="2025-04-01T23:00:00"/>
        <d v="2025-04-02T00:00:00"/>
        <d v="2025-04-02T01:00:00"/>
        <d v="2025-04-02T02:00:00"/>
        <d v="2025-04-02T03:00:00"/>
        <d v="2025-04-02T04:00:00"/>
        <d v="2025-04-02T05:00:00"/>
        <d v="2025-04-02T06:00:00"/>
        <d v="2025-04-02T07:00:00"/>
        <d v="2025-04-02T08:00:00"/>
        <d v="2025-04-02T09:00:00"/>
        <d v="2025-04-02T10:00:00"/>
        <d v="2025-04-02T11:00:00"/>
        <d v="2025-04-02T12:00:00"/>
        <d v="2025-04-02T13:00:00"/>
        <d v="2025-04-02T14:00:00"/>
        <d v="2025-04-02T15:00:00"/>
        <d v="2025-04-02T16:00:00"/>
        <d v="2025-04-02T17:00:00"/>
        <d v="2025-04-02T18:00:00"/>
        <d v="2025-04-02T19:00:00"/>
        <d v="2025-04-02T20:00:00"/>
        <d v="2025-04-02T21:00:00"/>
        <d v="2025-04-02T22:00:00"/>
        <d v="2025-04-02T23:00:00"/>
        <d v="2025-04-03T00:00:00"/>
        <d v="2025-04-03T01:00:00"/>
        <d v="2025-04-03T02:00:00"/>
        <d v="2025-04-03T03:00:00"/>
        <d v="2025-04-03T04:00:00"/>
        <d v="2025-04-03T05:00:00"/>
        <d v="2025-04-03T06:00:00"/>
        <d v="2025-04-03T07:00:00"/>
        <d v="2025-04-03T08:00:00"/>
        <d v="2025-04-03T09:00:00"/>
        <d v="2025-04-03T10:00:00"/>
        <d v="2025-04-03T11:00:00"/>
        <d v="2025-04-03T12:00:00"/>
        <d v="2025-04-03T13:00:00"/>
        <d v="2025-04-03T14:00:00"/>
        <d v="2025-04-03T15:00:00"/>
        <d v="2025-04-03T16:00:00"/>
        <d v="2025-04-03T17:00:00"/>
        <d v="2025-04-03T18:00:00"/>
        <d v="2025-04-03T19:00:00"/>
        <d v="2025-04-03T20:00:00"/>
        <d v="2025-04-03T21:00:00"/>
        <d v="2025-04-03T22:00:00"/>
        <d v="2025-04-03T23:00:00"/>
        <d v="2025-04-04T00:00:00"/>
        <d v="2025-04-04T01:00:00"/>
        <d v="2025-04-04T02:00:00"/>
        <d v="2025-04-04T03:00:00"/>
        <d v="2025-04-04T04:00:00"/>
        <d v="2025-04-04T05:00:00"/>
        <d v="2025-04-04T06:00:00"/>
        <d v="2025-04-04T07:00:00"/>
        <d v="2025-04-04T08:00:00"/>
        <d v="2025-04-04T09:00:00"/>
        <d v="2025-04-04T10:00:00"/>
        <d v="2025-04-04T11:00:00"/>
        <d v="2025-04-04T12:00:00"/>
        <d v="2025-04-04T13:00:00"/>
        <d v="2025-04-04T14:00:00"/>
        <d v="2025-04-04T15:00:00"/>
        <d v="2025-04-04T16:00:00"/>
        <d v="2025-04-04T17:00:00"/>
        <d v="2025-04-04T18:00:00"/>
        <d v="2025-04-04T19:00:00"/>
        <d v="2025-04-04T20:00:00"/>
        <d v="2025-04-04T21:00:00"/>
        <d v="2025-04-04T22:00:00"/>
        <d v="2025-04-04T23:00:00"/>
        <d v="2025-04-05T00:00:00"/>
        <d v="2025-04-05T01:00:00"/>
        <d v="2025-04-05T02:00:00"/>
        <d v="2025-04-05T03:00:00"/>
        <d v="2025-04-05T04:00:00"/>
        <d v="2025-04-05T05:00:00"/>
        <d v="2025-04-05T06:00:00"/>
        <d v="2025-04-05T07:00:00"/>
        <d v="2025-04-05T08:00:00"/>
        <d v="2025-04-05T09:00:00"/>
        <d v="2025-04-05T10:00:00"/>
        <d v="2025-04-05T11:00:00"/>
        <d v="2025-04-05T12:00:00"/>
        <d v="2025-04-05T13:00:00"/>
        <d v="2025-04-05T14:00:00"/>
        <d v="2025-04-05T15:00:00"/>
        <d v="2025-04-05T16:00:00"/>
        <d v="2025-04-05T17:00:00"/>
        <d v="2025-04-05T18:00:00"/>
        <d v="2025-04-05T19:00:00"/>
        <d v="2025-04-05T20:00:00"/>
        <d v="2025-04-05T21:00:00"/>
        <d v="2025-04-05T22:00:00"/>
        <d v="2025-04-05T23:00:00"/>
        <d v="2025-04-06T00:00:00"/>
        <d v="2025-04-06T01:00:00"/>
        <d v="2025-04-06T02:00:00"/>
        <d v="2025-04-06T03:00:00"/>
        <d v="2025-04-06T04:00:00"/>
        <d v="2025-04-06T05:00:00"/>
        <d v="2025-04-06T06:00:00"/>
        <d v="2025-04-06T07:00:00"/>
        <d v="2025-04-06T08:00:00"/>
        <d v="2025-04-06T09:00:00"/>
        <d v="2025-04-06T10:00:00"/>
        <d v="2025-04-06T11:00:00"/>
        <d v="2025-04-06T12:00:00"/>
        <d v="2025-04-06T13:00:00"/>
        <d v="2025-04-06T14:00:00"/>
        <d v="2025-04-06T15:00:00"/>
        <d v="2025-04-06T16:00:00"/>
        <d v="2025-04-06T17:00:00"/>
        <d v="2025-04-06T18:00:00"/>
        <d v="2025-04-06T19:00:00"/>
        <d v="2025-04-06T20:00:00"/>
        <d v="2025-04-06T21:00:00"/>
        <d v="2025-04-06T22:00:00"/>
        <d v="2025-04-06T23:00:00"/>
        <d v="2025-04-07T00:00:00"/>
        <d v="2025-04-07T01:00:00"/>
        <d v="2025-04-07T02:00:00"/>
        <d v="2025-04-07T03:00:00"/>
        <d v="2025-04-07T04:00:00"/>
        <d v="2025-04-07T05:00:00"/>
        <d v="2025-04-07T06:00:00"/>
        <d v="2025-04-07T07:00:00"/>
        <d v="2025-04-07T08:00:00"/>
        <d v="2025-04-07T09:00:00"/>
        <d v="2025-04-07T10:00:00"/>
        <d v="2025-04-07T11:00:00"/>
        <d v="2025-04-07T12:00:00"/>
        <d v="2025-04-07T13:00:00"/>
        <d v="2025-04-07T14:00:00"/>
        <d v="2025-04-07T15:00:00"/>
        <d v="2025-04-07T16:00:00"/>
        <d v="2025-04-07T17:00:00"/>
        <d v="2025-04-07T18:00:00"/>
        <d v="2025-04-07T19:00:00"/>
        <d v="2025-04-07T20:00:00"/>
        <d v="2025-04-07T21:00:00"/>
        <d v="2025-04-07T22:00:00"/>
        <d v="2025-04-07T23:00:00"/>
        <d v="2025-04-08T00:00:00"/>
        <d v="2025-04-08T01:00:00"/>
        <d v="2025-04-08T02:00:00"/>
        <d v="2025-04-08T03:00:00"/>
        <d v="2025-04-08T04:00:00"/>
        <d v="2025-04-08T05:00:00"/>
        <d v="2025-04-08T06:00:00"/>
        <d v="2025-04-08T07:00:00"/>
        <d v="2025-04-08T08:00:00"/>
        <d v="2025-04-08T09:00:00"/>
        <d v="2025-04-08T10:00:00"/>
        <d v="2025-04-08T11:00:00"/>
        <d v="2025-04-08T12:00:00"/>
        <d v="2025-04-08T13:00:00"/>
        <d v="2025-04-08T14:00:00"/>
        <d v="2025-04-08T15:00:00"/>
        <d v="2025-04-08T16:00:00"/>
        <d v="2025-04-08T17:00:00"/>
        <d v="2025-04-08T18:00:00"/>
        <d v="2025-04-08T19:00:00"/>
        <d v="2025-04-08T20:00:00"/>
        <d v="2025-04-08T21:00:00"/>
        <d v="2025-04-08T22:00:00"/>
        <d v="2025-04-08T23:00:00"/>
        <d v="2025-04-09T00:00:00"/>
        <d v="2025-04-09T01:00:00"/>
        <d v="2025-04-09T02:00:00"/>
        <d v="2025-04-09T03:00:00"/>
        <d v="2025-04-09T04:00:00"/>
        <d v="2025-04-09T05:00:00"/>
        <d v="2025-04-09T06:00:00"/>
        <d v="2025-04-09T07:00:00"/>
        <d v="2025-04-09T08:00:00"/>
        <d v="2025-04-09T09:00:00"/>
        <d v="2025-04-09T10:00:00"/>
        <d v="2025-04-09T11:00:00"/>
        <d v="2025-04-09T12:00:00"/>
        <d v="2025-04-09T13:00:00"/>
        <d v="2025-04-09T14:00:00"/>
        <d v="2025-04-09T15:00:00"/>
        <d v="2025-04-09T16:00:00"/>
        <d v="2025-04-09T17:00:00"/>
        <d v="2025-04-09T18:00:00"/>
        <d v="2025-04-09T19:00:00"/>
        <d v="2025-04-09T20:00:00"/>
        <d v="2025-04-09T21:00:00"/>
        <d v="2025-04-09T22:00:00"/>
        <d v="2025-04-09T23:00:00"/>
        <d v="2025-04-10T00:00:00"/>
        <d v="2025-04-10T01:00:00"/>
        <d v="2025-04-10T02:00:00"/>
        <d v="2025-04-10T03:00:00"/>
        <d v="2025-04-10T04:00:00"/>
        <d v="2025-04-10T05:00:00"/>
        <d v="2025-04-10T06:00:00"/>
        <d v="2025-04-10T07:00:00"/>
        <d v="2025-04-10T08:00:00"/>
        <d v="2025-04-10T09:00:00"/>
        <d v="2025-04-10T10:00:00"/>
        <d v="2025-04-10T11:00:00"/>
        <d v="2025-04-10T12:00:00"/>
        <d v="2025-04-10T13:00:00"/>
        <d v="2025-04-10T14:00:00"/>
        <d v="2025-04-10T15:00:00"/>
        <d v="2025-04-10T16:00:00"/>
        <d v="2025-04-10T17:00:00"/>
        <d v="2025-04-10T18:00:00"/>
        <d v="2025-04-10T19:00:00"/>
        <d v="2025-04-10T20:00:00"/>
        <d v="2025-04-10T21:00:00"/>
        <d v="2025-04-10T22:00:00"/>
        <d v="2025-04-10T23:00:00"/>
        <d v="2025-04-11T00:00:00"/>
        <d v="2025-04-11T01:00:00"/>
        <d v="2025-04-11T02:00:00"/>
        <d v="2025-04-11T03:00:00"/>
        <d v="2025-04-11T04:00:00"/>
        <d v="2025-04-11T05:00:00"/>
        <d v="2025-04-11T06:00:00"/>
        <d v="2025-04-11T07:00:00"/>
        <d v="2025-04-11T08:00:00"/>
        <d v="2025-04-11T09:00:00"/>
        <d v="2025-04-11T10:00:00"/>
        <d v="2025-04-11T11:00:00"/>
        <d v="2025-04-11T12:00:00"/>
        <d v="2025-04-11T13:00:00"/>
        <d v="2025-04-11T14:00:00"/>
        <d v="2025-04-11T15:00:00"/>
        <d v="2025-04-11T16:00:00"/>
        <d v="2025-04-11T17:00:00"/>
        <d v="2025-04-11T18:00:00"/>
        <d v="2025-04-11T19:00:00"/>
        <d v="2025-04-11T20:00:00"/>
        <d v="2025-04-11T21:00:00"/>
        <d v="2025-04-11T22:00:00"/>
        <d v="2025-04-11T23:00:00"/>
        <d v="2025-04-12T00:00:00"/>
        <d v="2025-04-12T01:00:00"/>
        <d v="2025-04-12T02:00:00"/>
        <d v="2025-04-12T03:00:00"/>
        <d v="2025-04-12T04:00:00"/>
        <d v="2025-04-12T05:00:00"/>
        <d v="2025-04-12T06:00:00"/>
        <d v="2025-04-12T07:00:00"/>
        <d v="2025-04-12T08:00:00"/>
        <d v="2025-04-12T09:00:00"/>
        <d v="2025-04-12T10:00:00"/>
        <d v="2025-04-12T11:00:00"/>
        <d v="2025-04-12T12:00:00"/>
        <d v="2025-04-12T13:00:00"/>
        <d v="2025-04-12T14:00:00"/>
        <d v="2025-04-12T15:00:00"/>
        <d v="2025-04-12T16:00:00"/>
        <d v="2025-04-12T17:00:00"/>
        <d v="2025-04-12T18:00:00"/>
        <d v="2025-04-12T19:00:00"/>
        <d v="2025-04-12T20:00:00"/>
        <d v="2025-04-12T21:00:00"/>
        <d v="2025-04-12T22:00:00"/>
        <d v="2025-04-12T23:00:00"/>
        <d v="2025-04-13T00:00:00"/>
        <d v="2025-04-13T01:00:00"/>
        <d v="2025-04-13T02:00:00"/>
        <d v="2025-04-13T03:00:00"/>
        <d v="2025-04-13T04:00:00"/>
        <d v="2025-04-13T05:00:00"/>
        <d v="2025-04-13T06:00:00"/>
        <d v="2025-04-13T07:00:00"/>
        <d v="2025-04-13T08:00:00"/>
        <d v="2025-04-13T09:00:00"/>
        <d v="2025-04-13T10:00:00"/>
        <d v="2025-04-13T11:00:00"/>
        <d v="2025-04-13T12:00:00"/>
        <d v="2025-04-13T13:00:00"/>
        <d v="2025-04-13T14:00:00"/>
        <d v="2025-04-13T15:00:00"/>
        <d v="2025-04-13T16:00:00"/>
        <d v="2025-04-13T17:00:00"/>
        <d v="2025-04-13T18:00:00"/>
        <d v="2025-04-13T19:00:00"/>
        <d v="2025-04-13T20:00:00"/>
        <d v="2025-04-13T21:00:00"/>
        <d v="2025-04-13T22:00:00"/>
        <d v="2025-04-13T23:00:00"/>
        <d v="2025-04-14T00:00:00"/>
        <d v="2025-04-14T01:00:00"/>
        <d v="2025-04-14T02:00:00"/>
        <d v="2025-04-14T03:00:00"/>
        <d v="2025-04-14T04:00:00"/>
        <d v="2025-04-14T05:00:00"/>
        <d v="2025-04-14T06:00:00"/>
        <d v="2025-04-14T07:00:00"/>
        <d v="2025-04-14T08:00:00"/>
        <d v="2025-04-14T09:00:00"/>
        <d v="2025-04-14T10:00:00"/>
        <d v="2025-04-14T11:00:00"/>
        <d v="2025-04-14T12:00:00"/>
        <d v="2025-04-14T13:00:00"/>
        <d v="2025-04-14T14:00:00"/>
        <d v="2025-04-14T15:00:00"/>
        <d v="2025-04-14T16:00:00"/>
        <d v="2025-04-14T17:00:00"/>
        <d v="2025-04-14T18:00:00"/>
        <d v="2025-04-14T19:00:00"/>
        <d v="2025-04-14T20:00:00"/>
        <d v="2025-04-14T21:00:00"/>
        <d v="2025-04-14T22:00:00"/>
        <d v="2025-04-14T23:00:00"/>
        <d v="2025-04-15T00:00:00"/>
        <d v="2025-04-15T01:00:00"/>
        <d v="2025-04-15T02:00:00"/>
        <d v="2025-04-15T03:00:00"/>
        <d v="2025-04-15T04:00:00"/>
        <d v="2025-04-15T05:00:00"/>
        <d v="2025-04-15T06:00:00"/>
        <d v="2025-04-15T07:00:00"/>
        <d v="2025-04-15T08:00:00"/>
        <d v="2025-04-15T09:00:00"/>
        <d v="2025-04-15T10:00:00"/>
        <d v="2025-04-15T11:00:00"/>
        <d v="2025-04-15T12:00:00"/>
        <d v="2025-04-15T13:00:00"/>
        <d v="2025-04-15T14:00:00"/>
        <d v="2025-04-15T15:00:00"/>
        <d v="2025-04-15T16:00:00"/>
        <d v="2025-04-15T17:00:00"/>
        <d v="2025-04-15T18:00:00"/>
        <d v="2025-04-15T19:00:00"/>
        <d v="2025-04-15T20:00:00"/>
        <d v="2025-04-15T21:00:00"/>
        <d v="2025-04-15T22:00:00"/>
        <d v="2025-04-15T23:00:00"/>
        <d v="2025-04-16T00:00:00"/>
        <d v="2025-04-16T01:00:00"/>
        <d v="2025-04-16T02:00:00"/>
        <d v="2025-04-16T03:00:00"/>
        <d v="2025-04-16T04:00:00"/>
        <d v="2025-04-16T05:00:00"/>
        <d v="2025-04-16T06:00:00"/>
        <d v="2025-04-16T07:00:00"/>
        <d v="2025-04-16T08:00:00"/>
        <d v="2025-04-16T09:00:00"/>
        <d v="2025-04-16T10:00:00"/>
        <d v="2025-04-16T11:00:00"/>
        <d v="2025-04-16T12:00:00"/>
        <d v="2025-04-16T13:00:00"/>
        <d v="2025-04-16T14:00:00"/>
        <d v="2025-04-16T15:00:00"/>
        <d v="2025-04-16T16:00:00"/>
        <d v="2025-04-16T17:00:00"/>
        <d v="2025-04-16T18:00:00"/>
        <d v="2025-04-16T19:00:00"/>
        <d v="2025-04-16T20:00:00"/>
        <d v="2025-04-16T21:00:00"/>
        <d v="2025-04-16T22:00:00"/>
        <d v="2025-04-16T23:00:00"/>
        <d v="2025-04-17T00:00:00"/>
        <d v="2025-04-17T01:00:00"/>
        <d v="2025-04-17T02:00:00"/>
        <d v="2025-04-17T03:00:00"/>
        <d v="2025-04-17T04:00:00"/>
        <d v="2025-04-17T05:00:00"/>
        <d v="2025-04-17T06:00:00"/>
        <d v="2025-04-17T07:00:00"/>
        <d v="2025-04-17T08:00:00"/>
        <d v="2025-04-17T09:00:00"/>
        <d v="2025-04-17T10:00:00"/>
        <d v="2025-04-17T11:00:00"/>
        <d v="2025-04-17T12:00:00"/>
        <d v="2025-04-17T13:00:00"/>
        <d v="2025-04-17T14:00:00"/>
        <d v="2025-04-17T15:00:00"/>
        <d v="2025-04-17T16:00:00"/>
        <d v="2025-04-17T17:00:00"/>
        <d v="2025-04-17T18:00:00"/>
        <d v="2025-04-17T19:00:00"/>
        <d v="2025-04-17T20:00:00"/>
        <d v="2025-04-17T21:00:00"/>
        <d v="2025-04-17T22:00:00"/>
        <d v="2025-04-17T23:00:00"/>
        <d v="2025-04-18T00:00:00"/>
        <d v="2025-04-18T01:00:00"/>
        <d v="2025-04-18T02:00:00"/>
        <d v="2025-04-18T03:00:00"/>
        <d v="2025-04-18T04:00:00"/>
        <d v="2025-04-18T05:00:00"/>
        <d v="2025-04-18T06:00:00"/>
        <d v="2025-04-18T07:00:00"/>
        <d v="2025-04-18T08:00:00"/>
        <d v="2025-04-18T09:00:00"/>
        <d v="2025-04-18T10:00:00"/>
        <d v="2025-04-18T11:00:00"/>
        <d v="2025-04-18T12:00:00"/>
        <d v="2025-04-18T13:00:00"/>
        <d v="2025-04-18T14:00:00"/>
        <d v="2025-04-18T15:00:00"/>
        <d v="2025-04-18T16:00:00"/>
        <d v="2025-04-18T17:00:00"/>
        <d v="2025-04-18T18:00:00"/>
        <d v="2025-04-18T19:00:00"/>
        <d v="2025-04-18T20:00:00"/>
        <d v="2025-04-18T21:00:00"/>
        <d v="2025-04-18T22:00:00"/>
        <d v="2025-04-18T23:00:00"/>
        <d v="2025-04-19T00:00:00"/>
        <d v="2025-04-19T01:00:00"/>
        <d v="2025-04-19T02:00:00"/>
        <d v="2025-04-19T03:00:00"/>
        <d v="2025-04-19T04:00:00"/>
        <d v="2025-04-19T05:00:00"/>
        <d v="2025-04-19T06:00:00"/>
        <d v="2025-04-19T07:00:00"/>
        <d v="2025-04-19T08:00:00"/>
        <d v="2025-04-19T09:00:00"/>
        <d v="2025-04-19T10:00:00"/>
        <d v="2025-04-19T11:00:00"/>
        <d v="2025-04-19T12:00:00"/>
        <d v="2025-04-19T13:00:00"/>
        <d v="2025-04-19T14:00:00"/>
        <d v="2025-04-19T15:00:00"/>
        <d v="2025-04-19T16:00:00"/>
        <d v="2025-04-19T17:00:00"/>
        <d v="2025-04-19T18:00:00"/>
        <d v="2025-04-19T19:00:00"/>
        <d v="2025-04-19T20:00:00"/>
        <d v="2025-04-19T21:00:00"/>
        <d v="2025-04-19T22:00:00"/>
        <d v="2025-04-19T23:00:00"/>
        <d v="2025-04-20T00:00:00"/>
        <d v="2025-04-20T01:00:00"/>
        <d v="2025-04-20T02:00:00"/>
        <d v="2025-04-20T03:00:00"/>
        <d v="2025-04-20T04:00:00"/>
        <d v="2025-04-20T05:00:00"/>
        <d v="2025-04-20T06:00:00"/>
        <d v="2025-04-20T07:00:00"/>
        <d v="2025-04-20T08:00:00"/>
        <d v="2025-04-20T09:00:00"/>
        <d v="2025-04-20T10:00:00"/>
        <d v="2025-04-20T11:00:00"/>
        <d v="2025-04-20T12:00:00"/>
        <d v="2025-04-20T13:00:00"/>
        <d v="2025-04-20T14:00:00"/>
        <d v="2025-04-20T15:00:00"/>
        <d v="2025-04-20T16:00:00"/>
        <d v="2025-04-20T17:00:00"/>
        <d v="2025-04-20T18:00:00"/>
        <d v="2025-04-20T19:00:00"/>
        <d v="2025-04-20T20:00:00"/>
        <d v="2025-04-20T21:00:00"/>
        <d v="2025-04-20T22:00:00"/>
        <d v="2025-04-20T23:00:00"/>
        <d v="2025-04-21T00:00:00"/>
        <d v="2025-04-21T01:00:00"/>
        <d v="2025-04-21T02:00:00"/>
        <d v="2025-04-21T03:00:00"/>
        <d v="2025-04-21T04:00:00"/>
        <d v="2025-04-21T05:00:00"/>
        <d v="2025-04-21T06:00:00"/>
        <d v="2025-04-21T07:00:00"/>
        <d v="2025-04-21T08:00:00"/>
        <d v="2025-04-21T09:00:00"/>
        <d v="2025-04-21T10:00:00"/>
        <d v="2025-04-21T11:00:00"/>
        <d v="2025-04-21T12:00:00"/>
        <d v="2025-04-21T13:00:00"/>
        <d v="2025-04-21T14:00:00"/>
        <d v="2025-04-21T15:00:00"/>
        <d v="2025-04-21T16:00:00"/>
        <d v="2025-04-21T17:00:00"/>
        <d v="2025-04-21T18:00:00"/>
        <d v="2025-04-21T19:00:00"/>
        <d v="2025-04-21T20:00:00"/>
        <d v="2025-04-21T21:00:00"/>
        <d v="2025-04-21T22:00:00"/>
        <d v="2025-04-21T23:00:00"/>
        <d v="2025-04-22T00:00:00"/>
        <d v="2025-04-22T01:00:00"/>
        <d v="2025-04-22T02:00:00"/>
        <d v="2025-04-22T03:00:00"/>
        <d v="2025-04-22T04:00:00"/>
        <d v="2025-04-22T05:00:00"/>
        <d v="2025-04-22T06:00:00"/>
        <d v="2025-04-22T07:00:00"/>
        <d v="2025-04-22T08:00:00"/>
        <d v="2025-04-22T09:00:00"/>
        <d v="2025-04-22T10:00:00"/>
        <d v="2025-04-22T11:00:00"/>
        <d v="2025-04-22T12:00:00"/>
        <d v="2025-04-22T13:00:00"/>
        <d v="2025-04-22T14:00:00"/>
        <d v="2025-04-22T15:00:00"/>
        <d v="2025-04-22T16:00:00"/>
        <d v="2025-04-22T17:00:00"/>
        <d v="2025-04-22T18:00:00"/>
        <d v="2025-04-22T19:00:00"/>
        <d v="2025-04-22T20:00:00"/>
        <d v="2025-04-22T21:00:00"/>
        <d v="2025-04-22T22:00:00"/>
        <d v="2025-04-22T23:00:00"/>
        <d v="2025-04-23T00:00:00"/>
        <d v="2025-04-23T01:00:00"/>
        <d v="2025-04-23T02:00:00"/>
        <d v="2025-04-23T03:00:00"/>
        <d v="2025-04-23T04:00:00"/>
        <d v="2025-04-23T05:00:00"/>
        <d v="2025-04-23T06:00:00"/>
        <d v="2025-04-23T07:00:00"/>
        <d v="2025-04-23T08:00:00"/>
        <d v="2025-04-23T09:00:00"/>
        <d v="2025-04-23T10:00:00"/>
        <d v="2025-04-23T11:00:00"/>
        <d v="2025-04-23T12:00:00"/>
        <d v="2025-04-23T13:00:00"/>
        <d v="2025-04-23T14:00:00"/>
        <d v="2025-04-23T15:00:00"/>
        <d v="2025-04-23T16:00:00"/>
        <d v="2025-04-23T17:00:00"/>
        <d v="2025-04-23T18:00:00"/>
        <d v="2025-04-23T19:00:00"/>
        <d v="2025-04-23T20:00:00"/>
        <d v="2025-04-23T21:00:00"/>
        <d v="2025-04-23T22:00:00"/>
        <d v="2025-04-23T23:00:00"/>
        <d v="2025-04-24T00:00:00"/>
        <d v="2025-04-24T01:00:00"/>
        <d v="2025-04-24T02:00:00"/>
        <d v="2025-04-24T03:00:00"/>
        <d v="2025-04-24T04:00:00"/>
        <d v="2025-04-24T05:00:00"/>
        <d v="2025-04-24T06:00:00"/>
        <d v="2025-04-24T07:00:00"/>
        <d v="2025-04-24T08:00:00"/>
        <d v="2025-04-24T09:00:00"/>
        <d v="2025-04-24T10:00:00"/>
        <d v="2025-04-24T11:00:00"/>
        <d v="2025-04-24T12:00:00"/>
        <d v="2025-04-24T13:00:00"/>
        <d v="2025-04-24T14:00:00"/>
        <d v="2025-04-24T15:00:00"/>
        <d v="2025-04-24T16:00:00"/>
        <d v="2025-04-24T17:00:00"/>
        <d v="2025-04-24T18:00:00"/>
        <d v="2025-04-24T19:00:00"/>
        <d v="2025-04-24T20:00:00"/>
        <d v="2025-04-24T21:00:00"/>
        <d v="2025-04-24T22:00:00"/>
        <d v="2025-04-24T23:00:00"/>
        <d v="2025-04-25T00:00:00"/>
        <d v="2025-04-25T01:00:00"/>
        <d v="2025-04-25T02:00:00"/>
        <d v="2025-04-25T03:00:00"/>
        <d v="2025-04-25T04:00:00"/>
        <d v="2025-04-25T05:00:00"/>
        <d v="2025-04-25T06:00:00"/>
        <d v="2025-04-25T07:00:00"/>
        <d v="2025-04-25T08:00:00"/>
        <d v="2025-04-25T09:00:00"/>
        <d v="2025-04-25T10:00:00"/>
        <d v="2025-04-25T11:00:00"/>
        <d v="2025-04-25T12:00:00"/>
        <d v="2025-04-25T13:00:00"/>
        <d v="2025-04-25T14:00:00"/>
        <d v="2025-04-25T15:00:00"/>
        <d v="2025-04-25T16:00:00"/>
        <d v="2025-04-25T17:00:00"/>
        <d v="2025-04-25T18:00:00"/>
        <d v="2025-04-25T19:00:00"/>
        <d v="2025-04-25T20:00:00"/>
        <d v="2025-04-25T21:00:00"/>
        <d v="2025-04-25T22:00:00"/>
        <d v="2025-04-25T23:00:00"/>
        <d v="2025-04-26T00:00:00"/>
        <d v="2025-04-26T01:00:00"/>
        <d v="2025-04-26T02:00:00"/>
        <d v="2025-04-26T03:00:00"/>
        <d v="2025-04-26T04:00:00"/>
        <d v="2025-04-26T05:00:00"/>
        <d v="2025-04-26T06:00:00"/>
        <d v="2025-04-26T07:00:00"/>
        <d v="2025-04-26T08:00:00"/>
        <d v="2025-04-26T09:00:00"/>
        <d v="2025-04-26T10:00:00"/>
        <d v="2025-04-26T11:00:00"/>
        <d v="2025-04-26T12:00:00"/>
        <d v="2025-04-26T13:00:00"/>
        <d v="2025-04-26T14:00:00"/>
        <d v="2025-04-26T15:00:00"/>
        <d v="2025-04-26T16:00:00"/>
        <d v="2025-04-26T17:00:00"/>
        <d v="2025-04-26T18:00:00"/>
        <d v="2025-04-26T19:00:00"/>
        <d v="2025-04-26T20:00:00"/>
        <d v="2025-04-26T21:00:00"/>
        <d v="2025-04-26T22:00:00"/>
        <d v="2025-04-26T23:00:00"/>
        <d v="2025-04-27T00:00:00"/>
        <d v="2025-04-27T01:00:00"/>
        <d v="2025-04-27T02:00:00"/>
        <d v="2025-04-27T03:00:00"/>
        <d v="2025-04-27T04:00:00"/>
        <d v="2025-04-27T05:00:00"/>
        <d v="2025-04-27T06:00:00"/>
        <d v="2025-04-27T07:00:00"/>
        <d v="2025-04-27T08:00:00"/>
        <d v="2025-04-27T09:00:00"/>
        <d v="2025-04-27T10:00:00"/>
        <d v="2025-04-27T11:00:00"/>
        <d v="2025-04-27T12:00:00"/>
        <d v="2025-04-27T13:00:00"/>
        <d v="2025-04-27T14:00:00"/>
        <d v="2025-04-27T15:00:00"/>
        <d v="2025-04-27T16:00:00"/>
        <d v="2025-04-27T17:00:00"/>
        <d v="2025-04-27T18:00:00"/>
        <d v="2025-04-27T19:00:00"/>
        <d v="2025-04-27T20:00:00"/>
        <d v="2025-04-27T21:00:00"/>
        <d v="2025-04-27T22:00:00"/>
        <d v="2025-04-27T23:00:00"/>
        <d v="2025-04-28T00:00:00"/>
        <d v="2025-04-28T01:00:00"/>
        <d v="2025-04-28T02:00:00"/>
        <d v="2025-04-28T03:00:00"/>
        <d v="2025-04-28T04:00:00"/>
        <d v="2025-04-28T05:00:00"/>
        <d v="2025-04-28T06:00:00"/>
        <d v="2025-04-28T07:00:00"/>
        <d v="2025-04-28T08:00:00"/>
        <d v="2025-04-28T09:00:00"/>
        <d v="2025-04-28T10:00:00"/>
        <d v="2025-04-28T11:00:00"/>
        <d v="2025-04-28T12:00:00"/>
        <d v="2025-04-28T13:00:00"/>
        <d v="2025-04-28T14:00:00"/>
        <d v="2025-04-28T15:00:00"/>
        <d v="2025-04-28T16:00:00"/>
        <d v="2025-04-28T17:00:00"/>
        <d v="2025-04-28T18:00:00"/>
        <d v="2025-04-28T19:00:00"/>
        <d v="2025-04-28T20:00:00"/>
        <d v="2025-04-28T21:00:00"/>
        <d v="2025-04-28T22:00:00"/>
        <d v="2025-04-28T23:00:00"/>
        <d v="2025-04-29T00:00:00"/>
        <d v="2025-04-29T01:00:00"/>
        <d v="2025-04-29T02:00:00"/>
        <d v="2025-04-29T03:00:00"/>
        <d v="2025-04-29T04:00:00"/>
        <d v="2025-04-29T05:00:00"/>
        <d v="2025-04-29T06:00:00"/>
        <d v="2025-04-29T07:00:00"/>
        <d v="2025-04-29T08:00:00"/>
        <d v="2025-04-29T09:00:00"/>
        <d v="2025-04-29T10:00:00"/>
        <d v="2025-04-29T11:00:00"/>
        <d v="2025-04-29T12:00:00"/>
        <d v="2025-04-29T13:00:00"/>
        <d v="2025-04-29T14:00:00"/>
        <d v="2025-04-29T15:00:00"/>
        <d v="2025-04-29T16:00:00"/>
        <d v="2025-04-29T17:00:00"/>
        <d v="2025-04-29T18:00:00"/>
        <d v="2025-04-29T19:00:00"/>
        <d v="2025-04-29T20:00:00"/>
        <d v="2025-04-29T21:00:00"/>
        <d v="2025-04-29T22:00:00"/>
        <d v="2025-04-29T23:00:00"/>
        <d v="2025-04-30T00:00:00"/>
        <d v="2025-04-30T01:00:00"/>
        <d v="2025-04-30T02:00:00"/>
        <d v="2025-04-30T03:00:00"/>
        <d v="2025-04-30T04:00:00"/>
        <d v="2025-04-30T05:00:00"/>
        <d v="2025-04-30T06:00:00"/>
        <d v="2025-04-30T07:00:00"/>
        <d v="2025-04-30T08:00:00"/>
        <d v="2025-04-30T09:00:00"/>
        <d v="2025-04-30T10:00:00"/>
        <d v="2025-04-30T11:00:00"/>
        <d v="2025-04-30T12:00:00"/>
        <d v="2025-04-30T13:00:00"/>
        <d v="2025-04-30T14:00:00"/>
        <d v="2025-04-30T15:00:00"/>
        <d v="2025-04-30T16:00:00"/>
        <d v="2025-04-30T17:00:00"/>
        <d v="2025-04-30T18:00:00"/>
        <d v="2025-04-30T19:00:00"/>
        <d v="2025-04-30T20:00:00"/>
        <d v="2025-04-30T21:00:00"/>
        <d v="2025-04-30T22:00:00"/>
        <d v="2025-04-30T23:00:00"/>
        <d v="2025-05-01T00:00:00"/>
        <d v="2025-05-01T01:00:00"/>
        <d v="2025-05-01T02:00:00"/>
        <d v="2025-05-01T03:00:00"/>
        <d v="2025-05-01T04:00:00"/>
        <d v="2025-05-01T05:00:00"/>
        <d v="2025-05-01T06:00:00"/>
        <d v="2025-05-01T07:00:00"/>
        <d v="2025-05-01T08:00:00"/>
        <d v="2025-05-01T09:00:00"/>
        <d v="2025-05-01T10:00:00"/>
        <d v="2025-05-01T11:00:00"/>
        <d v="2025-05-01T12:00:00"/>
        <d v="2025-05-01T13:00:00"/>
        <d v="2025-05-01T14:00:00"/>
        <d v="2025-05-01T15:00:00"/>
        <d v="2025-05-01T16:00:00"/>
        <d v="2025-05-01T17:00:00"/>
        <d v="2025-05-01T18:00:00"/>
        <d v="2025-05-01T19:00:00"/>
        <d v="2025-05-01T20:00:00"/>
        <d v="2025-05-01T21:00:00"/>
        <d v="2025-05-01T22:00:00"/>
        <d v="2025-05-01T23:00:00"/>
        <d v="2025-05-02T00:00:00"/>
        <d v="2025-05-02T01:00:00"/>
        <d v="2025-05-02T02:00:00"/>
        <d v="2025-05-02T03:00:00"/>
        <d v="2025-05-02T04:00:00"/>
        <d v="2025-05-02T05:00:00"/>
        <d v="2025-05-02T06:00:00"/>
        <d v="2025-05-02T07:00:00"/>
        <d v="2025-05-02T08:00:00"/>
        <d v="2025-05-02T09:00:00"/>
        <d v="2025-05-02T10:00:00"/>
        <d v="2025-05-02T11:00:00"/>
        <d v="2025-05-02T12:00:00"/>
        <d v="2025-05-02T13:00:00"/>
        <d v="2025-05-02T14:00:00"/>
        <d v="2025-05-02T15:00:00"/>
        <d v="2025-05-02T16:00:00"/>
        <d v="2025-05-02T17:00:00"/>
        <d v="2025-05-02T18:00:00"/>
        <d v="2025-05-02T19:00:00"/>
        <d v="2025-05-02T20:00:00"/>
        <d v="2025-05-02T21:00:00"/>
        <d v="2025-05-02T22:00:00"/>
        <d v="2025-05-02T23:00:00"/>
        <d v="2025-05-03T00:00:00"/>
        <d v="2025-05-03T01:00:00"/>
        <d v="2025-05-03T02:00:00"/>
        <d v="2025-05-03T03:00:00"/>
        <d v="2025-05-03T04:00:00"/>
        <d v="2025-05-03T05:00:00"/>
        <d v="2025-05-03T06:00:00"/>
        <d v="2025-05-03T07:00:00"/>
        <d v="2025-05-03T08:00:00"/>
        <d v="2025-05-03T09:00:00"/>
        <d v="2025-05-03T10:00:00"/>
        <d v="2025-05-03T11:00:00"/>
        <d v="2025-05-03T12:00:00"/>
        <d v="2025-05-03T13:00:00"/>
        <d v="2025-05-03T14:00:00"/>
        <d v="2025-05-03T15:00:00"/>
        <d v="2025-05-03T16:00:00"/>
        <d v="2025-05-03T17:00:00"/>
        <d v="2025-05-03T18:00:00"/>
        <d v="2025-05-03T19:00:00"/>
        <d v="2025-05-03T20:00:00"/>
        <d v="2025-05-03T21:00:00"/>
        <d v="2025-05-03T22:00:00"/>
        <d v="2025-05-03T23:00:00"/>
        <d v="2025-05-04T00:00:00"/>
        <d v="2025-05-04T01:00:00"/>
        <d v="2025-05-04T02:00:00"/>
        <d v="2025-05-04T03:00:00"/>
        <d v="2025-05-04T04:00:00"/>
        <d v="2025-05-04T05:00:00"/>
        <d v="2025-05-04T06:00:00"/>
        <d v="2025-05-04T07:00:00"/>
        <d v="2025-05-04T08:00:00"/>
        <d v="2025-05-04T09:00:00"/>
        <d v="2025-05-04T10:00:00"/>
        <d v="2025-05-04T11:00:00"/>
        <d v="2025-05-04T12:00:00"/>
        <d v="2025-05-04T13:00:00"/>
        <d v="2025-05-04T14:00:00"/>
        <d v="2025-05-04T15:00:00"/>
        <d v="2025-05-04T16:00:00"/>
        <d v="2025-05-04T17:00:00"/>
        <d v="2025-05-04T18:00:00"/>
        <d v="2025-05-04T19:00:00"/>
        <d v="2025-05-04T20:00:00"/>
        <d v="2025-05-04T21:00:00"/>
        <d v="2025-05-04T22:00:00"/>
        <d v="2025-05-04T23:00:00"/>
        <d v="2025-05-05T00:00:00"/>
        <d v="2025-05-05T01:00:00"/>
        <d v="2025-05-05T02:00:00"/>
        <d v="2025-05-05T03:00:00"/>
        <d v="2025-05-05T04:00:00"/>
        <d v="2025-05-05T05:00:00"/>
        <d v="2025-05-05T06:00:00"/>
        <d v="2025-05-05T07:00:00"/>
        <d v="2025-05-05T08:00:00"/>
        <d v="2025-05-05T09:00:00"/>
        <d v="2025-05-05T10:00:00"/>
        <d v="2025-05-05T11:00:00"/>
        <d v="2025-05-05T12:00:00"/>
        <d v="2025-05-05T13:00:00"/>
        <d v="2025-05-05T14:00:00"/>
        <d v="2025-05-05T15:00:00"/>
        <d v="2025-05-05T16:00:00"/>
        <d v="2025-05-05T17:00:00"/>
        <d v="2025-05-05T18:00:00"/>
        <d v="2025-05-05T19:00:00"/>
        <d v="2025-05-05T20:00:00"/>
        <d v="2025-05-05T21:00:00"/>
        <d v="2025-05-05T22:00:00"/>
        <d v="2025-05-05T23:00:00"/>
        <d v="2025-05-06T00:00:00"/>
        <d v="2025-05-06T01:00:00"/>
        <d v="2025-05-06T02:00:00"/>
        <d v="2025-05-06T03:00:00"/>
        <d v="2025-05-06T04:00:00"/>
        <d v="2025-05-06T05:00:00"/>
        <d v="2025-05-06T06:00:00"/>
        <d v="2025-05-06T07:00:00"/>
        <d v="2025-05-06T08:00:00"/>
        <d v="2025-05-06T09:00:00"/>
        <d v="2025-05-06T10:00:00"/>
        <d v="2025-05-06T11:00:00"/>
        <d v="2025-05-06T12:00:00"/>
        <d v="2025-05-06T13:00:00"/>
        <d v="2025-05-06T14:00:00"/>
        <d v="2025-05-06T15:00:00"/>
        <d v="2025-05-06T16:00:00"/>
        <d v="2025-05-06T17:00:00"/>
        <d v="2025-05-06T18:00:00"/>
        <d v="2025-05-06T19:00:00"/>
        <d v="2025-05-06T20:00:00"/>
        <d v="2025-05-06T21:00:00"/>
        <d v="2025-05-06T22:00:00"/>
        <d v="2025-05-06T23:00:00"/>
        <d v="2025-05-07T00:00:00"/>
        <d v="2025-05-07T01:00:00"/>
        <d v="2025-05-07T02:00:00"/>
        <d v="2025-05-07T03:00:00"/>
        <d v="2025-05-07T04:00:00"/>
        <d v="2025-05-07T05:00:00"/>
        <d v="2025-05-07T06:00:00"/>
        <d v="2025-05-07T07:00:00"/>
        <d v="2025-05-07T08:00:00"/>
        <d v="2025-05-07T09:00:00"/>
        <d v="2025-05-07T10:00:00"/>
        <d v="2025-05-07T11:00:00"/>
        <d v="2025-05-07T12:00:00"/>
        <d v="2025-05-07T13:00:00"/>
        <d v="2025-05-07T14:00:00"/>
        <d v="2025-05-07T15:00:00"/>
        <d v="2025-05-07T16:00:00"/>
        <d v="2025-05-07T17:00:00"/>
        <d v="2025-05-07T18:00:00"/>
        <d v="2025-05-07T19:00:00"/>
        <d v="2025-05-07T20:00:00"/>
        <d v="2025-05-07T21:00:00"/>
        <d v="2025-05-07T22:00:00"/>
        <d v="2025-05-07T23:00:00"/>
        <d v="2025-05-08T00:00:00"/>
        <d v="2025-05-08T01:00:00"/>
        <d v="2025-05-08T02:00:00"/>
        <d v="2025-05-08T03:00:00"/>
        <d v="2025-05-08T04:00:00"/>
        <d v="2025-05-08T05:00:00"/>
        <d v="2025-05-08T06:00:00"/>
        <d v="2025-05-08T07:00:00"/>
        <d v="2025-05-08T08:00:00"/>
        <d v="2025-05-08T09:00:00"/>
        <d v="2025-05-08T10:00:00"/>
        <d v="2025-05-08T11:00:00"/>
        <d v="2025-05-08T12:00:00"/>
        <d v="2025-05-08T13:00:00"/>
        <d v="2025-05-08T14:00:00"/>
        <d v="2025-05-08T15:00:00"/>
        <d v="2025-05-08T16:00:00"/>
        <d v="2025-05-08T17:00:00"/>
        <d v="2025-05-08T18:00:00"/>
        <d v="2025-05-08T19:00:00"/>
        <d v="2025-05-08T20:00:00"/>
        <d v="2025-05-08T21:00:00"/>
        <d v="2025-05-08T22:00:00"/>
        <d v="2025-05-08T23:00:00"/>
        <d v="2025-05-09T00:00:00"/>
        <d v="2025-05-09T01:00:00"/>
        <d v="2025-05-09T02:00:00"/>
        <d v="2025-05-09T03:00:00"/>
        <d v="2025-05-09T04:00:00"/>
        <d v="2025-05-09T05:00:00"/>
        <d v="2025-05-09T06:00:00"/>
        <d v="2025-05-09T07:00:00"/>
        <d v="2025-05-09T08:00:00"/>
        <d v="2025-05-09T09:00:00"/>
        <d v="2025-05-09T10:00:00"/>
        <d v="2025-05-09T11:00:00"/>
        <d v="2025-05-09T12:00:00"/>
        <d v="2025-05-09T13:00:00"/>
        <d v="2025-05-09T14:00:00"/>
        <d v="2025-05-09T15:00:00"/>
        <d v="2025-05-09T16:00:00"/>
        <d v="2025-05-09T17:00:00"/>
        <d v="2025-05-09T18:00:00"/>
        <d v="2025-05-09T19:00:00"/>
        <d v="2025-05-09T20:00:00"/>
        <d v="2025-05-09T21:00:00"/>
        <d v="2025-05-09T22:00:00"/>
        <d v="2025-05-09T23:00:00"/>
        <d v="2025-05-10T00:00:00"/>
        <d v="2025-05-10T01:00:00"/>
        <d v="2025-05-10T02:00:00"/>
        <d v="2025-05-10T03:00:00"/>
        <d v="2025-05-10T04:00:00"/>
        <d v="2025-05-10T05:00:00"/>
        <d v="2025-05-10T06:00:00"/>
        <d v="2025-05-10T07:00:00"/>
        <d v="2025-05-10T08:00:00"/>
        <d v="2025-05-10T09:00:00"/>
        <d v="2025-05-10T10:00:00"/>
        <d v="2025-05-10T11:00:00"/>
        <d v="2025-05-10T12:00:00"/>
        <d v="2025-05-10T13:00:00"/>
        <d v="2025-05-10T14:00:00"/>
        <d v="2025-05-10T15:00:00"/>
        <d v="2025-05-10T16:00:00"/>
        <d v="2025-05-10T17:00:00"/>
        <d v="2025-05-10T18:00:00"/>
        <d v="2025-05-10T19:00:00"/>
        <d v="2025-05-10T20:00:00"/>
        <d v="2025-05-10T21:00:00"/>
        <d v="2025-05-10T22:00:00"/>
        <d v="2025-05-10T23:00:00"/>
        <d v="2025-05-11T00:00:00"/>
        <d v="2025-05-11T01:00:00"/>
        <d v="2025-05-11T02:00:00"/>
        <d v="2025-05-11T03:00:00"/>
        <d v="2025-05-11T04:00:00"/>
        <d v="2025-05-11T05:00:00"/>
        <d v="2025-05-11T06:00:00"/>
        <d v="2025-05-11T07:00:00"/>
        <d v="2025-05-11T08:00:00"/>
        <d v="2025-05-11T09:00:00"/>
        <d v="2025-05-11T10:00:00"/>
        <d v="2025-05-11T11:00:00"/>
        <d v="2025-05-11T12:00:00"/>
        <d v="2025-05-11T13:00:00"/>
        <d v="2025-05-11T14:00:00"/>
        <d v="2025-05-11T15:00:00"/>
        <d v="2025-05-11T16:00:00"/>
        <d v="2025-05-11T17:00:00"/>
        <d v="2025-05-11T18:00:00"/>
        <d v="2025-05-11T19:00:00"/>
        <d v="2025-05-11T20:00:00"/>
        <d v="2025-05-11T21:00:00"/>
        <d v="2025-05-11T22:00:00"/>
        <d v="2025-05-11T23:00:00"/>
        <d v="2025-05-12T00:00:00"/>
        <d v="2025-05-12T01:00:00"/>
        <d v="2025-05-12T02:00:00"/>
        <d v="2025-05-12T03:00:00"/>
        <d v="2025-05-12T04:00:00"/>
        <d v="2025-05-12T05:00:00"/>
        <d v="2025-05-12T06:00:00"/>
        <d v="2025-05-12T07:00:00"/>
        <d v="2025-05-12T08:00:00"/>
        <d v="2025-05-12T09:00:00"/>
        <d v="2025-05-12T10:00:00"/>
        <d v="2025-05-12T11:00:00"/>
        <d v="2025-05-12T12:00:00"/>
        <d v="2025-05-12T13:00:00"/>
        <d v="2025-05-12T14:00:00"/>
        <d v="2025-05-12T15:00:00"/>
        <d v="2025-05-12T16:00:00"/>
        <d v="2025-05-12T17:00:00"/>
        <d v="2025-05-12T18:00:00"/>
        <d v="2025-05-12T19:00:00"/>
        <d v="2025-05-12T20:00:00"/>
        <d v="2025-05-12T21:00:00"/>
        <d v="2025-05-12T22:00:00"/>
        <d v="2025-05-12T23:00:00"/>
        <d v="2025-05-13T00:00:00"/>
        <d v="2025-05-13T01:00:00"/>
        <d v="2025-05-13T02:00:00"/>
        <d v="2025-05-13T03:00:00"/>
        <d v="2025-05-13T04:00:00"/>
        <d v="2025-05-13T05:00:00"/>
        <d v="2025-05-13T06:00:00"/>
        <d v="2025-05-13T07:00:00"/>
        <d v="2025-05-13T08:00:00"/>
        <d v="2025-05-13T09:00:00"/>
        <d v="2025-05-13T10:00:00"/>
        <d v="2025-05-13T11:00:00"/>
        <d v="2025-05-13T12:00:00"/>
        <d v="2025-05-13T13:00:00"/>
        <d v="2025-05-13T14:00:00"/>
        <d v="2025-05-13T15:00:00"/>
        <d v="2025-05-13T16:00:00"/>
        <d v="2025-05-13T17:00:00"/>
        <d v="2025-05-13T18:00:00"/>
        <d v="2025-05-13T19:00:00"/>
        <d v="2025-05-13T20:00:00"/>
        <d v="2025-05-13T21:00:00"/>
        <d v="2025-05-13T22:00:00"/>
        <d v="2025-05-13T23:00:00"/>
        <d v="2025-05-14T00:00:00"/>
        <d v="2025-05-14T01:00:00"/>
        <d v="2025-05-14T02:00:00"/>
        <d v="2025-05-14T03:00:00"/>
        <d v="2025-05-14T04:00:00"/>
        <d v="2025-05-14T05:00:00"/>
        <d v="2025-05-14T06:00:00"/>
        <d v="2025-05-14T07:00:00"/>
        <d v="2025-05-14T08:00:00"/>
        <d v="2025-05-14T09:00:00"/>
        <d v="2025-05-14T10:00:00"/>
        <d v="2025-05-14T11:00:00"/>
        <d v="2025-05-14T12:00:00"/>
        <d v="2025-05-14T13:00:00"/>
        <d v="2025-05-14T14:00:00"/>
        <d v="2025-05-14T15:00:00"/>
        <d v="2025-05-14T16:00:00"/>
        <d v="2025-05-14T17:00:00"/>
        <d v="2025-05-14T18:00:00"/>
        <d v="2025-05-14T19:00:00"/>
        <d v="2025-05-14T20:00:00"/>
        <d v="2025-05-14T21:00:00"/>
        <d v="2025-05-14T22:00:00"/>
        <d v="2025-05-14T23:00:00"/>
        <d v="2025-05-15T00:00:00"/>
        <d v="2025-05-15T01:00:00"/>
        <d v="2025-05-15T02:00:00"/>
        <d v="2025-05-15T03:00:00"/>
        <d v="2025-05-15T04:00:00"/>
        <d v="2025-05-15T05:00:00"/>
        <d v="2025-05-15T06:00:00"/>
        <d v="2025-05-15T07:00:00"/>
        <d v="2025-05-15T08:00:00"/>
        <d v="2025-05-15T09:00:00"/>
        <d v="2025-05-15T10:00:00"/>
        <d v="2025-05-15T11:00:00"/>
        <d v="2025-05-15T12:00:00"/>
        <d v="2025-05-15T13:00:00"/>
        <d v="2025-05-15T14:00:00"/>
        <d v="2025-05-15T15:00:00"/>
        <d v="2025-05-15T16:00:00"/>
        <d v="2025-05-15T17:00:00"/>
        <d v="2025-05-15T18:00:00"/>
        <d v="2025-05-15T19:00:00"/>
        <d v="2025-05-15T20:00:00"/>
        <d v="2025-05-15T21:00:00"/>
        <d v="2025-05-15T22:00:00"/>
        <d v="2025-05-15T23:00:00"/>
        <d v="2025-05-16T00:00:00"/>
        <d v="2025-05-16T01:00:00"/>
        <d v="2025-05-16T02:00:00"/>
        <d v="2025-05-16T03:00:00"/>
        <d v="2025-05-16T04:00:00"/>
        <d v="2025-05-16T05:00:00"/>
        <d v="2025-05-16T06:00:00"/>
        <d v="2025-05-16T07:00:00"/>
        <d v="2025-05-16T08:00:00"/>
        <d v="2025-05-16T09:00:00"/>
        <d v="2025-05-16T10:00:00"/>
        <d v="2025-05-16T11:00:00"/>
        <d v="2025-05-16T12:00:00"/>
        <d v="2025-05-16T13:00:00"/>
        <d v="2025-05-16T14:00:00"/>
        <d v="2025-05-16T15:00:00"/>
        <d v="2025-05-16T16:00:00"/>
        <d v="2025-05-16T17:00:00"/>
        <d v="2025-05-16T18:00:00"/>
        <d v="2025-05-16T19:00:00"/>
        <d v="2025-05-16T20:00:00"/>
        <d v="2025-05-16T21:00:00"/>
        <d v="2025-05-16T22:00:00"/>
        <d v="2025-05-16T23:00:00"/>
        <d v="2025-05-17T00:00:00"/>
        <d v="2025-05-17T01:00:00"/>
        <d v="2025-05-17T02:00:00"/>
        <d v="2025-05-17T03:00:00"/>
        <d v="2025-05-17T04:00:00"/>
        <d v="2025-05-17T05:00:00"/>
        <d v="2025-05-17T06:00:00"/>
        <d v="2025-05-17T07:00:00"/>
        <d v="2025-05-17T08:00:00"/>
        <d v="2025-05-17T09:00:00"/>
        <d v="2025-05-17T10:00:00"/>
        <d v="2025-05-17T11:00:00"/>
        <d v="2025-05-17T12:00:00"/>
        <d v="2025-05-17T13:00:00"/>
        <d v="2025-05-17T14:00:00"/>
        <d v="2025-05-17T15:00:00"/>
        <d v="2025-05-17T16:00:00"/>
        <d v="2025-05-17T17:00:00"/>
        <d v="2025-05-17T18:00:00"/>
        <d v="2025-05-17T19:00:00"/>
        <d v="2025-05-17T20:00:00"/>
        <d v="2025-05-17T21:00:00"/>
        <d v="2025-05-17T22:00:00"/>
        <d v="2025-05-17T23:00:00"/>
        <d v="2025-05-18T00:00:00"/>
        <d v="2025-05-18T01:00:00"/>
        <d v="2025-05-18T02:00:00"/>
        <d v="2025-05-18T03:00:00"/>
        <d v="2025-05-18T04:00:00"/>
        <d v="2025-05-18T05:00:00"/>
        <d v="2025-05-18T06:00:00"/>
        <d v="2025-05-18T07:00:00"/>
        <d v="2025-05-18T08:00:00"/>
        <d v="2025-05-18T09:00:00"/>
        <d v="2025-05-18T10:00:00"/>
        <d v="2025-05-18T11:00:00"/>
        <d v="2025-05-18T12:00:00"/>
        <d v="2025-05-18T13:00:00"/>
        <d v="2025-05-18T14:00:00"/>
        <d v="2025-05-18T15:00:00"/>
        <d v="2025-05-18T16:00:00"/>
        <d v="2025-05-18T17:00:00"/>
        <d v="2025-05-18T18:00:00"/>
        <d v="2025-05-18T19:00:00"/>
        <d v="2025-05-18T20:00:00"/>
        <d v="2025-05-18T21:00:00"/>
        <d v="2025-05-18T22:00:00"/>
        <d v="2025-05-18T23:00:00"/>
        <d v="2025-05-19T00:00:00"/>
        <d v="2025-05-19T01:00:00"/>
        <d v="2025-05-19T02:00:00"/>
        <d v="2025-05-19T03:00:00"/>
        <d v="2025-05-19T04:00:00"/>
        <d v="2025-05-19T05:00:00"/>
        <d v="2025-05-19T06:00:00"/>
        <d v="2025-05-19T07:00:00"/>
        <d v="2025-05-19T08:00:00"/>
        <d v="2025-05-19T09:00:00"/>
        <d v="2025-05-19T10:00:00"/>
        <d v="2025-05-19T11:00:00"/>
        <d v="2025-05-19T12:00:00"/>
        <d v="2025-05-19T13:00:00"/>
        <d v="2025-05-19T14:00:00"/>
        <d v="2025-05-19T15:00:00"/>
        <d v="2025-05-19T16:00:00"/>
        <d v="2025-05-19T17:00:00"/>
        <d v="2025-05-19T18:00:00"/>
        <d v="2025-05-19T19:00:00"/>
        <d v="2025-05-19T20:00:00"/>
        <d v="2025-05-19T21:00:00"/>
        <d v="2025-05-19T22:00:00"/>
        <d v="2025-05-19T23:00:00"/>
        <d v="2025-05-20T00:00:00"/>
        <d v="2025-05-20T01:00:00"/>
        <d v="2025-05-20T02:00:00"/>
        <d v="2025-05-20T03:00:00"/>
        <d v="2025-05-20T04:00:00"/>
        <d v="2025-05-20T05:00:00"/>
        <d v="2025-05-20T06:00:00"/>
        <d v="2025-05-20T07:00:00"/>
        <d v="2025-05-20T08:00:00"/>
        <d v="2025-05-20T09:00:00"/>
        <d v="2025-05-20T10:00:00"/>
        <d v="2025-05-20T11:00:00"/>
        <d v="2025-05-20T12:00:00"/>
        <d v="2025-05-20T13:00:00"/>
        <d v="2025-05-20T14:00:00"/>
        <d v="2025-05-20T15:00:00"/>
        <d v="2025-05-20T16:00:00"/>
        <d v="2025-05-20T17:00:00"/>
        <d v="2025-05-20T18:00:00"/>
        <d v="2025-05-20T19:00:00"/>
        <d v="2025-05-20T20:00:00"/>
        <d v="2025-05-20T21:00:00"/>
        <d v="2025-05-20T22:00:00"/>
        <d v="2025-05-20T23:00:00"/>
        <d v="2025-05-21T00:00:00"/>
        <d v="2025-05-21T01:00:00"/>
        <d v="2025-05-21T02:00:00"/>
        <d v="2025-05-21T03:00:00"/>
        <d v="2025-05-21T04:00:00"/>
        <d v="2025-05-21T05:00:00"/>
        <d v="2025-05-21T06:00:00"/>
        <d v="2025-05-21T07:00:00"/>
        <d v="2025-05-21T08:00:00"/>
        <d v="2025-05-21T09:00:00"/>
        <d v="2025-05-21T10:00:00"/>
        <d v="2025-05-21T11:00:00"/>
        <d v="2025-05-21T12:00:00"/>
        <d v="2025-05-21T13:00:00"/>
        <d v="2025-05-21T14:00:00"/>
        <d v="2025-05-21T15:00:00"/>
        <d v="2025-05-21T16:00:00"/>
        <d v="2025-05-21T17:00:00"/>
        <d v="2025-05-21T18:00:00"/>
        <d v="2025-05-21T19:00:00"/>
        <d v="2025-05-21T20:00:00"/>
        <d v="2025-05-21T21:00:00"/>
        <d v="2025-05-21T22:00:00"/>
        <d v="2025-05-21T23:00:00"/>
        <d v="2025-05-22T00:00:00"/>
        <d v="2025-05-22T01:00:00"/>
        <d v="2025-05-22T02:00:00"/>
        <d v="2025-05-22T03:00:00"/>
        <d v="2025-05-22T04:00:00"/>
        <d v="2025-05-22T05:00:00"/>
        <d v="2025-05-22T06:00:00"/>
        <d v="2025-05-22T07:00:00"/>
        <d v="2025-05-22T08:00:00"/>
        <d v="2025-05-22T09:00:00"/>
        <d v="2025-05-22T10:00:00"/>
        <d v="2025-05-22T11:00:00"/>
        <d v="2025-05-22T12:00:00"/>
        <d v="2025-05-22T13:00:00"/>
        <d v="2025-05-22T14:00:00"/>
        <d v="2025-05-22T15:00:00"/>
        <d v="2025-05-22T16:00:00"/>
        <d v="2025-05-22T17:00:00"/>
        <d v="2025-05-22T18:00:00"/>
        <d v="2025-05-22T19:00:00"/>
        <d v="2025-05-22T20:00:00"/>
        <d v="2025-05-22T21:00:00"/>
        <d v="2025-05-22T22:00:00"/>
        <d v="2025-05-22T23:00:00"/>
        <d v="2025-05-23T00:00:00"/>
        <d v="2025-05-23T01:00:00"/>
        <d v="2025-05-23T02:00:00"/>
        <d v="2025-05-23T03:00:00"/>
        <d v="2025-05-23T04:00:00"/>
        <d v="2025-05-23T05:00:00"/>
        <d v="2025-05-23T06:00:00"/>
        <d v="2025-05-23T07:00:00"/>
        <d v="2025-05-23T08:00:00"/>
        <d v="2025-05-23T09:00:00"/>
        <d v="2025-05-23T10:00:00"/>
        <d v="2025-05-23T11:00:00"/>
        <d v="2025-05-23T12:00:00"/>
        <d v="2025-05-23T13:00:00"/>
        <d v="2025-05-23T14:00:00"/>
        <d v="2025-05-23T15:00:00"/>
        <d v="2025-05-23T16:00:00"/>
        <d v="2025-05-23T17:00:00"/>
        <d v="2025-05-23T18:00:00"/>
        <d v="2025-05-23T19:00:00"/>
        <d v="2025-05-23T20:00:00"/>
        <d v="2025-05-23T21:00:00"/>
        <d v="2025-05-23T22:00:00"/>
        <d v="2025-05-23T23:00:00"/>
        <d v="2025-05-24T00:00:00"/>
        <d v="2025-05-24T01:00:00"/>
        <d v="2025-05-24T02:00:00"/>
        <d v="2025-05-24T03:00:00"/>
        <d v="2025-05-24T04:00:00"/>
        <d v="2025-05-24T05:00:00"/>
        <d v="2025-05-24T06:00:00"/>
        <d v="2025-05-24T07:00:00"/>
        <d v="2025-05-24T08:00:00"/>
        <d v="2025-05-24T09:00:00"/>
        <d v="2025-05-24T10:00:00"/>
        <d v="2025-05-24T11:00:00"/>
        <d v="2025-05-24T12:00:00"/>
        <d v="2025-05-24T13:00:00"/>
        <d v="2025-05-24T14:00:00"/>
        <d v="2025-05-24T15:00:00"/>
        <d v="2025-05-24T16:00:00"/>
        <d v="2025-05-24T17:00:00"/>
        <d v="2025-05-24T18:00:00"/>
        <d v="2025-05-24T19:00:00"/>
        <d v="2025-05-24T20:00:00"/>
        <d v="2025-05-24T21:00:00"/>
        <d v="2025-05-24T22:00:00"/>
        <d v="2025-05-24T23:00:00"/>
        <d v="2025-05-25T00:00:00"/>
        <d v="2025-05-25T01:00:00"/>
        <d v="2025-05-25T02:00:00"/>
        <d v="2025-05-25T03:00:00"/>
        <d v="2025-05-25T04:00:00"/>
        <d v="2025-05-25T05:00:00"/>
        <d v="2025-05-25T06:00:00"/>
        <d v="2025-05-25T07:00:00"/>
        <d v="2025-05-25T08:00:00"/>
        <d v="2025-05-25T09:00:00"/>
        <d v="2025-05-25T10:00:00"/>
        <d v="2025-05-25T11:00:00"/>
        <d v="2025-05-25T12:00:00"/>
        <d v="2025-05-25T13:00:00"/>
        <d v="2025-05-25T14:00:00"/>
        <d v="2025-05-25T15:00:00"/>
        <d v="2025-05-25T16:00:00"/>
        <d v="2025-05-25T17:00:00"/>
        <d v="2025-05-25T18:00:00"/>
        <d v="2025-05-25T19:00:00"/>
        <d v="2025-05-25T20:00:00"/>
        <d v="2025-05-25T21:00:00"/>
        <d v="2025-05-25T22:00:00"/>
        <d v="2025-05-25T23:00:00"/>
        <d v="2025-05-26T00:00:00"/>
        <d v="2025-05-26T01:00:00"/>
        <d v="2025-05-26T02:00:00"/>
        <d v="2025-05-26T03:00:00"/>
        <d v="2025-05-26T04:00:00"/>
        <d v="2025-05-26T05:00:00"/>
        <d v="2025-05-26T06:00:00"/>
        <d v="2025-05-26T07:00:00"/>
        <d v="2025-05-26T08:00:00"/>
        <d v="2025-05-26T09:00:00"/>
        <d v="2025-05-26T10:00:00"/>
        <d v="2025-05-26T11:00:00"/>
        <d v="2025-05-26T12:00:00"/>
        <d v="2025-05-26T13:00:00"/>
        <d v="2025-05-26T14:00:00"/>
        <d v="2025-05-26T15:00:00"/>
        <d v="2025-05-26T16:00:00"/>
        <d v="2025-05-26T17:00:00"/>
        <d v="2025-05-26T18:00:00"/>
        <d v="2025-05-26T19:00:00"/>
        <d v="2025-05-26T20:00:00"/>
        <d v="2025-05-26T21:00:00"/>
        <d v="2025-05-26T22:00:00"/>
        <d v="2025-05-26T23:00:00"/>
        <d v="2025-05-27T00:00:00"/>
        <d v="2025-05-27T01:00:00"/>
        <d v="2025-05-27T02:00:00"/>
        <d v="2025-05-27T03:00:00"/>
        <d v="2025-05-27T04:00:00"/>
        <d v="2025-05-27T05:00:00"/>
        <d v="2025-05-27T06:00:00"/>
        <d v="2025-05-27T07:00:00"/>
        <d v="2025-05-27T08:00:00"/>
        <d v="2025-05-27T09:00:00"/>
        <d v="2025-05-27T10:00:00"/>
        <d v="2025-05-27T11:00:00"/>
        <d v="2025-05-27T12:00:00"/>
        <d v="2025-05-27T13:00:00"/>
        <d v="2025-05-27T14:00:00"/>
        <d v="2025-05-27T15:00:00"/>
        <d v="2025-05-27T16:00:00"/>
        <d v="2025-05-27T17:00:00"/>
        <d v="2025-05-27T18:00:00"/>
        <d v="2025-05-27T19:00:00"/>
        <d v="2025-05-27T20:00:00"/>
        <d v="2025-05-27T21:00:00"/>
        <d v="2025-05-27T22:00:00"/>
        <d v="2025-05-27T23:00:00"/>
        <d v="2025-05-28T00:00:00"/>
        <d v="2025-05-28T01:00:00"/>
        <d v="2025-05-28T02:00:00"/>
        <d v="2025-05-28T03:00:00"/>
        <d v="2025-05-28T04:00:00"/>
        <d v="2025-05-28T05:00:00"/>
        <d v="2025-05-28T06:00:00"/>
        <d v="2025-05-28T07:00:00"/>
        <d v="2025-05-28T08:00:00"/>
        <d v="2025-05-28T09:00:00"/>
        <d v="2025-05-28T10:00:00"/>
        <d v="2025-05-28T11:00:00"/>
        <d v="2025-05-28T12:00:00"/>
        <d v="2025-05-28T13:00:00"/>
        <d v="2025-05-28T14:00:00"/>
        <d v="2025-05-28T15:00:00"/>
        <d v="2025-05-28T16:00:00"/>
        <d v="2025-05-28T17:00:00"/>
        <d v="2025-05-28T18:00:00"/>
        <d v="2025-05-28T19:00:00"/>
        <d v="2025-05-28T20:00:00"/>
        <d v="2025-05-28T21:00:00"/>
        <d v="2025-05-28T22:00:00"/>
        <d v="2025-05-28T23:00:00"/>
        <d v="2025-05-29T00:00:00"/>
        <d v="2025-05-29T01:00:00"/>
        <d v="2025-05-29T02:00:00"/>
        <d v="2025-05-29T03:00:00"/>
        <d v="2025-05-29T04:00:00"/>
        <d v="2025-05-29T05:00:00"/>
        <d v="2025-05-29T06:00:00"/>
        <d v="2025-05-29T07:00:00"/>
        <d v="2025-05-29T08:00:00"/>
        <d v="2025-05-29T09:00:00"/>
        <d v="2025-05-29T10:00:00"/>
        <d v="2025-05-29T11:00:00"/>
        <d v="2025-05-29T12:00:00"/>
        <d v="2025-05-29T13:00:00"/>
        <d v="2025-05-29T14:00:00"/>
        <d v="2025-05-29T15:00:00"/>
        <d v="2025-05-29T16:00:00"/>
        <d v="2025-05-29T17:00:00"/>
        <d v="2025-05-29T18:00:00"/>
        <d v="2025-05-29T19:00:00"/>
        <d v="2025-05-29T20:00:00"/>
        <d v="2025-05-29T21:00:00"/>
        <d v="2025-05-29T22:00:00"/>
        <d v="2025-05-29T23:00:00"/>
        <d v="2025-05-30T00:00:00"/>
        <d v="2025-05-30T01:00:00"/>
        <d v="2025-05-30T02:00:00"/>
        <d v="2025-05-30T03:00:00"/>
        <d v="2025-05-30T04:00:00"/>
        <d v="2025-05-30T05:00:00"/>
        <d v="2025-05-30T06:00:00"/>
        <d v="2025-05-30T07:00:00"/>
        <d v="2025-05-30T08:00:00"/>
        <d v="2025-05-30T09:00:00"/>
        <d v="2025-05-30T10:00:00"/>
        <d v="2025-05-30T11:00:00"/>
        <d v="2025-05-30T12:00:00"/>
        <d v="2025-05-30T13:00:00"/>
        <d v="2025-05-30T14:00:00"/>
        <d v="2025-05-30T15:00:00"/>
        <d v="2025-05-30T16:00:00"/>
        <d v="2025-05-30T17:00:00"/>
        <d v="2025-05-30T18:00:00"/>
        <d v="2025-05-30T19:00:00"/>
        <d v="2025-05-30T20:00:00"/>
        <d v="2025-05-30T21:00:00"/>
        <d v="2025-05-30T22:00:00"/>
        <d v="2025-05-30T23:00:00"/>
        <d v="2025-05-31T00:00:00"/>
        <d v="2025-05-31T01:00:00"/>
        <d v="2025-05-31T02:00:00"/>
        <d v="2025-05-31T03:00:00"/>
        <d v="2025-05-31T04:00:00"/>
        <d v="2025-05-31T05:00:00"/>
        <d v="2025-05-31T06:00:00"/>
        <d v="2025-05-31T07:00:00"/>
        <d v="2025-05-31T08:00:00"/>
        <d v="2025-05-31T09:00:00"/>
        <d v="2025-05-31T10:00:00"/>
        <d v="2025-05-31T11:00:00"/>
        <d v="2025-05-31T12:00:00"/>
        <d v="2025-05-31T13:00:00"/>
        <d v="2025-05-31T14:00:00"/>
        <d v="2025-05-31T15:00:00"/>
        <d v="2025-05-31T16:00:00"/>
        <d v="2025-05-31T17:00:00"/>
        <d v="2025-05-31T18:00:00"/>
        <d v="2025-05-31T19:00:00"/>
        <d v="2025-05-31T20:00:00"/>
        <d v="2025-05-31T21:00:00"/>
        <d v="2025-05-31T22:00:00"/>
        <d v="2025-05-31T23:00:00"/>
        <d v="2025-06-01T00:00:00"/>
        <d v="2025-06-01T01:00:00"/>
        <d v="2025-06-01T02:00:00"/>
        <d v="2025-06-01T03:00:00"/>
        <d v="2025-06-01T04:00:00"/>
        <d v="2025-06-01T05:00:00"/>
        <d v="2025-06-01T06:00:00"/>
        <d v="2025-06-01T07:00:00"/>
        <d v="2025-06-01T08:00:00"/>
        <d v="2025-06-01T09:00:00"/>
        <d v="2025-06-01T10:00:00"/>
        <d v="2025-06-01T11:00:00"/>
        <d v="2025-06-01T12:00:00"/>
        <d v="2025-06-01T13:00:00"/>
        <d v="2025-06-01T14:00:00"/>
        <d v="2025-06-01T15:00:00"/>
        <d v="2025-06-01T16:00:00"/>
        <d v="2025-06-01T17:00:00"/>
        <d v="2025-06-01T18:00:00"/>
        <d v="2025-06-01T19:00:00"/>
        <d v="2025-06-01T20:00:00"/>
        <d v="2025-06-01T21:00:00"/>
        <d v="2025-06-01T22:00:00"/>
        <d v="2025-06-01T23:00:00"/>
        <d v="2025-06-02T00:00:00"/>
        <d v="2025-06-02T01:00:00"/>
        <d v="2025-06-02T02:00:00"/>
        <d v="2025-06-02T03:00:00"/>
        <d v="2025-06-02T04:00:00"/>
        <d v="2025-06-02T05:00:00"/>
        <d v="2025-06-02T06:00:00"/>
        <d v="2025-06-02T07:00:00"/>
        <d v="2025-06-02T08:00:00"/>
        <d v="2025-06-02T09:00:00"/>
        <d v="2025-06-02T10:00:00"/>
        <d v="2025-06-02T11:00:00"/>
        <d v="2025-06-02T12:00:00"/>
        <d v="2025-06-02T13:00:00"/>
        <d v="2025-06-02T14:00:00"/>
        <d v="2025-06-02T15:00:00"/>
        <d v="2025-06-02T16:00:00"/>
        <d v="2025-06-02T17:00:00"/>
        <d v="2025-06-02T18:00:00"/>
        <d v="2025-06-02T19:00:00"/>
        <d v="2025-06-02T20:00:00"/>
        <d v="2025-06-02T21:00:00"/>
        <d v="2025-06-02T22:00:00"/>
        <d v="2025-06-02T23:00:00"/>
        <d v="2025-06-03T00:00:00"/>
        <d v="2025-06-03T01:00:00"/>
        <d v="2025-06-03T02:00:00"/>
        <d v="2025-06-03T03:00:00"/>
        <d v="2025-06-03T04:00:00"/>
        <d v="2025-06-03T05:00:00"/>
        <d v="2025-06-03T06:00:00"/>
        <d v="2025-06-03T07:00:00"/>
        <d v="2025-06-03T08:00:00"/>
        <d v="2025-06-03T09:00:00"/>
        <d v="2025-06-03T10:00:00"/>
        <d v="2025-06-03T11:00:00"/>
        <d v="2025-06-03T12:00:00"/>
        <d v="2025-06-03T13:00:00"/>
        <d v="2025-06-03T14:00:00"/>
        <d v="2025-06-03T15:00:00"/>
        <d v="2025-06-03T16:00:00"/>
        <d v="2025-06-03T17:00:00"/>
        <d v="2025-06-03T18:00:00"/>
        <d v="2025-06-03T19:00:00"/>
        <d v="2025-06-03T20:00:00"/>
        <d v="2025-06-03T21:00:00"/>
        <d v="2025-06-03T22:00:00"/>
        <d v="2025-06-03T23:00:00"/>
        <d v="2025-06-04T00:00:00"/>
        <d v="2025-06-04T01:00:00"/>
        <d v="2025-06-04T02:00:00"/>
        <d v="2025-06-04T03:00:00"/>
        <d v="2025-06-04T04:00:00"/>
        <d v="2025-06-04T05:00:00"/>
        <d v="2025-06-04T06:00:00"/>
        <d v="2025-06-04T07:00:00"/>
        <d v="2025-06-04T08:00:00"/>
        <d v="2025-06-04T09:00:00"/>
        <d v="2025-06-04T10:00:00"/>
        <d v="2025-06-04T11:00:00"/>
        <d v="2025-06-04T12:00:00"/>
        <d v="2025-06-04T13:00:00"/>
        <d v="2025-06-04T14:00:00"/>
        <d v="2025-06-04T15:00:00"/>
        <d v="2025-06-04T16:00:00"/>
        <d v="2025-06-04T17:00:00"/>
        <d v="2025-06-04T18:00:00"/>
        <d v="2025-06-04T19:00:00"/>
        <d v="2025-06-04T20:00:00"/>
        <d v="2025-06-04T21:00:00"/>
        <d v="2025-06-04T22:00:00"/>
        <d v="2025-06-04T23:00:00"/>
        <d v="2025-06-05T00:00:00"/>
        <d v="2025-06-05T01:00:00"/>
        <d v="2025-06-05T02:00:00"/>
        <d v="2025-06-05T03:00:00"/>
        <d v="2025-06-05T04:00:00"/>
        <d v="2025-06-05T05:00:00"/>
        <d v="2025-06-05T06:00:00"/>
        <d v="2025-06-05T07:00:00"/>
        <d v="2025-06-05T08:00:00"/>
        <d v="2025-06-05T09:00:00"/>
        <d v="2025-06-05T10:00:00"/>
        <d v="2025-06-05T11:00:00"/>
        <d v="2025-06-05T12:00:00"/>
        <d v="2025-06-05T13:00:00"/>
        <d v="2025-06-05T14:00:00"/>
        <d v="2025-06-05T15:00:00"/>
        <d v="2025-06-05T16:00:00"/>
        <d v="2025-06-05T17:00:00"/>
        <d v="2025-06-05T18:00:00"/>
        <d v="2025-06-05T19:00:00"/>
        <d v="2025-06-05T20:00:00"/>
        <d v="2025-06-05T21:00:00"/>
        <d v="2025-06-05T22:00:00"/>
        <d v="2025-06-05T23:00:00"/>
        <d v="2025-06-06T00:00:00"/>
        <d v="2025-06-06T01:00:00"/>
        <d v="2025-06-06T02:00:00"/>
        <d v="2025-06-06T03:00:00"/>
        <d v="2025-06-06T04:00:00"/>
        <d v="2025-06-06T05:00:00"/>
        <d v="2025-06-06T06:00:00"/>
        <d v="2025-06-06T07:00:00"/>
        <d v="2025-06-06T08:00:00"/>
        <d v="2025-06-06T09:00:00"/>
        <d v="2025-06-06T10:00:00"/>
        <d v="2025-06-06T11:00:00"/>
        <d v="2025-06-06T12:00:00"/>
        <d v="2025-06-06T13:00:00"/>
        <d v="2025-06-06T14:00:00"/>
        <d v="2025-06-06T15:00:00"/>
        <d v="2025-06-06T16:00:00"/>
        <d v="2025-06-06T17:00:00"/>
        <d v="2025-06-06T18:00:00"/>
        <d v="2025-06-06T19:00:00"/>
        <d v="2025-06-06T20:00:00"/>
        <d v="2025-06-06T21:00:00"/>
        <d v="2025-06-06T22:00:00"/>
        <d v="2025-06-06T23:00:00"/>
        <d v="2025-06-07T00:00:00"/>
        <d v="2025-06-07T01:00:00"/>
        <d v="2025-06-07T02:00:00"/>
        <d v="2025-06-07T03:00:00"/>
        <d v="2025-06-07T04:00:00"/>
        <d v="2025-06-07T05:00:00"/>
        <d v="2025-06-07T06:00:00"/>
        <d v="2025-06-07T07:00:00"/>
        <d v="2025-06-07T08:00:00"/>
        <d v="2025-06-07T09:00:00"/>
        <d v="2025-06-07T10:00:00"/>
        <d v="2025-06-07T11:00:00"/>
        <d v="2025-06-07T12:00:00"/>
        <d v="2025-06-07T13:00:00"/>
        <d v="2025-06-07T14:00:00"/>
        <d v="2025-06-07T15:00:00"/>
        <d v="2025-06-07T16:00:00"/>
        <d v="2025-06-07T17:00:00"/>
        <d v="2025-06-07T18:00:00"/>
        <d v="2025-06-07T19:00:00"/>
        <d v="2025-06-07T20:00:00"/>
        <d v="2025-06-07T21:00:00"/>
        <d v="2025-06-07T22:00:00"/>
        <d v="2025-06-07T23:00:00"/>
        <d v="2025-06-08T00:00:00"/>
        <d v="2025-06-08T01:00:00"/>
        <d v="2025-06-08T02:00:00"/>
        <d v="2025-06-08T03:00:00"/>
        <d v="2025-06-08T04:00:00"/>
        <d v="2025-06-08T05:00:00"/>
        <d v="2025-06-08T06:00:00"/>
        <d v="2025-06-08T07:00:00"/>
        <d v="2025-06-08T08:00:00"/>
        <d v="2025-06-08T09:00:00"/>
        <d v="2025-06-08T10:00:00"/>
        <d v="2025-06-08T11:00:00"/>
        <d v="2025-06-08T12:00:00"/>
        <d v="2025-06-08T13:00:00"/>
        <d v="2025-06-08T14:00:00"/>
        <d v="2025-06-08T15:00:00"/>
        <d v="2025-06-08T16:00:00"/>
        <d v="2025-06-08T17:00:00"/>
        <d v="2025-06-08T18:00:00"/>
        <d v="2025-06-08T19:00:00"/>
        <d v="2025-06-08T20:00:00"/>
        <d v="2025-06-08T21:00:00"/>
        <d v="2025-06-08T22:00:00"/>
        <d v="2025-06-08T23:00:00"/>
        <d v="2025-06-09T00:00:00"/>
        <d v="2025-06-09T01:00:00"/>
        <d v="2025-06-09T02:00:00"/>
        <d v="2025-06-09T03:00:00"/>
        <d v="2025-06-09T04:00:00"/>
        <d v="2025-06-09T05:00:00"/>
        <d v="2025-06-09T06:00:00"/>
        <d v="2025-06-09T07:00:00"/>
        <d v="2025-06-09T08:00:00"/>
        <d v="2025-06-09T09:00:00"/>
        <d v="2025-06-09T10:00:00"/>
        <d v="2025-06-09T11:00:00"/>
        <d v="2025-06-09T12:00:00"/>
        <d v="2025-06-09T13:00:00"/>
        <d v="2025-06-09T14:00:00"/>
        <d v="2025-06-09T15:00:00"/>
        <d v="2025-06-09T16:00:00"/>
        <d v="2025-06-09T17:00:00"/>
        <d v="2025-06-09T18:00:00"/>
        <d v="2025-06-09T19:00:00"/>
        <d v="2025-06-09T20:00:00"/>
        <d v="2025-06-09T21:00:00"/>
        <d v="2025-06-09T22:00:00"/>
        <d v="2025-06-09T23:00:00"/>
        <d v="2025-06-10T00:00:00"/>
        <d v="2025-06-10T01:00:00"/>
        <d v="2025-06-10T02:00:00"/>
        <d v="2025-06-10T03:00:00"/>
        <d v="2025-06-10T04:00:00"/>
        <d v="2025-06-10T05:00:00"/>
        <d v="2025-06-10T06:00:00"/>
        <d v="2025-06-10T07:00:00"/>
        <d v="2025-06-10T08:00:00"/>
        <d v="2025-06-10T09:00:00"/>
        <d v="2025-06-10T10:00:00"/>
        <d v="2025-06-10T11:00:00"/>
        <d v="2025-06-10T12:00:00"/>
        <d v="2025-06-10T13:00:00"/>
        <d v="2025-06-10T14:00:00"/>
        <d v="2025-06-10T15:00:00"/>
        <d v="2025-06-10T16:00:00"/>
        <d v="2025-06-10T17:00:00"/>
        <d v="2025-06-10T18:00:00"/>
        <d v="2025-06-10T19:00:00"/>
        <d v="2025-06-10T20:00:00"/>
        <d v="2025-06-10T21:00:00"/>
        <d v="2025-06-10T22:00:00"/>
        <d v="2025-06-10T23:00:00"/>
        <d v="2025-06-11T00:00:00"/>
        <d v="2025-06-11T01:00:00"/>
        <d v="2025-06-11T02:00:00"/>
        <d v="2025-06-11T03:00:00"/>
        <d v="2025-06-11T04:00:00"/>
        <d v="2025-06-11T05:00:00"/>
        <d v="2025-06-11T06:00:00"/>
        <d v="2025-06-11T07:00:00"/>
        <d v="2025-06-11T08:00:00"/>
        <d v="2025-06-11T09:00:00"/>
        <d v="2025-06-11T10:00:00"/>
        <d v="2025-06-11T11:00:00"/>
        <d v="2025-06-11T12:00:00"/>
        <d v="2025-06-11T13:00:00"/>
        <d v="2025-06-11T14:00:00"/>
        <d v="2025-06-11T15:00:00"/>
        <d v="2025-06-11T16:00:00"/>
        <d v="2025-06-11T17:00:00"/>
        <d v="2025-06-11T18:00:00"/>
        <d v="2025-06-11T19:00:00"/>
        <d v="2025-06-11T20:00:00"/>
        <d v="2025-06-11T21:00:00"/>
        <d v="2025-06-11T22:00:00"/>
        <d v="2025-06-11T23:00:00"/>
        <d v="2025-06-12T00:00:00"/>
        <d v="2025-06-12T01:00:00"/>
        <d v="2025-06-12T02:00:00"/>
        <d v="2025-06-12T03:00:00"/>
        <d v="2025-06-12T04:00:00"/>
        <d v="2025-06-12T05:00:00"/>
        <d v="2025-06-12T06:00:00"/>
        <d v="2025-06-12T07:00:00"/>
        <d v="2025-06-12T08:00:00"/>
        <d v="2025-06-12T09:00:00"/>
        <d v="2025-06-12T10:00:00"/>
        <d v="2025-06-12T11:00:00"/>
        <d v="2025-06-12T12:00:00"/>
        <d v="2025-06-12T13:00:00"/>
        <d v="2025-06-12T14:00:00"/>
        <d v="2025-06-12T15:00:00"/>
        <d v="2025-06-12T16:00:00"/>
        <d v="2025-06-12T17:00:00"/>
        <d v="2025-06-12T18:00:00"/>
        <d v="2025-06-12T19:00:00"/>
        <d v="2025-06-12T20:00:00"/>
        <d v="2025-06-12T21:00:00"/>
        <d v="2025-06-12T22:00:00"/>
        <d v="2025-06-12T23:00:00"/>
        <d v="2025-06-13T00:00:00"/>
        <d v="2025-06-13T01:00:00"/>
        <d v="2025-06-13T02:00:00"/>
        <d v="2025-06-13T03:00:00"/>
        <d v="2025-06-13T04:00:00"/>
        <d v="2025-06-13T05:00:00"/>
        <d v="2025-06-13T06:00:00"/>
        <d v="2025-06-13T07:00:00"/>
        <d v="2025-06-13T08:00:00"/>
        <d v="2025-06-13T09:00:00"/>
        <d v="2025-06-13T10:00:00"/>
        <d v="2025-06-13T11:00:00"/>
        <d v="2025-06-13T12:00:00"/>
        <d v="2025-06-13T13:00:00"/>
        <d v="2025-06-13T14:00:00"/>
        <d v="2025-06-13T15:00:00"/>
        <d v="2025-06-13T16:00:00"/>
        <d v="2025-06-13T17:00:00"/>
        <d v="2025-06-13T18:00:00"/>
        <d v="2025-06-13T19:00:00"/>
        <d v="2025-06-13T20:00:00"/>
        <d v="2025-06-13T21:00:00"/>
        <d v="2025-06-13T22:00:00"/>
        <d v="2025-06-13T23:00:00"/>
        <d v="2025-06-14T00:00:00"/>
        <d v="2025-06-14T01:00:00"/>
        <d v="2025-06-14T02:00:00"/>
        <d v="2025-06-14T03:00:00"/>
        <d v="2025-06-14T04:00:00"/>
        <d v="2025-06-14T05:00:00"/>
        <d v="2025-06-14T06:00:00"/>
        <d v="2025-06-14T07:00:00"/>
        <d v="2025-06-14T08:00:00"/>
        <d v="2025-06-14T09:00:00"/>
        <d v="2025-06-14T10:00:00"/>
        <d v="2025-06-14T11:00:00"/>
        <d v="2025-06-14T12:00:00"/>
        <d v="2025-06-14T13:00:00"/>
        <d v="2025-06-14T14:00:00"/>
        <d v="2025-06-14T15:00:00"/>
        <d v="2025-06-14T16:00:00"/>
        <d v="2025-06-14T17:00:00"/>
        <d v="2025-06-14T18:00:00"/>
        <d v="2025-06-14T19:00:00"/>
        <d v="2025-06-14T20:00:00"/>
        <d v="2025-06-14T21:00:00"/>
        <d v="2025-06-14T22:00:00"/>
        <d v="2025-06-14T23:00:00"/>
        <d v="2025-06-15T00:00:00"/>
        <d v="2025-06-15T01:00:00"/>
        <d v="2025-06-15T02:00:00"/>
        <d v="2025-06-15T03:00:00"/>
        <d v="2025-06-15T04:00:00"/>
        <d v="2025-06-15T05:00:00"/>
        <d v="2025-06-15T06:00:00"/>
        <d v="2025-06-15T07:00:00"/>
        <d v="2025-06-15T08:00:00"/>
        <d v="2025-06-15T09:00:00"/>
        <d v="2025-06-15T10:00:00"/>
        <d v="2025-06-15T11:00:00"/>
        <d v="2025-06-15T12:00:00"/>
        <d v="2025-06-15T13:00:00"/>
        <d v="2025-06-15T14:00:00"/>
        <d v="2025-06-15T15:00:00"/>
        <d v="2025-06-15T16:00:00"/>
        <d v="2025-06-15T17:00:00"/>
        <d v="2025-06-15T18:00:00"/>
        <d v="2025-06-15T19:00:00"/>
        <d v="2025-06-15T20:00:00"/>
        <d v="2025-06-15T21:00:00"/>
        <d v="2025-06-15T22:00:00"/>
        <d v="2025-06-15T23:00:00"/>
        <d v="2025-06-16T00:00:00"/>
        <d v="2025-06-16T01:00:00"/>
        <d v="2025-06-16T02:00:00"/>
        <d v="2025-06-16T03:00:00"/>
        <d v="2025-06-16T04:00:00"/>
        <d v="2025-06-16T05:00:00"/>
        <d v="2025-06-16T06:00:00"/>
        <d v="2025-06-16T07:00:00"/>
        <d v="2025-06-16T08:00:00"/>
        <d v="2025-06-16T09:00:00"/>
        <d v="2025-06-16T10:00:00"/>
        <d v="2025-06-16T11:00:00"/>
        <d v="2025-06-16T12:00:00"/>
        <d v="2025-06-16T13:00:00"/>
        <d v="2025-06-16T14:00:00"/>
        <d v="2025-06-16T15:00:00"/>
        <d v="2025-06-16T16:00:00"/>
        <d v="2025-06-16T17:00:00"/>
        <d v="2025-06-16T18:00:00"/>
        <d v="2025-06-16T19:00:00"/>
        <d v="2025-06-16T20:00:00"/>
        <d v="2025-06-16T21:00:00"/>
        <d v="2025-06-16T22:00:00"/>
        <d v="2025-06-16T23:00:00"/>
        <d v="2025-06-17T00:00:00"/>
        <d v="2025-06-17T01:00:00"/>
        <d v="2025-06-17T02:00:00"/>
        <d v="2025-06-17T03:00:00"/>
        <d v="2025-06-17T04:00:00"/>
        <d v="2025-06-17T05:00:00"/>
        <d v="2025-06-17T06:00:00"/>
        <d v="2025-06-17T07:00:00"/>
        <d v="2025-06-17T08:00:00"/>
        <d v="2025-06-17T09:00:00"/>
        <d v="2025-06-17T10:00:00"/>
        <d v="2025-06-17T11:00:00"/>
        <d v="2025-06-17T12:00:00"/>
        <d v="2025-06-17T13:00:00"/>
        <d v="2025-06-17T14:00:00"/>
        <d v="2025-06-17T15:00:00"/>
        <d v="2025-06-17T16:00:00"/>
        <d v="2025-06-17T17:00:00"/>
        <d v="2025-06-17T18:00:00"/>
        <d v="2025-06-17T19:00:00"/>
        <d v="2025-06-17T20:00:00"/>
        <d v="2025-06-17T21:00:00"/>
        <d v="2025-06-17T22:00:00"/>
        <d v="2025-06-17T23:00:00"/>
        <d v="2025-06-18T00:00:00"/>
        <d v="2025-06-18T01:00:00"/>
        <d v="2025-06-18T02:00:00"/>
        <d v="2025-06-18T03:00:00"/>
        <d v="2025-06-18T04:00:00"/>
        <d v="2025-06-18T05:00:00"/>
        <d v="2025-06-18T06:00:00"/>
        <d v="2025-06-18T07:00:00"/>
        <d v="2025-06-18T08:00:00"/>
        <d v="2025-06-18T09:00:00"/>
        <d v="2025-06-18T10:00:00"/>
        <d v="2025-06-18T11:00:00"/>
        <d v="2025-06-18T12:00:00"/>
        <d v="2025-06-18T13:00:00"/>
        <d v="2025-06-18T14:00:00"/>
        <d v="2025-06-18T15:00:00"/>
        <d v="2025-06-18T16:00:00"/>
        <d v="2025-06-18T17:00:00"/>
        <d v="2025-06-18T18:00:00"/>
        <d v="2025-06-18T19:00:00"/>
        <d v="2025-06-18T20:00:00"/>
        <d v="2025-06-18T21:00:00"/>
        <d v="2025-06-18T22:00:00"/>
        <d v="2025-06-18T23:00:00"/>
        <d v="2025-06-19T00:00:00"/>
        <d v="2025-06-19T01:00:00"/>
        <d v="2025-06-19T02:00:00"/>
        <d v="2025-06-19T03:00:00"/>
        <d v="2025-06-19T04:00:00"/>
        <d v="2025-06-19T05:00:00"/>
        <d v="2025-06-19T06:00:00"/>
        <d v="2025-06-19T07:00:00"/>
        <d v="2025-06-19T08:00:00"/>
        <d v="2025-06-19T09:00:00"/>
        <d v="2025-06-19T10:00:00"/>
        <d v="2025-06-19T11:00:00"/>
        <d v="2025-06-19T12:00:00"/>
        <d v="2025-06-19T13:00:00"/>
        <d v="2025-06-19T14:00:00"/>
        <d v="2025-06-19T15:00:00"/>
        <d v="2025-06-19T16:00:00"/>
        <d v="2025-06-19T17:00:00"/>
        <d v="2025-06-19T18:00:00"/>
        <d v="2025-06-19T19:00:00"/>
        <d v="2025-06-19T20:00:00"/>
        <d v="2025-06-19T21:00:00"/>
        <d v="2025-06-19T22:00:00"/>
        <d v="2025-06-19T23:00:00"/>
        <d v="2025-06-20T00:00:00"/>
        <d v="2025-06-20T01:00:00"/>
        <d v="2025-06-20T02:00:00"/>
        <d v="2025-06-20T03:00:00"/>
        <d v="2025-06-20T04:00:00"/>
        <d v="2025-06-20T05:00:00"/>
        <d v="2025-06-20T06:00:00"/>
        <d v="2025-06-20T07:00:00"/>
        <d v="2025-06-20T08:00:00"/>
        <d v="2025-06-20T09:00:00"/>
        <d v="2025-06-20T10:00:00"/>
        <d v="2025-06-20T11:00:00"/>
        <d v="2025-06-20T12:00:00"/>
        <d v="2025-06-20T13:00:00"/>
        <d v="2025-06-20T14:00:00"/>
        <d v="2025-06-20T15:00:00"/>
        <d v="2025-06-20T16:00:00"/>
        <d v="2025-06-20T17:00:00"/>
        <d v="2025-06-20T18:00:00"/>
        <d v="2025-06-20T19:00:00"/>
        <d v="2025-06-20T20:00:00"/>
        <d v="2025-06-20T21:00:00"/>
        <d v="2025-06-20T22:00:00"/>
        <d v="2025-06-20T23:00:00"/>
        <d v="2025-06-21T00:00:00"/>
        <d v="2025-06-21T01:00:00"/>
        <d v="2025-06-21T02:00:00"/>
        <d v="2025-06-21T03:00:00"/>
        <d v="2025-06-21T04:00:00"/>
        <d v="2025-06-21T05:00:00"/>
        <d v="2025-06-21T06:00:00"/>
        <d v="2025-06-21T07:00:00"/>
        <d v="2025-06-21T08:00:00"/>
        <d v="2025-06-21T09:00:00"/>
        <d v="2025-06-21T10:00:00"/>
        <d v="2025-06-21T11:00:00"/>
        <d v="2025-06-21T12:00:00"/>
        <d v="2025-06-21T13:00:00"/>
        <d v="2025-06-21T14:00:00"/>
        <d v="2025-06-21T15:00:00"/>
        <d v="2025-06-21T16:00:00"/>
        <d v="2025-06-21T17:00:00"/>
        <d v="2025-06-21T18:00:00"/>
        <d v="2025-06-21T19:00:00"/>
        <d v="2025-06-21T20:00:00"/>
        <d v="2025-06-21T21:00:00"/>
        <d v="2025-06-21T22:00:00"/>
        <d v="2025-06-21T23:00:00"/>
        <d v="2025-06-22T00:00:00"/>
        <d v="2025-06-22T01:00:00"/>
        <d v="2025-06-22T02:00:00"/>
        <d v="2025-06-22T03:00:00"/>
        <d v="2025-06-22T04:00:00"/>
        <d v="2025-06-22T05:00:00"/>
        <d v="2025-06-22T06:00:00"/>
        <d v="2025-06-22T07:00:00"/>
        <d v="2025-06-22T08:00:00"/>
        <d v="2025-06-22T09:00:00"/>
        <d v="2025-06-22T10:00:00"/>
        <d v="2025-06-22T11:00:00"/>
        <d v="2025-06-22T12:00:00"/>
        <d v="2025-06-22T13:00:00"/>
        <d v="2025-06-22T14:00:00"/>
        <d v="2025-06-22T15:00:00"/>
        <d v="2025-06-22T16:00:00"/>
        <d v="2025-06-22T17:00:00"/>
        <d v="2025-06-22T18:00:00"/>
        <d v="2025-06-22T19:00:00"/>
        <d v="2025-06-22T20:00:00"/>
        <d v="2025-06-22T21:00:00"/>
        <d v="2025-06-22T22:00:00"/>
        <d v="2025-06-22T23:00:00"/>
        <d v="2025-06-23T00:00:00"/>
        <d v="2025-06-23T01:00:00"/>
        <d v="2025-06-23T02:00:00"/>
        <d v="2025-06-23T03:00:00"/>
        <d v="2025-06-23T04:00:00"/>
        <d v="2025-06-23T05:00:00"/>
        <d v="2025-06-23T06:00:00"/>
        <d v="2025-06-23T07:00:00"/>
        <d v="2025-06-23T08:00:00"/>
        <d v="2025-06-23T09:00:00"/>
        <d v="2025-06-23T10:00:00"/>
        <d v="2025-06-23T11:00:00"/>
        <d v="2025-06-23T12:00:00"/>
        <d v="2025-06-23T13:00:00"/>
        <d v="2025-06-23T14:00:00"/>
        <d v="2025-06-23T15:00:00"/>
        <d v="2025-06-23T16:00:00"/>
        <d v="2025-06-23T17:00:00"/>
        <d v="2025-06-23T18:00:00"/>
        <d v="2025-06-23T19:00:00"/>
        <d v="2025-06-23T20:00:00"/>
        <d v="2025-06-23T21:00:00"/>
        <d v="2025-06-23T22:00:00"/>
        <d v="2025-06-23T23:00:00"/>
        <d v="2025-06-24T00:00:00"/>
        <d v="2025-06-24T01:00:00"/>
        <d v="2025-06-24T02:00:00"/>
        <d v="2025-06-24T03:00:00"/>
        <d v="2025-06-24T04:00:00"/>
        <d v="2025-06-24T05:00:00"/>
        <d v="2025-06-24T06:00:00"/>
        <d v="2025-06-24T07:00:00"/>
        <d v="2025-06-24T08:00:00"/>
        <d v="2025-06-24T09:00:00"/>
        <d v="2025-06-24T10:00:00"/>
        <d v="2025-06-24T11:00:00"/>
        <d v="2025-06-24T12:00:00"/>
        <d v="2025-06-24T13:00:00"/>
        <d v="2025-06-24T14:00:00"/>
        <d v="2025-06-24T15:00:00"/>
        <d v="2025-06-24T16:00:00"/>
        <d v="2025-06-24T17:00:00"/>
        <d v="2025-06-24T18:00:00"/>
        <d v="2025-06-24T19:00:00"/>
        <d v="2025-06-24T20:00:00"/>
        <d v="2025-06-24T21:00:00"/>
        <d v="2025-06-24T22:00:00"/>
        <d v="2025-06-24T23:00:00"/>
        <d v="2025-06-25T00:00:00"/>
        <d v="2025-06-25T01:00:00"/>
        <d v="2025-06-25T02:00:00"/>
        <d v="2025-06-25T03:00:00"/>
        <d v="2025-06-25T04:00:00"/>
        <d v="2025-06-25T05:00:00"/>
        <d v="2025-06-25T06:00:00"/>
        <d v="2025-06-25T07:00:00"/>
        <d v="2025-06-25T08:00:00"/>
        <d v="2025-06-25T09:00:00"/>
        <d v="2025-06-25T10:00:00"/>
        <d v="2025-06-25T11:00:00"/>
        <d v="2025-06-25T12:00:00"/>
        <d v="2025-06-25T13:00:00"/>
        <d v="2025-06-25T14:00:00"/>
        <d v="2025-06-25T15:00:00"/>
        <d v="2025-06-25T16:00:00"/>
        <d v="2025-06-25T17:00:00"/>
        <d v="2025-06-25T18:00:00"/>
        <d v="2025-06-25T19:00:00"/>
        <d v="2025-06-25T20:00:00"/>
        <d v="2025-06-25T21:00:00"/>
        <d v="2025-06-25T22:00:00"/>
        <d v="2025-06-25T23:00:00"/>
        <d v="2025-06-26T00:00:00"/>
        <d v="2025-06-26T01:00:00"/>
        <d v="2025-06-26T02:00:00"/>
        <d v="2025-06-26T03:00:00"/>
        <d v="2025-06-26T04:00:00"/>
        <d v="2025-06-26T05:00:00"/>
        <d v="2025-06-26T06:00:00"/>
        <d v="2025-06-26T07:00:00"/>
        <d v="2025-06-26T08:00:00"/>
        <d v="2025-06-26T09:00:00"/>
        <d v="2025-06-26T10:00:00"/>
        <d v="2025-06-26T11:00:00"/>
        <d v="2025-06-26T12:00:00"/>
        <d v="2025-06-26T13:00:00"/>
        <d v="2025-06-26T14:00:00"/>
        <d v="2025-06-26T15:00:00"/>
        <d v="2025-06-26T16:00:00"/>
        <d v="2025-06-26T17:00:00"/>
        <d v="2025-06-26T18:00:00"/>
        <d v="2025-06-26T19:00:00"/>
        <d v="2025-06-26T20:00:00"/>
        <d v="2025-06-26T21:00:00"/>
        <d v="2025-06-26T22:00:00"/>
        <d v="2025-06-26T23:00:00"/>
        <d v="2025-06-27T00:00:00"/>
        <d v="2025-06-27T01:00:00"/>
        <d v="2025-06-27T02:00:00"/>
        <d v="2025-06-27T03:00:00"/>
        <d v="2025-06-27T04:00:00"/>
        <d v="2025-06-27T05:00:00"/>
        <d v="2025-06-27T06:00:00"/>
        <d v="2025-06-27T07:00:00"/>
        <d v="2025-06-27T08:00:00"/>
        <d v="2025-06-27T09:00:00"/>
        <d v="2025-06-27T10:00:00"/>
        <d v="2025-06-27T11:00:00"/>
        <d v="2025-06-27T12:00:00"/>
        <d v="2025-06-27T13:00:00"/>
        <d v="2025-06-27T14:00:00"/>
        <d v="2025-06-27T15:00:00"/>
        <d v="2025-06-27T16:00:00"/>
        <d v="2025-06-27T17:00:00"/>
        <d v="2025-06-27T18:00:00"/>
        <d v="2025-06-27T19:00:00"/>
        <d v="2025-06-27T20:00:00"/>
        <d v="2025-06-27T21:00:00"/>
        <d v="2025-06-27T22:00:00"/>
        <d v="2025-06-27T23:00:00"/>
        <d v="2025-06-28T00:00:00"/>
        <d v="2025-06-28T01:00:00"/>
        <d v="2025-06-28T02:00:00"/>
        <d v="2025-06-28T03:00:00"/>
        <d v="2025-06-28T04:00:00"/>
        <d v="2025-06-28T05:00:00"/>
        <d v="2025-06-28T06:00:00"/>
        <d v="2025-06-28T07:00:00"/>
        <d v="2025-06-28T08:00:00"/>
        <d v="2025-06-28T09:00:00"/>
        <d v="2025-06-28T10:00:00"/>
        <d v="2025-06-28T11:00:00"/>
        <d v="2025-06-28T12:00:00"/>
        <d v="2025-06-28T13:00:00"/>
        <d v="2025-06-28T14:00:00"/>
        <d v="2025-06-28T15:00:00"/>
        <d v="2025-06-28T16:00:00"/>
        <d v="2025-06-28T17:00:00"/>
        <d v="2025-06-28T18:00:00"/>
        <d v="2025-06-28T19:00:00"/>
        <d v="2025-06-28T20:00:00"/>
        <d v="2025-06-28T21:00:00"/>
        <d v="2025-06-28T22:00:00"/>
        <d v="2025-06-28T23:00:00"/>
        <d v="2025-06-29T00:00:00"/>
        <d v="2025-06-29T01:00:00"/>
        <d v="2025-06-29T02:00:00"/>
        <d v="2025-06-29T03:00:00"/>
        <d v="2025-06-29T04:00:00"/>
        <d v="2025-06-29T05:00:00"/>
        <d v="2025-06-29T06:00:00"/>
        <d v="2025-06-29T07:00:00"/>
        <d v="2025-06-29T08:00:00"/>
        <d v="2025-06-29T09:00:00"/>
        <d v="2025-06-29T10:00:00"/>
        <d v="2025-06-29T11:00:00"/>
        <d v="2025-06-29T12:00:00"/>
        <d v="2025-06-29T13:00:00"/>
        <d v="2025-06-29T14:00:00"/>
        <d v="2025-06-29T15:00:00"/>
        <d v="2025-06-29T16:00:00"/>
        <d v="2025-06-29T17:00:00"/>
        <d v="2025-06-29T18:00:00"/>
        <d v="2025-06-29T19:00:00"/>
        <d v="2025-06-29T20:00:00"/>
        <d v="2025-06-29T21:00:00"/>
        <d v="2025-06-29T22:00:00"/>
        <d v="2025-06-29T23:00:00"/>
        <d v="2025-06-30T00:00:00"/>
        <d v="2025-06-30T01:00:00"/>
        <d v="2025-06-30T02:00:00"/>
        <d v="2025-06-30T03:00:00"/>
        <d v="2025-06-30T04:00:00"/>
        <d v="2025-06-30T05:00:00"/>
        <d v="2025-06-30T06:00:00"/>
        <d v="2025-06-30T07:00:00"/>
        <d v="2025-06-30T08:00:00"/>
        <d v="2025-06-30T09:00:00"/>
        <d v="2025-06-30T10:00:00"/>
        <d v="2025-06-30T11:00:00"/>
        <d v="2025-06-30T12:00:00"/>
        <d v="2025-06-30T13:00:00"/>
        <d v="2025-06-30T14:00:00"/>
        <d v="2025-06-30T15:00:00"/>
        <d v="2025-06-30T16:00:00"/>
        <d v="2025-06-30T17:00:00"/>
        <d v="2025-06-30T18:00:00"/>
        <d v="2025-06-30T19:00:00"/>
        <d v="2025-06-30T20:00:00"/>
        <d v="2025-06-30T21:00:00"/>
        <d v="2025-06-30T22:00:00"/>
        <d v="2025-06-30T23:00:00"/>
        <d v="2025-07-01T00:00:00"/>
        <d v="2025-07-01T01:00:00"/>
        <d v="2025-07-01T02:00:00"/>
        <d v="2025-07-01T03:00:00"/>
        <d v="2025-07-01T04:00:00"/>
        <d v="2025-07-01T05:00:00"/>
        <d v="2025-07-01T06:00:00"/>
        <d v="2025-07-01T07:00:00"/>
        <d v="2025-07-01T08:00:00"/>
        <d v="2025-07-01T09:00:00"/>
        <d v="2025-07-01T10:00:00"/>
        <d v="2025-07-01T11:00:00"/>
        <d v="2025-07-01T12:00:00"/>
        <d v="2025-07-01T13:00:00"/>
        <d v="2025-07-01T14:00:00"/>
        <d v="2025-07-01T15:00:00"/>
        <d v="2025-07-01T16:00:00"/>
        <d v="2025-07-01T17:00:00"/>
        <d v="2025-07-01T18:00:00"/>
        <d v="2025-07-01T19:00:00"/>
        <d v="2025-07-01T20:00:00"/>
        <d v="2025-07-01T21:00:00"/>
        <d v="2025-07-01T22:00:00"/>
        <d v="2025-07-01T23:00:00"/>
        <d v="2025-07-02T00:00:00"/>
        <d v="2025-07-02T01:00:00"/>
        <d v="2025-07-02T02:00:00"/>
        <d v="2025-07-02T03:00:00"/>
        <d v="2025-07-02T04:00:00"/>
        <d v="2025-07-02T05:00:00"/>
        <d v="2025-07-02T06:00:00"/>
        <d v="2025-07-02T07:00:00"/>
        <d v="2025-07-02T08:00:00"/>
        <d v="2025-07-02T09:00:00"/>
        <d v="2025-07-02T10:00:00"/>
        <d v="2025-07-02T11:00:00"/>
        <d v="2025-07-02T12:00:00"/>
        <d v="2025-07-02T13:00:00"/>
        <d v="2025-07-02T14:00:00"/>
        <d v="2025-07-02T15:00:00"/>
        <d v="2025-07-02T16:00:00"/>
        <d v="2025-07-02T17:00:00"/>
        <d v="2025-07-02T18:00:00"/>
        <d v="2025-07-02T19:00:00"/>
        <d v="2025-07-02T20:00:00"/>
        <d v="2025-07-02T21:00:00"/>
        <d v="2025-07-02T22:00:00"/>
        <d v="2025-07-02T23:00:00"/>
        <d v="2025-07-03T00:00:00"/>
        <d v="2025-07-03T01:00:00"/>
        <d v="2025-07-03T02:00:00"/>
        <d v="2025-07-03T03:00:00"/>
        <d v="2025-07-03T04:00:00"/>
        <d v="2025-07-03T05:00:00"/>
        <d v="2025-07-03T06:00:00"/>
        <d v="2025-07-03T07:00:00"/>
        <d v="2025-07-03T08:00:00"/>
        <d v="2025-07-03T09:00:00"/>
        <d v="2025-07-03T10:00:00"/>
        <d v="2025-07-03T11:00:00"/>
        <d v="2025-07-03T12:00:00"/>
        <d v="2025-07-03T13:00:00"/>
        <d v="2025-07-03T14:00:00"/>
        <d v="2025-07-03T15:00:00"/>
        <d v="2025-07-03T16:00:00"/>
        <d v="2025-07-03T17:00:00"/>
        <d v="2025-07-03T18:00:00"/>
        <d v="2025-07-03T19:00:00"/>
        <d v="2025-07-03T20:00:00"/>
        <d v="2025-07-03T21:00:00"/>
        <d v="2025-07-03T22:00:00"/>
        <d v="2025-07-03T23:00:00"/>
        <d v="2025-07-04T00:00:00"/>
        <d v="2025-07-04T01:00:00"/>
        <d v="2025-07-04T02:00:00"/>
        <d v="2025-07-04T03:00:00"/>
        <d v="2025-07-04T04:00:00"/>
        <d v="2025-07-04T05:00:00"/>
        <d v="2025-07-04T06:00:00"/>
        <d v="2025-07-04T07:00:00"/>
        <d v="2025-07-04T08:00:00"/>
        <d v="2025-07-04T09:00:00"/>
        <d v="2025-07-04T10:00:00"/>
        <d v="2025-07-04T11:00:00"/>
        <d v="2025-07-04T12:00:00"/>
        <d v="2025-07-04T13:00:00"/>
        <d v="2025-07-04T14:00:00"/>
        <d v="2025-07-04T15:00:00"/>
        <d v="2025-07-04T16:00:00"/>
        <d v="2025-07-04T17:00:00"/>
        <d v="2025-07-04T18:00:00"/>
        <d v="2025-07-04T19:00:00"/>
        <d v="2025-07-04T20:00:00"/>
        <d v="2025-07-04T21:00:00"/>
        <d v="2025-07-04T22:00:00"/>
        <d v="2025-07-04T23:00:00"/>
        <d v="2025-07-05T00:00:00"/>
        <d v="2025-07-05T01:00:00"/>
        <d v="2025-07-05T02:00:00"/>
        <d v="2025-07-05T03:00:00"/>
        <d v="2025-07-05T04:00:00"/>
        <d v="2025-07-05T05:00:00"/>
        <d v="2025-07-05T06:00:00"/>
        <d v="2025-07-05T07:00:00"/>
        <d v="2025-07-05T08:00:00"/>
        <d v="2025-07-05T09:00:00"/>
        <d v="2025-07-05T10:00:00"/>
        <d v="2025-07-05T11:00:00"/>
        <d v="2025-07-05T12:00:00"/>
        <d v="2025-07-05T13:00:00"/>
        <d v="2025-07-05T14:00:00"/>
        <d v="2025-07-05T15:00:00"/>
        <d v="2025-07-05T16:00:00"/>
        <d v="2025-07-05T17:00:00"/>
        <d v="2025-07-05T18:00:00"/>
        <d v="2025-07-05T19:00:00"/>
        <d v="2025-07-05T20:00:00"/>
        <d v="2025-07-05T21:00:00"/>
        <d v="2025-07-05T22:00:00"/>
        <d v="2025-07-05T23:00:00"/>
        <d v="2025-07-06T00:00:00"/>
        <d v="2025-07-06T01:00:00"/>
        <d v="2025-07-06T02:00:00"/>
        <d v="2025-07-06T03:00:00"/>
        <d v="2025-07-06T04:00:00"/>
        <d v="2025-07-06T05:00:00"/>
        <d v="2025-07-06T06:00:00"/>
        <d v="2025-07-06T07:00:00"/>
        <d v="2025-07-06T08:00:00"/>
        <d v="2025-07-06T09:00:00"/>
        <d v="2025-07-06T10:00:00"/>
        <d v="2025-07-06T11:00:00"/>
        <d v="2025-07-06T12:00:00"/>
        <d v="2025-07-06T13:00:00"/>
        <d v="2025-07-06T14:00:00"/>
        <d v="2025-07-06T15:00:00"/>
        <d v="2025-07-06T16:00:00"/>
        <d v="2025-07-06T17:00:00"/>
        <d v="2025-07-06T18:00:00"/>
        <d v="2025-07-06T19:00:00"/>
        <d v="2025-07-06T20:00:00"/>
        <d v="2025-07-06T21:00:00"/>
        <d v="2025-07-06T22:00:00"/>
        <d v="2025-07-06T23:00:00"/>
        <d v="2025-07-07T00:00:00"/>
        <d v="2025-07-07T01:00:00"/>
        <d v="2025-07-07T02:00:00"/>
        <d v="2025-07-07T03:00:00"/>
        <d v="2025-07-07T04:00:00"/>
        <d v="2025-07-07T05:00:00"/>
        <d v="2025-07-07T06:00:00"/>
        <d v="2025-07-07T07:00:00"/>
        <d v="2025-07-07T08:00:00"/>
        <d v="2025-07-07T09:00:00"/>
        <d v="2025-07-07T10:00:00"/>
        <d v="2025-07-07T11:00:00"/>
        <d v="2025-07-07T12:00:00"/>
        <d v="2025-07-07T13:00:00"/>
        <d v="2025-07-07T14:00:00"/>
        <d v="2025-07-07T15:00:00"/>
        <d v="2025-07-07T16:00:00"/>
        <d v="2025-07-07T17:00:00"/>
        <d v="2025-07-07T18:00:00"/>
        <d v="2025-07-07T19:00:00"/>
        <d v="2025-07-07T20:00:00"/>
        <d v="2025-07-07T21:00:00"/>
        <d v="2025-07-07T22:00:00"/>
        <d v="2025-07-07T23:00:00"/>
        <d v="2025-07-08T00:00:00"/>
        <d v="2025-07-08T01:00:00"/>
        <d v="2025-07-08T02:00:00"/>
        <d v="2025-07-08T03:00:00"/>
        <d v="2025-07-08T04:00:00"/>
        <d v="2025-07-08T05:00:00"/>
        <d v="2025-07-08T06:00:00"/>
        <d v="2025-07-08T07:00:00"/>
        <d v="2025-07-08T08:00:00"/>
        <d v="2025-07-08T09:00:00"/>
        <d v="2025-07-08T10:00:00"/>
        <d v="2025-07-08T11:00:00"/>
        <d v="2025-07-08T12:00:00"/>
        <d v="2025-07-08T13:00:00"/>
        <d v="2025-07-08T14:00:00"/>
        <d v="2025-07-08T15:00:00"/>
        <d v="2025-07-08T16:00:00"/>
        <d v="2025-07-08T17:00:00"/>
        <d v="2025-07-08T18:00:00"/>
        <d v="2025-07-08T19:00:00"/>
        <d v="2025-07-08T20:00:00"/>
        <d v="2025-07-08T21:00:00"/>
        <d v="2025-07-08T22:00:00"/>
        <d v="2025-07-08T23:00:00"/>
        <d v="2025-07-09T00:00:00"/>
        <d v="2025-07-09T01:00:00"/>
        <d v="2025-07-09T02:00:00"/>
        <d v="2025-07-09T03:00:00"/>
        <d v="2025-07-09T04:00:00"/>
        <d v="2025-07-09T05:00:00"/>
        <d v="2025-07-09T06:00:00"/>
        <d v="2025-07-09T07:00:00"/>
        <d v="2025-07-09T08:00:00"/>
        <d v="2025-07-09T09:00:00"/>
        <d v="2025-07-09T10:00:00"/>
        <d v="2025-07-09T11:00:00"/>
        <d v="2025-07-09T12:00:00"/>
        <d v="2025-07-09T13:00:00"/>
        <d v="2025-07-09T14:00:00"/>
        <d v="2025-07-09T15:00:00"/>
        <d v="2025-07-09T16:00:00"/>
        <d v="2025-07-09T17:00:00"/>
        <d v="2025-07-09T18:00:00"/>
        <d v="2025-07-09T19:00:00"/>
        <d v="2025-07-09T20:00:00"/>
        <d v="2025-07-09T21:00:00"/>
        <d v="2025-07-09T22:00:00"/>
        <d v="2025-07-09T23:00:00"/>
        <d v="2025-07-10T00:00:00"/>
        <d v="2025-07-10T01:00:00"/>
        <d v="2025-07-10T02:00:00"/>
        <d v="2025-07-10T03:00:00"/>
        <d v="2025-07-10T04:00:00"/>
        <d v="2025-07-10T05:00:00"/>
        <d v="2025-07-10T06:00:00"/>
        <d v="2025-07-10T07:00:00"/>
        <d v="2025-07-10T08:00:00"/>
        <d v="2025-07-10T09:00:00"/>
        <d v="2025-07-10T10:00:00"/>
        <d v="2025-07-10T11:00:00"/>
        <d v="2025-07-10T12:00:00"/>
        <d v="2025-07-10T13:00:00"/>
        <d v="2025-07-10T14:00:00"/>
        <d v="2025-07-10T15:00:00"/>
        <d v="2025-07-10T16:00:00"/>
        <d v="2025-07-10T17:00:00"/>
        <d v="2025-07-10T18:00:00"/>
        <d v="2025-07-10T19:00:00"/>
        <d v="2025-07-10T20:00:00"/>
        <d v="2025-07-10T21:00:00"/>
        <d v="2025-07-10T22:00:00"/>
        <d v="2025-07-10T23:00:00"/>
        <d v="2025-07-11T00:00:00"/>
        <d v="2025-07-11T01:00:00"/>
        <d v="2025-07-11T02:00:00"/>
        <d v="2025-07-11T03:00:00"/>
        <d v="2025-07-11T04:00:00"/>
        <d v="2025-07-11T05:00:00"/>
        <d v="2025-07-11T06:00:00"/>
        <d v="2025-07-11T07:00:00"/>
        <d v="2025-07-11T08:00:00"/>
        <d v="2025-07-11T09:00:00"/>
        <d v="2025-07-11T10:00:00"/>
        <d v="2025-07-11T11:00:00"/>
        <d v="2025-07-11T12:00:00"/>
        <d v="2025-07-11T13:00:00"/>
        <d v="2025-07-11T14:00:00"/>
        <d v="2025-07-11T15:00:00"/>
        <d v="2025-07-11T16:00:00"/>
        <d v="2025-07-11T17:00:00"/>
        <d v="2025-07-11T18:00:00"/>
        <d v="2025-07-11T19:00:00"/>
        <d v="2025-07-11T20:00:00"/>
        <d v="2025-07-11T21:00:00"/>
        <d v="2025-07-11T22:00:00"/>
        <d v="2025-07-11T23:00:00"/>
        <d v="2025-07-12T00:00:00"/>
        <d v="2025-07-12T01:00:00"/>
        <d v="2025-07-12T02:00:00"/>
        <d v="2025-07-12T03:00:00"/>
        <d v="2025-07-12T04:00:00"/>
        <d v="2025-07-12T05:00:00"/>
        <d v="2025-07-12T06:00:00"/>
        <d v="2025-07-12T07:00:00"/>
        <d v="2025-07-12T08:00:00"/>
        <d v="2025-07-12T09:00:00"/>
        <d v="2025-07-12T10:00:00"/>
        <d v="2025-07-12T11:00:00"/>
        <d v="2025-07-12T12:00:00"/>
        <d v="2025-07-12T13:00:00"/>
        <d v="2025-07-12T14:00:00"/>
        <d v="2025-07-12T15:00:00"/>
        <d v="2025-07-12T16:00:00"/>
        <d v="2025-07-12T17:00:00"/>
        <d v="2025-07-12T18:00:00"/>
        <d v="2025-07-12T19:00:00"/>
        <d v="2025-07-12T20:00:00"/>
        <d v="2025-07-12T21:00:00"/>
        <d v="2025-07-12T22:00:00"/>
        <d v="2025-07-12T23:00:00"/>
        <d v="2025-07-13T00:00:00"/>
        <d v="2025-07-13T01:00:00"/>
        <d v="2025-07-13T02:00:00"/>
        <d v="2025-07-13T03:00:00"/>
        <d v="2025-07-13T04:00:00"/>
        <d v="2025-07-13T05:00:00"/>
        <d v="2025-07-13T06:00:00"/>
        <d v="2025-07-13T07:00:00"/>
        <d v="2025-07-13T08:00:00"/>
        <d v="2025-07-13T09:00:00"/>
        <d v="2025-07-13T10:00:00"/>
        <d v="2025-07-13T11:00:00"/>
        <d v="2025-07-13T12:00:00"/>
        <d v="2025-07-13T13:00:00"/>
        <d v="2025-07-13T14:00:00"/>
        <d v="2025-07-13T15:00:00"/>
        <d v="2025-07-13T16:00:00"/>
        <d v="2025-07-13T17:00:00"/>
        <d v="2025-07-13T18:00:00"/>
        <d v="2025-07-13T19:00:00"/>
        <d v="2025-07-13T20:00:00"/>
        <d v="2025-07-13T21:00:00"/>
        <d v="2025-07-13T22:00:00"/>
        <d v="2025-07-13T23:00:00"/>
        <d v="2025-07-14T00:00:00"/>
        <d v="2025-07-14T01:00:00"/>
        <d v="2025-07-14T02:00:00"/>
        <d v="2025-07-14T03:00:00"/>
        <d v="2025-07-14T04:00:00"/>
        <d v="2025-07-14T05:00:00"/>
        <d v="2025-07-14T06:00:00"/>
        <d v="2025-07-14T07:00:00"/>
        <d v="2025-07-14T08:00:00"/>
        <d v="2025-07-14T09:00:00"/>
        <d v="2025-07-14T10:00:00"/>
        <d v="2025-07-14T11:00:00"/>
        <d v="2025-07-14T12:00:00"/>
        <d v="2025-07-14T13:00:00"/>
        <d v="2025-07-14T14:00:00"/>
        <d v="2025-07-14T15:00:00"/>
        <d v="2025-07-14T16:00:00"/>
        <d v="2025-07-14T17:00:00"/>
        <d v="2025-07-14T18:00:00"/>
        <d v="2025-07-14T19:00:00"/>
        <d v="2025-07-14T20:00:00"/>
        <d v="2025-07-14T21:00:00"/>
        <d v="2025-07-14T22:00:00"/>
        <d v="2025-07-14T23:00:00"/>
        <d v="2025-07-15T00:00:00"/>
        <d v="2025-07-15T01:00:00"/>
        <d v="2025-07-15T02:00:00"/>
        <d v="2025-07-15T03:00:00"/>
        <d v="2025-07-15T04:00:00"/>
        <d v="2025-07-15T05:00:00"/>
        <d v="2025-07-15T06:00:00"/>
        <d v="2025-07-15T07:00:00"/>
        <d v="2025-07-15T08:00:00"/>
        <d v="2025-07-15T09:00:00"/>
        <d v="2025-07-15T10:00:00"/>
        <d v="2025-07-15T11:00:00"/>
        <d v="2025-07-15T12:00:00"/>
        <d v="2025-07-15T13:00:00"/>
        <d v="2025-07-15T14:00:00"/>
        <d v="2025-07-15T15:00:00"/>
        <d v="2025-07-15T16:00:00"/>
        <d v="2025-07-15T17:00:00"/>
        <d v="2025-07-15T18:00:00"/>
        <d v="2025-07-15T19:00:00"/>
        <d v="2025-07-15T20:00:00"/>
        <d v="2025-07-15T21:00:00"/>
        <d v="2025-07-15T22:00:00"/>
        <d v="2025-07-15T23:00:00"/>
        <d v="2025-07-16T00:00:00"/>
        <d v="2025-07-16T01:00:00"/>
        <d v="2025-07-16T02:00:00"/>
        <d v="2025-07-16T03:00:00"/>
        <d v="2025-07-16T04:00:00"/>
        <d v="2025-07-16T05:00:00"/>
        <d v="2025-07-16T06:00:00"/>
        <d v="2025-07-16T07:00:00"/>
        <d v="2025-07-16T08:00:00"/>
        <d v="2025-07-16T09:00:00"/>
        <d v="2025-07-16T10:00:00"/>
        <d v="2025-07-16T11:00:00"/>
        <d v="2025-07-16T12:00:00"/>
        <d v="2025-07-16T13:00:00"/>
        <d v="2025-07-16T14:00:00"/>
        <d v="2025-07-16T15:00:00"/>
        <d v="2025-07-16T16:00:00"/>
        <d v="2025-07-16T17:00:00"/>
        <d v="2025-07-16T18:00:00"/>
        <d v="2025-07-16T19:00:00"/>
        <d v="2025-07-16T20:00:00"/>
        <d v="2025-07-16T21:00:00"/>
        <d v="2025-07-16T22:00:00"/>
        <d v="2025-07-16T23:00:00"/>
        <d v="2025-07-17T00:00:00"/>
        <d v="2025-07-17T01:00:00"/>
        <d v="2025-07-17T02:00:00"/>
        <d v="2025-07-17T03:00:00"/>
        <d v="2025-07-17T04:00:00"/>
        <d v="2025-07-17T05:00:00"/>
        <d v="2025-07-17T06:00:00"/>
        <d v="2025-07-17T07:00:00"/>
        <d v="2025-07-17T08:00:00"/>
        <d v="2025-07-17T09:00:00"/>
        <d v="2025-07-17T10:00:00"/>
        <d v="2025-07-17T11:00:00"/>
        <d v="2025-07-17T12:00:00"/>
        <d v="2025-07-17T13:00:00"/>
        <d v="2025-07-17T14:00:00"/>
        <d v="2025-07-17T15:00:00"/>
        <d v="2025-07-17T16:00:00"/>
        <d v="2025-07-17T17:00:00"/>
        <d v="2025-07-17T18:00:00"/>
        <d v="2025-07-17T19:00:00"/>
        <d v="2025-07-17T20:00:00"/>
        <d v="2025-07-17T21:00:00"/>
        <d v="2025-07-17T22:00:00"/>
        <d v="2025-07-17T23:00:00"/>
        <d v="2025-07-18T00:00:00"/>
        <d v="2025-07-18T01:00:00"/>
        <d v="2025-07-18T02:00:00"/>
        <d v="2025-07-18T03:00:00"/>
        <d v="2025-07-18T04:00:00"/>
        <d v="2025-07-18T05:00:00"/>
        <d v="2025-07-18T06:00:00"/>
        <d v="2025-07-18T07:00:00"/>
        <d v="2025-07-18T08:00:00"/>
        <d v="2025-07-18T09:00:00"/>
        <d v="2025-07-18T10:00:00"/>
        <d v="2025-07-18T11:00:00"/>
        <d v="2025-07-18T12:00:00"/>
        <d v="2025-07-18T13:00:00"/>
        <d v="2025-07-18T14:00:00"/>
        <d v="2025-07-18T15:00:00"/>
        <d v="2025-07-18T16:00:00"/>
        <d v="2025-07-18T17:00:00"/>
        <d v="2025-07-18T18:00:00"/>
        <d v="2025-07-18T19:00:00"/>
        <d v="2025-07-18T20:00:00"/>
        <d v="2025-07-18T21:00:00"/>
        <d v="2025-07-18T22:00:00"/>
        <d v="2025-07-18T23:00:00"/>
        <d v="2025-07-19T00:00:00"/>
        <d v="2025-07-19T01:00:00"/>
        <d v="2025-07-19T02:00:00"/>
        <d v="2025-07-19T03:00:00"/>
        <d v="2025-07-19T04:00:00"/>
        <d v="2025-07-19T05:00:00"/>
        <d v="2025-07-19T06:00:00"/>
        <d v="2025-07-19T07:00:00"/>
        <d v="2025-07-19T08:00:00"/>
        <d v="2025-07-19T09:00:00"/>
        <d v="2025-07-19T10:00:00"/>
        <d v="2025-07-19T11:00:00"/>
        <d v="2025-07-19T12:00:00"/>
        <d v="2025-07-19T13:00:00"/>
        <d v="2025-07-19T14:00:00"/>
        <d v="2025-07-19T15:00:00"/>
        <d v="2025-07-19T16:00:00"/>
        <d v="2025-07-19T17:00:00"/>
        <d v="2025-07-19T18:00:00"/>
        <d v="2025-07-19T19:00:00"/>
        <d v="2025-07-19T20:00:00"/>
        <d v="2025-07-19T21:00:00"/>
        <d v="2025-07-19T22:00:00"/>
        <d v="2025-07-19T23:00:00"/>
        <d v="2025-07-20T00:00:00"/>
        <d v="2025-07-20T01:00:00"/>
        <d v="2025-07-20T02:00:00"/>
        <d v="2025-07-20T03:00:00"/>
        <d v="2025-07-20T04:00:00"/>
        <d v="2025-07-20T05:00:00"/>
        <d v="2025-07-20T06:00:00"/>
        <d v="2025-07-20T07:00:00"/>
        <d v="2025-07-20T08:00:00"/>
        <d v="2025-07-20T09:00:00"/>
        <d v="2025-07-20T10:00:00"/>
        <d v="2025-07-20T11:00:00"/>
        <d v="2025-07-20T12:00:00"/>
        <d v="2025-07-20T13:00:00"/>
        <d v="2025-07-20T14:00:00"/>
        <d v="2025-07-20T15:00:00"/>
        <d v="2025-07-20T16:00:00"/>
        <d v="2025-07-20T17:00:00"/>
        <d v="2025-07-20T18:00:00"/>
        <d v="2025-07-20T19:00:00"/>
        <d v="2025-07-20T20:00:00"/>
        <d v="2025-07-20T21:00:00"/>
        <d v="2025-07-20T22:00:00"/>
        <d v="2025-07-20T23:00:00"/>
        <d v="2025-07-21T00:00:00"/>
        <d v="2025-07-21T01:00:00"/>
        <d v="2025-07-21T02:00:00"/>
        <d v="2025-07-21T03:00:00"/>
        <d v="2025-07-21T04:00:00"/>
        <d v="2025-07-21T05:00:00"/>
        <d v="2025-07-21T06:00:00"/>
        <d v="2025-07-21T07:00:00"/>
        <d v="2025-07-21T08:00:00"/>
        <d v="2025-07-21T09:00:00"/>
        <d v="2025-07-21T10:00:00"/>
        <d v="2025-07-21T11:00:00"/>
        <d v="2025-07-21T12:00:00"/>
        <d v="2025-07-21T13:00:00"/>
        <d v="2025-07-21T14:00:00"/>
        <d v="2025-07-21T15:00:00"/>
        <d v="2025-07-21T16:00:00"/>
        <d v="2025-07-21T17:00:00"/>
        <d v="2025-07-21T18:00:00"/>
        <d v="2025-07-21T19:00:00"/>
        <d v="2025-07-21T20:00:00"/>
        <d v="2025-07-21T21:00:00"/>
        <d v="2025-07-21T22:00:00"/>
        <d v="2025-07-21T23:00:00"/>
        <d v="2025-07-22T00:00:00"/>
        <d v="2025-07-22T01:00:00"/>
        <d v="2025-07-22T02:00:00"/>
        <d v="2025-07-22T03:00:00"/>
        <d v="2025-07-22T04:00:00"/>
        <d v="2025-07-22T05:00:00"/>
        <d v="2025-07-22T06:00:00"/>
        <d v="2025-07-22T07:00:00"/>
        <d v="2025-07-22T08:00:00"/>
        <d v="2025-07-22T09:00:00"/>
        <d v="2025-07-22T10:00:00"/>
        <d v="2025-07-22T11:00:00"/>
        <d v="2025-07-22T12:00:00"/>
        <d v="2025-07-22T13:00:00"/>
        <d v="2025-07-22T14:00:00"/>
        <d v="2025-07-22T15:00:00"/>
        <d v="2025-07-22T16:00:00"/>
        <d v="2025-07-22T17:00:00"/>
        <d v="2025-07-22T18:00:00"/>
        <d v="2025-07-22T19:00:00"/>
        <d v="2025-07-22T20:00:00"/>
        <d v="2025-07-22T21:00:00"/>
        <d v="2025-07-22T22:00:00"/>
        <d v="2025-07-22T23:00:00"/>
        <d v="2025-07-23T00:00:00"/>
        <d v="2025-07-23T01:00:00"/>
        <d v="2025-07-23T02:00:00"/>
        <d v="2025-07-23T03:00:00"/>
        <d v="2025-07-23T04:00:00"/>
        <d v="2025-07-23T05:00:00"/>
        <d v="2025-07-23T06:00:00"/>
        <d v="2025-07-23T07:00:00"/>
        <d v="2025-07-23T08:00:00"/>
        <d v="2025-07-23T09:00:00"/>
        <d v="2025-07-23T10:00:00"/>
        <d v="2025-07-23T11:00:00"/>
        <d v="2025-07-23T12:00:00"/>
        <d v="2025-07-23T13:00:00"/>
        <d v="2025-07-23T14:00:00"/>
        <d v="2025-07-23T15:00:00"/>
        <d v="2025-07-23T16:00:00"/>
        <d v="2025-07-23T17:00:00"/>
        <d v="2025-07-23T18:00:00"/>
        <d v="2025-07-23T19:00:00"/>
        <d v="2025-07-23T20:00:00"/>
        <d v="2025-07-23T21:00:00"/>
        <d v="2025-07-23T22:00:00"/>
        <d v="2025-07-23T23:00:00"/>
        <d v="2025-07-24T00:00:00"/>
        <d v="2025-07-24T01:00:00"/>
        <d v="2025-07-24T02:00:00"/>
        <d v="2025-07-24T03:00:00"/>
        <d v="2025-07-24T04:00:00"/>
        <d v="2025-07-24T05:00:00"/>
        <d v="2025-07-24T06:00:00"/>
        <d v="2025-07-24T07:00:00"/>
        <d v="2025-07-24T08:00:00"/>
        <d v="2025-07-24T09:00:00"/>
        <d v="2025-07-24T10:00:00"/>
        <d v="2025-07-24T11:00:00"/>
        <d v="2025-07-24T12:00:00"/>
        <d v="2025-07-24T13:00:00"/>
        <d v="2025-07-24T14:00:00"/>
        <d v="2025-07-24T15:00:00"/>
        <d v="2025-07-24T16:00:00"/>
        <d v="2025-07-24T17:00:00"/>
        <d v="2025-07-24T18:00:00"/>
        <d v="2025-07-24T19:00:00"/>
        <d v="2025-07-24T20:00:00"/>
        <d v="2025-07-24T21:00:00"/>
        <d v="2025-07-24T22:00:00"/>
        <d v="2025-07-24T23:00:00"/>
        <d v="2025-07-25T00:00:00"/>
        <d v="2025-07-25T01:00:00"/>
        <d v="2025-07-25T02:00:00"/>
        <d v="2025-07-25T03:00:00"/>
        <d v="2025-07-25T04:00:00"/>
        <d v="2025-07-25T05:00:00"/>
        <d v="2025-07-25T06:00:00"/>
        <d v="2025-07-25T07:00:00"/>
        <d v="2025-07-25T08:00:00"/>
        <d v="2025-07-25T09:00:00"/>
        <d v="2025-07-25T10:00:00"/>
        <d v="2025-07-25T11:00:00"/>
        <d v="2025-07-25T12:00:00"/>
        <d v="2025-07-25T13:00:00"/>
        <d v="2025-07-25T14:00:00"/>
        <d v="2025-07-25T15:00:00"/>
        <d v="2025-07-25T16:00:00"/>
        <d v="2025-07-25T17:00:00"/>
        <d v="2025-07-25T18:00:00"/>
        <d v="2025-07-25T19:00:00"/>
        <d v="2025-07-25T20:00:00"/>
        <d v="2025-07-25T21:00:00"/>
        <d v="2025-07-25T22:00:00"/>
        <d v="2025-07-25T23:00:00"/>
        <d v="2025-07-26T00:00:00"/>
        <d v="2025-07-26T01:00:00"/>
        <d v="2025-07-26T02:00:00"/>
        <d v="2025-07-26T03:00:00"/>
        <d v="2025-07-26T04:00:00"/>
        <d v="2025-07-26T05:00:00"/>
        <d v="2025-07-26T06:00:00"/>
        <d v="2025-07-26T07:00:00"/>
        <d v="2025-07-26T08:00:00"/>
        <d v="2025-07-26T09:00:00"/>
        <d v="2025-07-26T10:00:00"/>
        <d v="2025-07-26T11:00:00"/>
        <d v="2025-07-26T12:00:00"/>
        <d v="2025-07-26T13:00:00"/>
        <d v="2025-07-26T14:00:00"/>
        <d v="2025-07-26T15:00:00"/>
        <d v="2025-07-26T16:00:00"/>
        <d v="2025-07-26T17:00:00"/>
        <d v="2025-07-26T18:00:00"/>
        <d v="2025-07-26T19:00:00"/>
        <d v="2025-07-26T20:00:00"/>
        <d v="2025-07-26T21:00:00"/>
        <d v="2025-07-26T22:00:00"/>
        <d v="2025-07-26T23:00:00"/>
        <d v="2025-07-27T00:00:00"/>
        <d v="2025-07-27T01:00:00"/>
        <d v="2025-07-27T02:00:00"/>
        <d v="2025-07-27T03:00:00"/>
        <d v="2025-07-27T04:00:00"/>
        <d v="2025-07-27T05:00:00"/>
        <d v="2025-07-27T06:00:00"/>
        <d v="2025-07-27T07:00:00"/>
        <d v="2025-07-27T08:00:00"/>
        <d v="2025-07-27T09:00:00"/>
        <d v="2025-07-27T10:00:00"/>
        <d v="2025-07-27T11:00:00"/>
        <d v="2025-07-27T12:00:00"/>
        <d v="2025-07-27T13:00:00"/>
        <d v="2025-07-27T14:00:00"/>
        <d v="2025-07-27T15:00:00"/>
        <d v="2025-07-27T16:00:00"/>
        <d v="2025-07-27T17:00:00"/>
        <d v="2025-07-27T18:00:00"/>
        <d v="2025-07-27T19:00:00"/>
        <d v="2025-07-27T20:00:00"/>
        <d v="2025-07-27T21:00:00"/>
        <d v="2025-07-27T22:00:00"/>
        <d v="2025-07-27T23:00:00"/>
        <d v="2025-07-28T00:00:00"/>
        <d v="2025-07-28T01:00:00"/>
        <d v="2025-07-28T02:00:00"/>
        <d v="2025-07-28T03:00:00"/>
        <d v="2025-07-28T04:00:00"/>
        <d v="2025-07-28T05:00:00"/>
        <d v="2025-07-28T06:00:00"/>
        <d v="2025-07-28T07:00:00"/>
      </sharedItems>
      <fieldGroup par="8" base="1">
        <rangePr groupBy="days" startDate="2025-01-01T00:00:00" endDate="2025-07-29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7/2025"/>
        </groupItems>
      </fieldGroup>
    </cacheField>
    <cacheField name="Region" numFmtId="0">
      <sharedItems count="4">
        <s v="East"/>
        <s v="West"/>
        <s v="North"/>
        <s v="South"/>
      </sharedItems>
    </cacheField>
    <cacheField name="Category" numFmtId="0">
      <sharedItems count="4">
        <s v="Office Supplies"/>
        <s v="Industrial Machinery"/>
        <s v="Electronics"/>
        <s v="Home Appliances"/>
      </sharedItems>
    </cacheField>
    <cacheField name="Quantity" numFmtId="0">
      <sharedItems containsSemiMixedTypes="0" containsString="0" containsNumber="1" containsInteger="1" minValue="1" maxValue="19"/>
    </cacheField>
    <cacheField name="Unit_Price" numFmtId="0">
      <sharedItems containsSemiMixedTypes="0" containsString="0" containsNumber="1" minValue="15.55" maxValue="449.92"/>
    </cacheField>
    <cacheField name="Shipping_Cost" numFmtId="0">
      <sharedItems containsSemiMixedTypes="0" containsString="0" containsNumber="1" minValue="5" maxValue="50"/>
    </cacheField>
    <cacheField name="Revenue" numFmtId="0">
      <sharedItems containsSemiMixedTypes="0" containsString="0" containsNumber="1" minValue="15.6" maxValue="8532.14"/>
    </cacheField>
    <cacheField name="Months" numFmtId="0" databaseField="0">
      <fieldGroup base="1">
        <rangePr groupBy="months" startDate="2025-01-01T00:00:00" endDate="2025-07-29T00:00:00"/>
        <groupItems count="14">
          <s v="&lt;01/01/2025"/>
          <s v="Jan"/>
          <s v="Feb"/>
          <s v="Mar"/>
          <s v="Apr"/>
          <s v="May"/>
          <s v="Jun"/>
          <s v="Jul"/>
          <s v="Aug"/>
          <s v="Sep"/>
          <s v="Oct"/>
          <s v="Nov"/>
          <s v="Dec"/>
          <s v="&gt;29/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TXN-100000"/>
    <x v="0"/>
    <x v="0"/>
    <x v="0"/>
    <n v="19"/>
    <n v="320.01"/>
    <n v="16.989999999999998"/>
    <n v="6080.19"/>
  </r>
  <r>
    <s v="TXN-100001"/>
    <x v="1"/>
    <x v="1"/>
    <x v="0"/>
    <n v="8"/>
    <n v="418.2"/>
    <n v="23.19"/>
    <n v="3345.6"/>
  </r>
  <r>
    <s v="TXN-100002"/>
    <x v="2"/>
    <x v="2"/>
    <x v="0"/>
    <n v="7"/>
    <n v="178.6"/>
    <n v="36.58"/>
    <n v="1250.2"/>
  </r>
  <r>
    <s v="TXN-100003"/>
    <x v="3"/>
    <x v="0"/>
    <x v="0"/>
    <n v="16"/>
    <n v="120.47"/>
    <n v="6.75"/>
    <n v="1927.52"/>
  </r>
  <r>
    <s v="TXN-100004"/>
    <x v="4"/>
    <x v="0"/>
    <x v="1"/>
    <n v="19"/>
    <n v="256.58999999999997"/>
    <n v="48.07"/>
    <n v="4875.2099999999991"/>
  </r>
  <r>
    <s v="TXN-100005"/>
    <x v="5"/>
    <x v="1"/>
    <x v="0"/>
    <n v="6"/>
    <n v="361.44"/>
    <n v="7.08"/>
    <n v="2168.64"/>
  </r>
  <r>
    <s v="TXN-100006"/>
    <x v="6"/>
    <x v="2"/>
    <x v="2"/>
    <n v="11"/>
    <n v="17.14"/>
    <n v="44.66"/>
    <n v="188.54000000000002"/>
  </r>
  <r>
    <s v="TXN-100007"/>
    <x v="7"/>
    <x v="2"/>
    <x v="0"/>
    <n v="5"/>
    <n v="289.83"/>
    <n v="45.25"/>
    <n v="1449.1499999999999"/>
  </r>
  <r>
    <s v="TXN-100008"/>
    <x v="8"/>
    <x v="0"/>
    <x v="1"/>
    <n v="16"/>
    <n v="274.69"/>
    <n v="28.6"/>
    <n v="4395.04"/>
  </r>
  <r>
    <s v="TXN-100009"/>
    <x v="9"/>
    <x v="3"/>
    <x v="0"/>
    <n v="7"/>
    <n v="153.74"/>
    <n v="11.16"/>
    <n v="1076.18"/>
  </r>
  <r>
    <s v="TXN-100010"/>
    <x v="10"/>
    <x v="0"/>
    <x v="2"/>
    <n v="5"/>
    <n v="211.64"/>
    <n v="30.43"/>
    <n v="1058.1999999999998"/>
  </r>
  <r>
    <s v="TXN-100011"/>
    <x v="11"/>
    <x v="0"/>
    <x v="1"/>
    <n v="11"/>
    <n v="122.81"/>
    <n v="33.29"/>
    <n v="1350.91"/>
  </r>
  <r>
    <s v="TXN-100012"/>
    <x v="12"/>
    <x v="0"/>
    <x v="1"/>
    <n v="15"/>
    <n v="358.71"/>
    <n v="43.6"/>
    <n v="5380.65"/>
  </r>
  <r>
    <s v="TXN-100013"/>
    <x v="13"/>
    <x v="0"/>
    <x v="2"/>
    <n v="3"/>
    <n v="291.20999999999998"/>
    <n v="29.79"/>
    <n v="873.62999999999988"/>
  </r>
  <r>
    <s v="TXN-100014"/>
    <x v="14"/>
    <x v="1"/>
    <x v="2"/>
    <n v="5"/>
    <n v="246.96"/>
    <n v="23.48"/>
    <n v="1234.8"/>
  </r>
  <r>
    <s v="TXN-100015"/>
    <x v="15"/>
    <x v="2"/>
    <x v="2"/>
    <n v="5"/>
    <n v="186.05"/>
    <n v="42.72"/>
    <n v="930.25"/>
  </r>
  <r>
    <s v="TXN-100016"/>
    <x v="16"/>
    <x v="1"/>
    <x v="2"/>
    <n v="9"/>
    <n v="142.11000000000001"/>
    <n v="49.14"/>
    <n v="1278.9900000000002"/>
  </r>
  <r>
    <s v="TXN-100017"/>
    <x v="17"/>
    <x v="1"/>
    <x v="2"/>
    <n v="15"/>
    <n v="372.98"/>
    <n v="34.03"/>
    <n v="5594.7000000000007"/>
  </r>
  <r>
    <s v="TXN-100018"/>
    <x v="18"/>
    <x v="1"/>
    <x v="1"/>
    <n v="3"/>
    <n v="211.64"/>
    <n v="44.35"/>
    <n v="634.91999999999996"/>
  </r>
  <r>
    <s v="TXN-100019"/>
    <x v="19"/>
    <x v="0"/>
    <x v="1"/>
    <n v="6"/>
    <n v="233.38"/>
    <n v="31.94"/>
    <n v="1400.28"/>
  </r>
  <r>
    <s v="TXN-100020"/>
    <x v="20"/>
    <x v="3"/>
    <x v="0"/>
    <n v="17"/>
    <n v="241.8"/>
    <n v="36.04"/>
    <n v="4110.6000000000004"/>
  </r>
  <r>
    <s v="TXN-100021"/>
    <x v="21"/>
    <x v="2"/>
    <x v="0"/>
    <n v="8"/>
    <n v="210.32"/>
    <n v="35.97"/>
    <n v="1682.56"/>
  </r>
  <r>
    <s v="TXN-100022"/>
    <x v="22"/>
    <x v="3"/>
    <x v="3"/>
    <n v="11"/>
    <n v="126.77"/>
    <n v="36.72"/>
    <n v="1394.47"/>
  </r>
  <r>
    <s v="TXN-100023"/>
    <x v="23"/>
    <x v="1"/>
    <x v="0"/>
    <n v="6"/>
    <n v="67.790000000000006"/>
    <n v="19.45"/>
    <n v="406.74"/>
  </r>
  <r>
    <s v="TXN-100024"/>
    <x v="24"/>
    <x v="1"/>
    <x v="0"/>
    <n v="8"/>
    <n v="58.31"/>
    <n v="30.9"/>
    <n v="466.48"/>
  </r>
  <r>
    <s v="TXN-100025"/>
    <x v="25"/>
    <x v="3"/>
    <x v="2"/>
    <n v="10"/>
    <n v="344.62"/>
    <n v="31.74"/>
    <n v="3446.2"/>
  </r>
  <r>
    <s v="TXN-100026"/>
    <x v="26"/>
    <x v="3"/>
    <x v="2"/>
    <n v="3"/>
    <n v="112.62"/>
    <n v="19.18"/>
    <n v="337.86"/>
  </r>
  <r>
    <s v="TXN-100027"/>
    <x v="27"/>
    <x v="3"/>
    <x v="0"/>
    <n v="14"/>
    <n v="39.69"/>
    <n v="20.74"/>
    <n v="555.66"/>
  </r>
  <r>
    <s v="TXN-100028"/>
    <x v="28"/>
    <x v="1"/>
    <x v="3"/>
    <n v="14"/>
    <n v="362.02"/>
    <n v="39.299999999999997"/>
    <n v="5068.28"/>
  </r>
  <r>
    <s v="TXN-100029"/>
    <x v="29"/>
    <x v="1"/>
    <x v="2"/>
    <n v="10"/>
    <n v="82.44"/>
    <n v="31.22"/>
    <n v="824.4"/>
  </r>
  <r>
    <s v="TXN-100030"/>
    <x v="30"/>
    <x v="2"/>
    <x v="0"/>
    <n v="12"/>
    <n v="287.13"/>
    <n v="11.71"/>
    <n v="3445.56"/>
  </r>
  <r>
    <s v="TXN-100031"/>
    <x v="31"/>
    <x v="2"/>
    <x v="0"/>
    <n v="6"/>
    <n v="162.63999999999999"/>
    <n v="42.69"/>
    <n v="975.83999999999992"/>
  </r>
  <r>
    <s v="TXN-100032"/>
    <x v="32"/>
    <x v="1"/>
    <x v="1"/>
    <n v="12"/>
    <n v="70.459999999999994"/>
    <n v="44.74"/>
    <n v="845.52"/>
  </r>
  <r>
    <s v="TXN-100033"/>
    <x v="33"/>
    <x v="3"/>
    <x v="3"/>
    <n v="14"/>
    <n v="195.59"/>
    <n v="25.98"/>
    <n v="2738.26"/>
  </r>
  <r>
    <s v="TXN-100034"/>
    <x v="34"/>
    <x v="3"/>
    <x v="1"/>
    <n v="2"/>
    <n v="21.93"/>
    <n v="14.4"/>
    <n v="43.86"/>
  </r>
  <r>
    <s v="TXN-100035"/>
    <x v="35"/>
    <x v="2"/>
    <x v="3"/>
    <n v="9"/>
    <n v="380.93"/>
    <n v="47.64"/>
    <n v="3428.37"/>
  </r>
  <r>
    <s v="TXN-100036"/>
    <x v="36"/>
    <x v="1"/>
    <x v="2"/>
    <n v="10"/>
    <n v="238.61"/>
    <n v="44.7"/>
    <n v="2386.1000000000004"/>
  </r>
  <r>
    <s v="TXN-100037"/>
    <x v="37"/>
    <x v="2"/>
    <x v="3"/>
    <n v="17"/>
    <n v="75.97"/>
    <n v="16"/>
    <n v="1291.49"/>
  </r>
  <r>
    <s v="TXN-100038"/>
    <x v="38"/>
    <x v="2"/>
    <x v="0"/>
    <n v="17"/>
    <n v="118.47"/>
    <n v="9.3000000000000007"/>
    <n v="2013.99"/>
  </r>
  <r>
    <s v="TXN-100039"/>
    <x v="39"/>
    <x v="0"/>
    <x v="0"/>
    <n v="3"/>
    <n v="210.15"/>
    <n v="24.83"/>
    <n v="630.45000000000005"/>
  </r>
  <r>
    <s v="TXN-100040"/>
    <x v="40"/>
    <x v="0"/>
    <x v="3"/>
    <n v="19"/>
    <n v="97.56"/>
    <n v="35.44"/>
    <n v="1853.64"/>
  </r>
  <r>
    <s v="TXN-100041"/>
    <x v="41"/>
    <x v="0"/>
    <x v="3"/>
    <n v="1"/>
    <n v="132.21"/>
    <n v="12.89"/>
    <n v="132.21"/>
  </r>
  <r>
    <s v="TXN-100042"/>
    <x v="42"/>
    <x v="3"/>
    <x v="3"/>
    <n v="12"/>
    <n v="247.69"/>
    <n v="28.09"/>
    <n v="2972.2799999999997"/>
  </r>
  <r>
    <s v="TXN-100043"/>
    <x v="43"/>
    <x v="1"/>
    <x v="1"/>
    <n v="7"/>
    <n v="377.27"/>
    <n v="24.14"/>
    <n v="2640.89"/>
  </r>
  <r>
    <s v="TXN-100044"/>
    <x v="44"/>
    <x v="1"/>
    <x v="3"/>
    <n v="4"/>
    <n v="190.1"/>
    <n v="45.07"/>
    <n v="760.4"/>
  </r>
  <r>
    <s v="TXN-100045"/>
    <x v="45"/>
    <x v="1"/>
    <x v="2"/>
    <n v="10"/>
    <n v="327.02999999999997"/>
    <n v="24.33"/>
    <n v="3270.2999999999997"/>
  </r>
  <r>
    <s v="TXN-100046"/>
    <x v="46"/>
    <x v="1"/>
    <x v="1"/>
    <n v="13"/>
    <n v="396.42"/>
    <n v="29.02"/>
    <n v="5153.46"/>
  </r>
  <r>
    <s v="TXN-100047"/>
    <x v="47"/>
    <x v="0"/>
    <x v="1"/>
    <n v="2"/>
    <n v="109.48"/>
    <n v="47.99"/>
    <n v="218.96"/>
  </r>
  <r>
    <s v="TXN-100048"/>
    <x v="48"/>
    <x v="3"/>
    <x v="3"/>
    <n v="10"/>
    <n v="366.22"/>
    <n v="18.489999999999998"/>
    <n v="3662.2000000000003"/>
  </r>
  <r>
    <s v="TXN-100049"/>
    <x v="49"/>
    <x v="3"/>
    <x v="2"/>
    <n v="4"/>
    <n v="344.59"/>
    <n v="18"/>
    <n v="1378.36"/>
  </r>
  <r>
    <s v="TXN-100050"/>
    <x v="50"/>
    <x v="0"/>
    <x v="1"/>
    <n v="18"/>
    <n v="170.59"/>
    <n v="40.98"/>
    <n v="3070.62"/>
  </r>
  <r>
    <s v="TXN-100051"/>
    <x v="51"/>
    <x v="3"/>
    <x v="0"/>
    <n v="5"/>
    <n v="445.45"/>
    <n v="17.489999999999998"/>
    <n v="2227.25"/>
  </r>
  <r>
    <s v="TXN-100052"/>
    <x v="52"/>
    <x v="0"/>
    <x v="1"/>
    <n v="19"/>
    <n v="129.59"/>
    <n v="42.43"/>
    <n v="2462.21"/>
  </r>
  <r>
    <s v="TXN-100053"/>
    <x v="53"/>
    <x v="1"/>
    <x v="3"/>
    <n v="2"/>
    <n v="126.21"/>
    <n v="9.3000000000000007"/>
    <n v="252.42"/>
  </r>
  <r>
    <s v="TXN-100054"/>
    <x v="54"/>
    <x v="0"/>
    <x v="2"/>
    <n v="12"/>
    <n v="351.05"/>
    <n v="10.01"/>
    <n v="4212.6000000000004"/>
  </r>
  <r>
    <s v="TXN-100055"/>
    <x v="55"/>
    <x v="1"/>
    <x v="3"/>
    <n v="17"/>
    <n v="204.36"/>
    <n v="45.56"/>
    <n v="3474.1200000000003"/>
  </r>
  <r>
    <s v="TXN-100056"/>
    <x v="56"/>
    <x v="1"/>
    <x v="0"/>
    <n v="10"/>
    <n v="159.22999999999999"/>
    <n v="29.34"/>
    <n v="1592.3"/>
  </r>
  <r>
    <s v="TXN-100057"/>
    <x v="57"/>
    <x v="2"/>
    <x v="0"/>
    <n v="2"/>
    <n v="93.13"/>
    <n v="37.35"/>
    <n v="186.26"/>
  </r>
  <r>
    <s v="TXN-100058"/>
    <x v="58"/>
    <x v="0"/>
    <x v="0"/>
    <n v="6"/>
    <n v="348.04"/>
    <n v="15.14"/>
    <n v="2088.2400000000002"/>
  </r>
  <r>
    <s v="TXN-100059"/>
    <x v="59"/>
    <x v="2"/>
    <x v="3"/>
    <n v="8"/>
    <n v="357.16"/>
    <n v="12.48"/>
    <n v="2857.28"/>
  </r>
  <r>
    <s v="TXN-100060"/>
    <x v="60"/>
    <x v="0"/>
    <x v="1"/>
    <n v="19"/>
    <n v="261.67"/>
    <n v="42.57"/>
    <n v="4971.7300000000005"/>
  </r>
  <r>
    <s v="TXN-100061"/>
    <x v="61"/>
    <x v="0"/>
    <x v="3"/>
    <n v="11"/>
    <n v="431.45"/>
    <n v="21.14"/>
    <n v="4745.95"/>
  </r>
  <r>
    <s v="TXN-100062"/>
    <x v="62"/>
    <x v="2"/>
    <x v="2"/>
    <n v="12"/>
    <n v="153.74"/>
    <n v="25.48"/>
    <n v="1844.88"/>
  </r>
  <r>
    <s v="TXN-100063"/>
    <x v="63"/>
    <x v="2"/>
    <x v="1"/>
    <n v="9"/>
    <n v="110.92"/>
    <n v="6.26"/>
    <n v="998.28"/>
  </r>
  <r>
    <s v="TXN-100064"/>
    <x v="64"/>
    <x v="0"/>
    <x v="0"/>
    <n v="2"/>
    <n v="309.86"/>
    <n v="22.36"/>
    <n v="619.72"/>
  </r>
  <r>
    <s v="TXN-100065"/>
    <x v="65"/>
    <x v="3"/>
    <x v="3"/>
    <n v="8"/>
    <n v="345.03"/>
    <n v="39.67"/>
    <n v="2760.24"/>
  </r>
  <r>
    <s v="TXN-100066"/>
    <x v="66"/>
    <x v="1"/>
    <x v="0"/>
    <n v="11"/>
    <n v="113.22"/>
    <n v="41.96"/>
    <n v="1245.42"/>
  </r>
  <r>
    <s v="TXN-100067"/>
    <x v="67"/>
    <x v="2"/>
    <x v="0"/>
    <n v="4"/>
    <n v="48.79"/>
    <n v="36.44"/>
    <n v="195.16"/>
  </r>
  <r>
    <s v="TXN-100068"/>
    <x v="68"/>
    <x v="1"/>
    <x v="2"/>
    <n v="10"/>
    <n v="367.67"/>
    <n v="36.15"/>
    <n v="3676.7000000000003"/>
  </r>
  <r>
    <s v="TXN-100069"/>
    <x v="69"/>
    <x v="3"/>
    <x v="1"/>
    <n v="16"/>
    <n v="439.79"/>
    <n v="27.78"/>
    <n v="7036.64"/>
  </r>
  <r>
    <s v="TXN-100070"/>
    <x v="70"/>
    <x v="3"/>
    <x v="2"/>
    <n v="8"/>
    <n v="295.61"/>
    <n v="29.22"/>
    <n v="2364.88"/>
  </r>
  <r>
    <s v="TXN-100071"/>
    <x v="71"/>
    <x v="3"/>
    <x v="2"/>
    <n v="4"/>
    <n v="136.22999999999999"/>
    <n v="38.42"/>
    <n v="544.91999999999996"/>
  </r>
  <r>
    <s v="TXN-100072"/>
    <x v="72"/>
    <x v="2"/>
    <x v="2"/>
    <n v="10"/>
    <n v="448.55"/>
    <n v="16.13"/>
    <n v="4485.5"/>
  </r>
  <r>
    <s v="TXN-100073"/>
    <x v="73"/>
    <x v="3"/>
    <x v="0"/>
    <n v="12"/>
    <n v="403.62"/>
    <n v="15.42"/>
    <n v="4843.4400000000005"/>
  </r>
  <r>
    <s v="TXN-100074"/>
    <x v="74"/>
    <x v="2"/>
    <x v="2"/>
    <n v="14"/>
    <n v="238.56"/>
    <n v="47.75"/>
    <n v="3339.84"/>
  </r>
  <r>
    <s v="TXN-100075"/>
    <x v="75"/>
    <x v="3"/>
    <x v="2"/>
    <n v="16"/>
    <n v="374.1"/>
    <n v="6.25"/>
    <n v="5985.6"/>
  </r>
  <r>
    <s v="TXN-100076"/>
    <x v="76"/>
    <x v="1"/>
    <x v="1"/>
    <n v="18"/>
    <n v="369.97"/>
    <n v="11.28"/>
    <n v="6659.4600000000009"/>
  </r>
  <r>
    <s v="TXN-100077"/>
    <x v="77"/>
    <x v="1"/>
    <x v="1"/>
    <n v="12"/>
    <n v="421.67"/>
    <n v="30.66"/>
    <n v="5060.04"/>
  </r>
  <r>
    <s v="TXN-100078"/>
    <x v="78"/>
    <x v="0"/>
    <x v="2"/>
    <n v="18"/>
    <n v="380.88"/>
    <n v="38.200000000000003"/>
    <n v="6855.84"/>
  </r>
  <r>
    <s v="TXN-100079"/>
    <x v="79"/>
    <x v="1"/>
    <x v="1"/>
    <n v="7"/>
    <n v="295.18"/>
    <n v="29.21"/>
    <n v="2066.2600000000002"/>
  </r>
  <r>
    <s v="TXN-100080"/>
    <x v="80"/>
    <x v="0"/>
    <x v="1"/>
    <n v="7"/>
    <n v="280.24"/>
    <n v="20.98"/>
    <n v="1961.68"/>
  </r>
  <r>
    <s v="TXN-100081"/>
    <x v="81"/>
    <x v="1"/>
    <x v="2"/>
    <n v="9"/>
    <n v="218.57"/>
    <n v="49.01"/>
    <n v="1967.1299999999999"/>
  </r>
  <r>
    <s v="TXN-100082"/>
    <x v="82"/>
    <x v="2"/>
    <x v="0"/>
    <n v="1"/>
    <n v="287.70999999999998"/>
    <n v="36.67"/>
    <n v="287.70999999999998"/>
  </r>
  <r>
    <s v="TXN-100083"/>
    <x v="83"/>
    <x v="1"/>
    <x v="2"/>
    <n v="6"/>
    <n v="361.02"/>
    <n v="42.41"/>
    <n v="2166.12"/>
  </r>
  <r>
    <s v="TXN-100084"/>
    <x v="84"/>
    <x v="0"/>
    <x v="1"/>
    <n v="6"/>
    <n v="436.55"/>
    <n v="6.81"/>
    <n v="2619.3000000000002"/>
  </r>
  <r>
    <s v="TXN-100085"/>
    <x v="85"/>
    <x v="0"/>
    <x v="0"/>
    <n v="12"/>
    <n v="218.54"/>
    <n v="15.62"/>
    <n v="2622.48"/>
  </r>
  <r>
    <s v="TXN-100086"/>
    <x v="86"/>
    <x v="3"/>
    <x v="3"/>
    <n v="12"/>
    <n v="264.75"/>
    <n v="21.84"/>
    <n v="3177"/>
  </r>
  <r>
    <s v="TXN-100087"/>
    <x v="87"/>
    <x v="2"/>
    <x v="0"/>
    <n v="10"/>
    <n v="208.77"/>
    <n v="13.22"/>
    <n v="2087.7000000000003"/>
  </r>
  <r>
    <s v="TXN-100088"/>
    <x v="88"/>
    <x v="1"/>
    <x v="1"/>
    <n v="6"/>
    <n v="305.95999999999998"/>
    <n v="8.2799999999999994"/>
    <n v="1835.7599999999998"/>
  </r>
  <r>
    <s v="TXN-100089"/>
    <x v="89"/>
    <x v="3"/>
    <x v="0"/>
    <n v="17"/>
    <n v="289.2"/>
    <n v="15.13"/>
    <n v="4916.3999999999996"/>
  </r>
  <r>
    <s v="TXN-100090"/>
    <x v="90"/>
    <x v="1"/>
    <x v="2"/>
    <n v="19"/>
    <n v="23.25"/>
    <n v="29.01"/>
    <n v="441.75"/>
  </r>
  <r>
    <s v="TXN-100091"/>
    <x v="91"/>
    <x v="1"/>
    <x v="3"/>
    <n v="18"/>
    <n v="250.63"/>
    <n v="36.31"/>
    <n v="4511.34"/>
  </r>
  <r>
    <s v="TXN-100092"/>
    <x v="92"/>
    <x v="3"/>
    <x v="3"/>
    <n v="6"/>
    <n v="53.95"/>
    <n v="39.83"/>
    <n v="323.70000000000005"/>
  </r>
  <r>
    <s v="TXN-100093"/>
    <x v="93"/>
    <x v="3"/>
    <x v="3"/>
    <n v="19"/>
    <n v="26.96"/>
    <n v="6.93"/>
    <n v="512.24"/>
  </r>
  <r>
    <s v="TXN-100094"/>
    <x v="94"/>
    <x v="3"/>
    <x v="1"/>
    <n v="10"/>
    <n v="359.28"/>
    <n v="24.26"/>
    <n v="3592.7999999999997"/>
  </r>
  <r>
    <s v="TXN-100095"/>
    <x v="95"/>
    <x v="3"/>
    <x v="1"/>
    <n v="8"/>
    <n v="127.88"/>
    <n v="10.5"/>
    <n v="1023.04"/>
  </r>
  <r>
    <s v="TXN-100096"/>
    <x v="96"/>
    <x v="3"/>
    <x v="3"/>
    <n v="6"/>
    <n v="163.51"/>
    <n v="24.4"/>
    <n v="981.06"/>
  </r>
  <r>
    <s v="TXN-100097"/>
    <x v="97"/>
    <x v="1"/>
    <x v="0"/>
    <n v="7"/>
    <n v="43.34"/>
    <n v="24.53"/>
    <n v="303.38"/>
  </r>
  <r>
    <s v="TXN-100098"/>
    <x v="98"/>
    <x v="3"/>
    <x v="3"/>
    <n v="1"/>
    <n v="93.49"/>
    <n v="27.42"/>
    <n v="93.49"/>
  </r>
  <r>
    <s v="TXN-100099"/>
    <x v="99"/>
    <x v="2"/>
    <x v="0"/>
    <n v="18"/>
    <n v="348.16"/>
    <n v="45.18"/>
    <n v="6266.88"/>
  </r>
  <r>
    <s v="TXN-100100"/>
    <x v="100"/>
    <x v="0"/>
    <x v="0"/>
    <n v="12"/>
    <n v="229.94"/>
    <n v="41.23"/>
    <n v="2759.2799999999997"/>
  </r>
  <r>
    <s v="TXN-100101"/>
    <x v="101"/>
    <x v="3"/>
    <x v="1"/>
    <n v="16"/>
    <n v="398.15"/>
    <n v="33.65"/>
    <n v="6370.4"/>
  </r>
  <r>
    <s v="TXN-100102"/>
    <x v="102"/>
    <x v="3"/>
    <x v="0"/>
    <n v="10"/>
    <n v="188.1"/>
    <n v="44.84"/>
    <n v="1881"/>
  </r>
  <r>
    <s v="TXN-100103"/>
    <x v="103"/>
    <x v="1"/>
    <x v="3"/>
    <n v="10"/>
    <n v="132.25"/>
    <n v="35.53"/>
    <n v="1322.5"/>
  </r>
  <r>
    <s v="TXN-100104"/>
    <x v="104"/>
    <x v="3"/>
    <x v="1"/>
    <n v="14"/>
    <n v="166.53"/>
    <n v="41.85"/>
    <n v="2331.42"/>
  </r>
  <r>
    <s v="TXN-100105"/>
    <x v="105"/>
    <x v="3"/>
    <x v="2"/>
    <n v="10"/>
    <n v="325.2"/>
    <n v="30.37"/>
    <n v="3252"/>
  </r>
  <r>
    <s v="TXN-100106"/>
    <x v="106"/>
    <x v="3"/>
    <x v="2"/>
    <n v="10"/>
    <n v="256.64999999999998"/>
    <n v="28.63"/>
    <n v="2566.5"/>
  </r>
  <r>
    <s v="TXN-100107"/>
    <x v="107"/>
    <x v="1"/>
    <x v="1"/>
    <n v="11"/>
    <n v="408.37"/>
    <n v="37.58"/>
    <n v="4492.07"/>
  </r>
  <r>
    <s v="TXN-100108"/>
    <x v="108"/>
    <x v="3"/>
    <x v="3"/>
    <n v="2"/>
    <n v="277.14"/>
    <n v="5.89"/>
    <n v="554.28"/>
  </r>
  <r>
    <s v="TXN-100109"/>
    <x v="109"/>
    <x v="0"/>
    <x v="2"/>
    <n v="8"/>
    <n v="229.72"/>
    <n v="36.07"/>
    <n v="1837.76"/>
  </r>
  <r>
    <s v="TXN-100110"/>
    <x v="110"/>
    <x v="1"/>
    <x v="2"/>
    <n v="7"/>
    <n v="356.91"/>
    <n v="47.05"/>
    <n v="2498.3700000000003"/>
  </r>
  <r>
    <s v="TXN-100111"/>
    <x v="111"/>
    <x v="0"/>
    <x v="0"/>
    <n v="8"/>
    <n v="427.2"/>
    <n v="37.130000000000003"/>
    <n v="3417.6"/>
  </r>
  <r>
    <s v="TXN-100112"/>
    <x v="112"/>
    <x v="1"/>
    <x v="0"/>
    <n v="1"/>
    <n v="170.12"/>
    <n v="6.66"/>
    <n v="170.12"/>
  </r>
  <r>
    <s v="TXN-100113"/>
    <x v="113"/>
    <x v="3"/>
    <x v="3"/>
    <n v="2"/>
    <n v="124.07"/>
    <n v="22"/>
    <n v="248.14"/>
  </r>
  <r>
    <s v="TXN-100114"/>
    <x v="114"/>
    <x v="0"/>
    <x v="1"/>
    <n v="18"/>
    <n v="283.25"/>
    <n v="41.43"/>
    <n v="5098.5"/>
  </r>
  <r>
    <s v="TXN-100115"/>
    <x v="115"/>
    <x v="1"/>
    <x v="3"/>
    <n v="15"/>
    <n v="232.26"/>
    <n v="48.14"/>
    <n v="3483.8999999999996"/>
  </r>
  <r>
    <s v="TXN-100116"/>
    <x v="116"/>
    <x v="2"/>
    <x v="1"/>
    <n v="1"/>
    <n v="445.3"/>
    <n v="21.66"/>
    <n v="445.3"/>
  </r>
  <r>
    <s v="TXN-100117"/>
    <x v="117"/>
    <x v="3"/>
    <x v="2"/>
    <n v="5"/>
    <n v="216.4"/>
    <n v="42.85"/>
    <n v="1082"/>
  </r>
  <r>
    <s v="TXN-100118"/>
    <x v="118"/>
    <x v="1"/>
    <x v="0"/>
    <n v="2"/>
    <n v="47.8"/>
    <n v="43.87"/>
    <n v="95.6"/>
  </r>
  <r>
    <s v="TXN-100119"/>
    <x v="119"/>
    <x v="2"/>
    <x v="3"/>
    <n v="3"/>
    <n v="440.17"/>
    <n v="10.55"/>
    <n v="1320.51"/>
  </r>
  <r>
    <s v="TXN-100120"/>
    <x v="120"/>
    <x v="1"/>
    <x v="3"/>
    <n v="19"/>
    <n v="382.04"/>
    <n v="43.06"/>
    <n v="7258.76"/>
  </r>
  <r>
    <s v="TXN-100121"/>
    <x v="121"/>
    <x v="2"/>
    <x v="1"/>
    <n v="18"/>
    <n v="92.95"/>
    <n v="19.59"/>
    <n v="1673.1000000000001"/>
  </r>
  <r>
    <s v="TXN-100122"/>
    <x v="122"/>
    <x v="3"/>
    <x v="1"/>
    <n v="18"/>
    <n v="408.55"/>
    <n v="31.7"/>
    <n v="7353.9000000000005"/>
  </r>
  <r>
    <s v="TXN-100123"/>
    <x v="123"/>
    <x v="0"/>
    <x v="3"/>
    <n v="14"/>
    <n v="163.52000000000001"/>
    <n v="29.25"/>
    <n v="2289.2800000000002"/>
  </r>
  <r>
    <s v="TXN-100124"/>
    <x v="124"/>
    <x v="2"/>
    <x v="1"/>
    <n v="8"/>
    <n v="179.36"/>
    <n v="34.840000000000003"/>
    <n v="1434.88"/>
  </r>
  <r>
    <s v="TXN-100125"/>
    <x v="125"/>
    <x v="1"/>
    <x v="3"/>
    <n v="12"/>
    <n v="409.33"/>
    <n v="38.32"/>
    <n v="4911.96"/>
  </r>
  <r>
    <s v="TXN-100126"/>
    <x v="126"/>
    <x v="3"/>
    <x v="3"/>
    <n v="10"/>
    <n v="245.84"/>
    <n v="24.84"/>
    <n v="2458.4"/>
  </r>
  <r>
    <s v="TXN-100127"/>
    <x v="127"/>
    <x v="2"/>
    <x v="3"/>
    <n v="17"/>
    <n v="75.36"/>
    <n v="44.97"/>
    <n v="1281.1199999999999"/>
  </r>
  <r>
    <s v="TXN-100128"/>
    <x v="128"/>
    <x v="1"/>
    <x v="2"/>
    <n v="11"/>
    <n v="175.85"/>
    <n v="41.43"/>
    <n v="1934.35"/>
  </r>
  <r>
    <s v="TXN-100129"/>
    <x v="129"/>
    <x v="1"/>
    <x v="1"/>
    <n v="2"/>
    <n v="329.25"/>
    <n v="40.340000000000003"/>
    <n v="658.5"/>
  </r>
  <r>
    <s v="TXN-100130"/>
    <x v="130"/>
    <x v="1"/>
    <x v="0"/>
    <n v="4"/>
    <n v="91.18"/>
    <n v="25.62"/>
    <n v="364.72"/>
  </r>
  <r>
    <s v="TXN-100131"/>
    <x v="131"/>
    <x v="2"/>
    <x v="0"/>
    <n v="1"/>
    <n v="271.95999999999998"/>
    <n v="6.69"/>
    <n v="271.95999999999998"/>
  </r>
  <r>
    <s v="TXN-100132"/>
    <x v="132"/>
    <x v="2"/>
    <x v="1"/>
    <n v="15"/>
    <n v="317.60000000000002"/>
    <n v="27.15"/>
    <n v="4764"/>
  </r>
  <r>
    <s v="TXN-100133"/>
    <x v="133"/>
    <x v="2"/>
    <x v="3"/>
    <n v="13"/>
    <n v="164.9"/>
    <n v="45.43"/>
    <n v="2143.7000000000003"/>
  </r>
  <r>
    <s v="TXN-100134"/>
    <x v="134"/>
    <x v="0"/>
    <x v="0"/>
    <n v="8"/>
    <n v="316.99"/>
    <n v="13.57"/>
    <n v="2535.92"/>
  </r>
  <r>
    <s v="TXN-100135"/>
    <x v="135"/>
    <x v="2"/>
    <x v="0"/>
    <n v="4"/>
    <n v="399.69"/>
    <n v="49.22"/>
    <n v="1598.76"/>
  </r>
  <r>
    <s v="TXN-100136"/>
    <x v="136"/>
    <x v="2"/>
    <x v="1"/>
    <n v="10"/>
    <n v="220.63"/>
    <n v="41.35"/>
    <n v="2206.3000000000002"/>
  </r>
  <r>
    <s v="TXN-100137"/>
    <x v="137"/>
    <x v="2"/>
    <x v="0"/>
    <n v="19"/>
    <n v="181.87"/>
    <n v="36.94"/>
    <n v="3455.53"/>
  </r>
  <r>
    <s v="TXN-100138"/>
    <x v="138"/>
    <x v="0"/>
    <x v="3"/>
    <n v="18"/>
    <n v="124.63"/>
    <n v="35.47"/>
    <n v="2243.34"/>
  </r>
  <r>
    <s v="TXN-100139"/>
    <x v="139"/>
    <x v="2"/>
    <x v="1"/>
    <n v="5"/>
    <n v="278.02999999999997"/>
    <n v="31.42"/>
    <n v="1390.1499999999999"/>
  </r>
  <r>
    <s v="TXN-100140"/>
    <x v="140"/>
    <x v="1"/>
    <x v="3"/>
    <n v="19"/>
    <n v="397.8"/>
    <n v="37.43"/>
    <n v="7558.2"/>
  </r>
  <r>
    <s v="TXN-100141"/>
    <x v="141"/>
    <x v="2"/>
    <x v="0"/>
    <n v="16"/>
    <n v="156.57"/>
    <n v="23.99"/>
    <n v="2505.12"/>
  </r>
  <r>
    <s v="TXN-100142"/>
    <x v="142"/>
    <x v="1"/>
    <x v="0"/>
    <n v="1"/>
    <n v="187.66"/>
    <n v="43.04"/>
    <n v="187.66"/>
  </r>
  <r>
    <s v="TXN-100143"/>
    <x v="143"/>
    <x v="1"/>
    <x v="3"/>
    <n v="12"/>
    <n v="192.18"/>
    <n v="36.340000000000003"/>
    <n v="2306.16"/>
  </r>
  <r>
    <s v="TXN-100144"/>
    <x v="144"/>
    <x v="1"/>
    <x v="2"/>
    <n v="2"/>
    <n v="259.17"/>
    <n v="39.71"/>
    <n v="518.34"/>
  </r>
  <r>
    <s v="TXN-100145"/>
    <x v="145"/>
    <x v="0"/>
    <x v="0"/>
    <n v="8"/>
    <n v="114.74"/>
    <n v="40.659999999999997"/>
    <n v="917.92"/>
  </r>
  <r>
    <s v="TXN-100146"/>
    <x v="146"/>
    <x v="0"/>
    <x v="2"/>
    <n v="18"/>
    <n v="372.75"/>
    <n v="9.14"/>
    <n v="6709.5"/>
  </r>
  <r>
    <s v="TXN-100147"/>
    <x v="147"/>
    <x v="0"/>
    <x v="0"/>
    <n v="16"/>
    <n v="143.94"/>
    <n v="7.5"/>
    <n v="2303.04"/>
  </r>
  <r>
    <s v="TXN-100148"/>
    <x v="148"/>
    <x v="2"/>
    <x v="2"/>
    <n v="5"/>
    <n v="321.98"/>
    <n v="41.04"/>
    <n v="1609.9"/>
  </r>
  <r>
    <s v="TXN-100149"/>
    <x v="149"/>
    <x v="1"/>
    <x v="2"/>
    <n v="13"/>
    <n v="238.49"/>
    <n v="16.670000000000002"/>
    <n v="3100.37"/>
  </r>
  <r>
    <s v="TXN-100150"/>
    <x v="150"/>
    <x v="0"/>
    <x v="2"/>
    <n v="19"/>
    <n v="270.07"/>
    <n v="31.19"/>
    <n v="5131.33"/>
  </r>
  <r>
    <s v="TXN-100151"/>
    <x v="151"/>
    <x v="0"/>
    <x v="3"/>
    <n v="3"/>
    <n v="93.54"/>
    <n v="24.97"/>
    <n v="280.62"/>
  </r>
  <r>
    <s v="TXN-100152"/>
    <x v="152"/>
    <x v="2"/>
    <x v="2"/>
    <n v="8"/>
    <n v="334.87"/>
    <n v="5.99"/>
    <n v="2678.96"/>
  </r>
  <r>
    <s v="TXN-100153"/>
    <x v="153"/>
    <x v="0"/>
    <x v="2"/>
    <n v="12"/>
    <n v="97.46"/>
    <n v="6.81"/>
    <n v="1169.52"/>
  </r>
  <r>
    <s v="TXN-100154"/>
    <x v="154"/>
    <x v="2"/>
    <x v="2"/>
    <n v="2"/>
    <n v="64.8"/>
    <n v="42.22"/>
    <n v="129.6"/>
  </r>
  <r>
    <s v="TXN-100155"/>
    <x v="155"/>
    <x v="3"/>
    <x v="0"/>
    <n v="11"/>
    <n v="253.03"/>
    <n v="32.35"/>
    <n v="2783.33"/>
  </r>
  <r>
    <s v="TXN-100156"/>
    <x v="156"/>
    <x v="0"/>
    <x v="2"/>
    <n v="12"/>
    <n v="323.69"/>
    <n v="28.57"/>
    <n v="3884.2799999999997"/>
  </r>
  <r>
    <s v="TXN-100157"/>
    <x v="157"/>
    <x v="3"/>
    <x v="0"/>
    <n v="18"/>
    <n v="37.24"/>
    <n v="47.5"/>
    <n v="670.32"/>
  </r>
  <r>
    <s v="TXN-100158"/>
    <x v="158"/>
    <x v="2"/>
    <x v="2"/>
    <n v="13"/>
    <n v="45.65"/>
    <n v="12.79"/>
    <n v="593.44999999999993"/>
  </r>
  <r>
    <s v="TXN-100159"/>
    <x v="159"/>
    <x v="1"/>
    <x v="2"/>
    <n v="5"/>
    <n v="364.26"/>
    <n v="16.61"/>
    <n v="1821.3"/>
  </r>
  <r>
    <s v="TXN-100160"/>
    <x v="160"/>
    <x v="0"/>
    <x v="3"/>
    <n v="12"/>
    <n v="367.02"/>
    <n v="39.049999999999997"/>
    <n v="4404.24"/>
  </r>
  <r>
    <s v="TXN-100161"/>
    <x v="161"/>
    <x v="2"/>
    <x v="0"/>
    <n v="2"/>
    <n v="122.08"/>
    <n v="39.89"/>
    <n v="244.16"/>
  </r>
  <r>
    <s v="TXN-100162"/>
    <x v="162"/>
    <x v="1"/>
    <x v="2"/>
    <n v="5"/>
    <n v="282.82"/>
    <n v="23.22"/>
    <n v="1414.1"/>
  </r>
  <r>
    <s v="TXN-100163"/>
    <x v="163"/>
    <x v="1"/>
    <x v="0"/>
    <n v="7"/>
    <n v="208.06"/>
    <n v="47.79"/>
    <n v="1456.42"/>
  </r>
  <r>
    <s v="TXN-100164"/>
    <x v="164"/>
    <x v="3"/>
    <x v="0"/>
    <n v="12"/>
    <n v="290.41000000000003"/>
    <n v="47.22"/>
    <n v="3484.92"/>
  </r>
  <r>
    <s v="TXN-100165"/>
    <x v="165"/>
    <x v="2"/>
    <x v="1"/>
    <n v="16"/>
    <n v="390.42"/>
    <n v="5.56"/>
    <n v="6246.72"/>
  </r>
  <r>
    <s v="TXN-100166"/>
    <x v="166"/>
    <x v="1"/>
    <x v="3"/>
    <n v="8"/>
    <n v="50.2"/>
    <n v="12.75"/>
    <n v="401.6"/>
  </r>
  <r>
    <s v="TXN-100167"/>
    <x v="167"/>
    <x v="0"/>
    <x v="3"/>
    <n v="9"/>
    <n v="353.53"/>
    <n v="41.91"/>
    <n v="3181.7699999999995"/>
  </r>
  <r>
    <s v="TXN-100168"/>
    <x v="168"/>
    <x v="0"/>
    <x v="3"/>
    <n v="15"/>
    <n v="229.72"/>
    <n v="20.079999999999998"/>
    <n v="3445.8"/>
  </r>
  <r>
    <s v="TXN-100169"/>
    <x v="169"/>
    <x v="3"/>
    <x v="1"/>
    <n v="5"/>
    <n v="260.61"/>
    <n v="9.3000000000000007"/>
    <n v="1303.0500000000002"/>
  </r>
  <r>
    <s v="TXN-100170"/>
    <x v="170"/>
    <x v="1"/>
    <x v="1"/>
    <n v="13"/>
    <n v="299.63"/>
    <n v="40.32"/>
    <n v="3895.19"/>
  </r>
  <r>
    <s v="TXN-100171"/>
    <x v="171"/>
    <x v="2"/>
    <x v="3"/>
    <n v="5"/>
    <n v="416.38"/>
    <n v="25.46"/>
    <n v="2081.9"/>
  </r>
  <r>
    <s v="TXN-100172"/>
    <x v="172"/>
    <x v="0"/>
    <x v="1"/>
    <n v="11"/>
    <n v="40.14"/>
    <n v="27.16"/>
    <n v="441.54"/>
  </r>
  <r>
    <s v="TXN-100173"/>
    <x v="173"/>
    <x v="1"/>
    <x v="1"/>
    <n v="10"/>
    <n v="28.31"/>
    <n v="13.39"/>
    <n v="283.09999999999997"/>
  </r>
  <r>
    <s v="TXN-100174"/>
    <x v="174"/>
    <x v="1"/>
    <x v="1"/>
    <n v="13"/>
    <n v="92.95"/>
    <n v="34.74"/>
    <n v="1208.3500000000001"/>
  </r>
  <r>
    <s v="TXN-100175"/>
    <x v="175"/>
    <x v="3"/>
    <x v="3"/>
    <n v="9"/>
    <n v="444.11"/>
    <n v="29.81"/>
    <n v="3996.9900000000002"/>
  </r>
  <r>
    <s v="TXN-100176"/>
    <x v="176"/>
    <x v="0"/>
    <x v="3"/>
    <n v="14"/>
    <n v="326.2"/>
    <n v="14.3"/>
    <n v="4566.8"/>
  </r>
  <r>
    <s v="TXN-100177"/>
    <x v="177"/>
    <x v="0"/>
    <x v="3"/>
    <n v="18"/>
    <n v="282.56"/>
    <n v="20.309999999999999"/>
    <n v="5086.08"/>
  </r>
  <r>
    <s v="TXN-100178"/>
    <x v="178"/>
    <x v="2"/>
    <x v="1"/>
    <n v="15"/>
    <n v="35.94"/>
    <n v="31.86"/>
    <n v="539.09999999999991"/>
  </r>
  <r>
    <s v="TXN-100179"/>
    <x v="179"/>
    <x v="0"/>
    <x v="3"/>
    <n v="10"/>
    <n v="397.47"/>
    <n v="46.62"/>
    <n v="3974.7000000000003"/>
  </r>
  <r>
    <s v="TXN-100180"/>
    <x v="180"/>
    <x v="2"/>
    <x v="1"/>
    <n v="7"/>
    <n v="368.64"/>
    <n v="46.42"/>
    <n v="2580.48"/>
  </r>
  <r>
    <s v="TXN-100181"/>
    <x v="181"/>
    <x v="0"/>
    <x v="2"/>
    <n v="8"/>
    <n v="304.36"/>
    <n v="17.96"/>
    <n v="2434.88"/>
  </r>
  <r>
    <s v="TXN-100182"/>
    <x v="182"/>
    <x v="3"/>
    <x v="1"/>
    <n v="3"/>
    <n v="162.85"/>
    <n v="38.1"/>
    <n v="488.54999999999995"/>
  </r>
  <r>
    <s v="TXN-100183"/>
    <x v="183"/>
    <x v="0"/>
    <x v="0"/>
    <n v="15"/>
    <n v="46.13"/>
    <n v="39.9"/>
    <n v="691.95"/>
  </r>
  <r>
    <s v="TXN-100184"/>
    <x v="184"/>
    <x v="2"/>
    <x v="3"/>
    <n v="16"/>
    <n v="267.52999999999997"/>
    <n v="41.4"/>
    <n v="4280.4799999999996"/>
  </r>
  <r>
    <s v="TXN-100185"/>
    <x v="185"/>
    <x v="2"/>
    <x v="3"/>
    <n v="4"/>
    <n v="328.21"/>
    <n v="30.68"/>
    <n v="1312.84"/>
  </r>
  <r>
    <s v="TXN-100186"/>
    <x v="186"/>
    <x v="3"/>
    <x v="0"/>
    <n v="6"/>
    <n v="56.45"/>
    <n v="5.47"/>
    <n v="338.70000000000005"/>
  </r>
  <r>
    <s v="TXN-100187"/>
    <x v="187"/>
    <x v="0"/>
    <x v="1"/>
    <n v="1"/>
    <n v="290.87"/>
    <n v="39.28"/>
    <n v="290.87"/>
  </r>
  <r>
    <s v="TXN-100188"/>
    <x v="188"/>
    <x v="0"/>
    <x v="2"/>
    <n v="4"/>
    <n v="139.93"/>
    <n v="9.8000000000000007"/>
    <n v="559.72"/>
  </r>
  <r>
    <s v="TXN-100189"/>
    <x v="189"/>
    <x v="3"/>
    <x v="0"/>
    <n v="11"/>
    <n v="347.56"/>
    <n v="10.26"/>
    <n v="3823.16"/>
  </r>
  <r>
    <s v="TXN-100190"/>
    <x v="190"/>
    <x v="0"/>
    <x v="0"/>
    <n v="12"/>
    <n v="249.96"/>
    <n v="32.25"/>
    <n v="2999.52"/>
  </r>
  <r>
    <s v="TXN-100191"/>
    <x v="191"/>
    <x v="0"/>
    <x v="1"/>
    <n v="5"/>
    <n v="71.569999999999993"/>
    <n v="49.26"/>
    <n v="357.84999999999997"/>
  </r>
  <r>
    <s v="TXN-100192"/>
    <x v="192"/>
    <x v="2"/>
    <x v="3"/>
    <n v="16"/>
    <n v="244.27"/>
    <n v="15.91"/>
    <n v="3908.32"/>
  </r>
  <r>
    <s v="TXN-100193"/>
    <x v="193"/>
    <x v="0"/>
    <x v="1"/>
    <n v="13"/>
    <n v="187.45"/>
    <n v="34.06"/>
    <n v="2436.85"/>
  </r>
  <r>
    <s v="TXN-100194"/>
    <x v="194"/>
    <x v="0"/>
    <x v="0"/>
    <n v="13"/>
    <n v="93.86"/>
    <n v="18.66"/>
    <n v="1220.18"/>
  </r>
  <r>
    <s v="TXN-100195"/>
    <x v="195"/>
    <x v="3"/>
    <x v="0"/>
    <n v="17"/>
    <n v="381.14"/>
    <n v="45.44"/>
    <n v="6479.38"/>
  </r>
  <r>
    <s v="TXN-100196"/>
    <x v="196"/>
    <x v="3"/>
    <x v="3"/>
    <n v="7"/>
    <n v="20.29"/>
    <n v="31.71"/>
    <n v="142.03"/>
  </r>
  <r>
    <s v="TXN-100197"/>
    <x v="197"/>
    <x v="1"/>
    <x v="3"/>
    <n v="8"/>
    <n v="151.12"/>
    <n v="14.34"/>
    <n v="1208.96"/>
  </r>
  <r>
    <s v="TXN-100198"/>
    <x v="198"/>
    <x v="2"/>
    <x v="3"/>
    <n v="13"/>
    <n v="20.97"/>
    <n v="16.8"/>
    <n v="272.61"/>
  </r>
  <r>
    <s v="TXN-100199"/>
    <x v="199"/>
    <x v="0"/>
    <x v="1"/>
    <n v="16"/>
    <n v="57.22"/>
    <n v="24.46"/>
    <n v="915.52"/>
  </r>
  <r>
    <s v="TXN-100200"/>
    <x v="200"/>
    <x v="0"/>
    <x v="3"/>
    <n v="4"/>
    <n v="144.59"/>
    <n v="10.49"/>
    <n v="578.36"/>
  </r>
  <r>
    <s v="TXN-100201"/>
    <x v="201"/>
    <x v="1"/>
    <x v="0"/>
    <n v="8"/>
    <n v="39.08"/>
    <n v="8.5399999999999991"/>
    <n v="312.64"/>
  </r>
  <r>
    <s v="TXN-100202"/>
    <x v="202"/>
    <x v="0"/>
    <x v="0"/>
    <n v="16"/>
    <n v="274.74"/>
    <n v="35.6"/>
    <n v="4395.84"/>
  </r>
  <r>
    <s v="TXN-100203"/>
    <x v="203"/>
    <x v="2"/>
    <x v="2"/>
    <n v="10"/>
    <n v="53.24"/>
    <n v="23.32"/>
    <n v="532.4"/>
  </r>
  <r>
    <s v="TXN-100204"/>
    <x v="204"/>
    <x v="1"/>
    <x v="1"/>
    <n v="12"/>
    <n v="320.39"/>
    <n v="37.68"/>
    <n v="3844.68"/>
  </r>
  <r>
    <s v="TXN-100205"/>
    <x v="205"/>
    <x v="2"/>
    <x v="2"/>
    <n v="12"/>
    <n v="38.369999999999997"/>
    <n v="9.9499999999999993"/>
    <n v="460.43999999999994"/>
  </r>
  <r>
    <s v="TXN-100206"/>
    <x v="206"/>
    <x v="1"/>
    <x v="0"/>
    <n v="5"/>
    <n v="41.27"/>
    <n v="32.44"/>
    <n v="206.35000000000002"/>
  </r>
  <r>
    <s v="TXN-100207"/>
    <x v="207"/>
    <x v="1"/>
    <x v="2"/>
    <n v="16"/>
    <n v="148.16"/>
    <n v="24.95"/>
    <n v="2370.56"/>
  </r>
  <r>
    <s v="TXN-100208"/>
    <x v="208"/>
    <x v="3"/>
    <x v="0"/>
    <n v="1"/>
    <n v="405.06"/>
    <n v="7.61"/>
    <n v="405.06"/>
  </r>
  <r>
    <s v="TXN-100209"/>
    <x v="209"/>
    <x v="2"/>
    <x v="2"/>
    <n v="9"/>
    <n v="294.19"/>
    <n v="29.52"/>
    <n v="2647.71"/>
  </r>
  <r>
    <s v="TXN-100210"/>
    <x v="210"/>
    <x v="0"/>
    <x v="3"/>
    <n v="12"/>
    <n v="350.12"/>
    <n v="8.73"/>
    <n v="4201.4400000000005"/>
  </r>
  <r>
    <s v="TXN-100211"/>
    <x v="211"/>
    <x v="0"/>
    <x v="2"/>
    <n v="5"/>
    <n v="77"/>
    <n v="42.25"/>
    <n v="385"/>
  </r>
  <r>
    <s v="TXN-100212"/>
    <x v="212"/>
    <x v="2"/>
    <x v="3"/>
    <n v="3"/>
    <n v="377.93"/>
    <n v="33.44"/>
    <n v="1133.79"/>
  </r>
  <r>
    <s v="TXN-100213"/>
    <x v="213"/>
    <x v="0"/>
    <x v="3"/>
    <n v="5"/>
    <n v="19.04"/>
    <n v="30.06"/>
    <n v="95.199999999999989"/>
  </r>
  <r>
    <s v="TXN-100214"/>
    <x v="214"/>
    <x v="0"/>
    <x v="1"/>
    <n v="2"/>
    <n v="108.07"/>
    <n v="11.01"/>
    <n v="216.14"/>
  </r>
  <r>
    <s v="TXN-100215"/>
    <x v="215"/>
    <x v="2"/>
    <x v="3"/>
    <n v="14"/>
    <n v="283.19"/>
    <n v="17.940000000000001"/>
    <n v="3964.66"/>
  </r>
  <r>
    <s v="TXN-100216"/>
    <x v="216"/>
    <x v="1"/>
    <x v="3"/>
    <n v="2"/>
    <n v="178.54"/>
    <n v="27.18"/>
    <n v="357.08"/>
  </r>
  <r>
    <s v="TXN-100217"/>
    <x v="217"/>
    <x v="2"/>
    <x v="2"/>
    <n v="13"/>
    <n v="443.13"/>
    <n v="33.5"/>
    <n v="5760.69"/>
  </r>
  <r>
    <s v="TXN-100218"/>
    <x v="218"/>
    <x v="1"/>
    <x v="0"/>
    <n v="7"/>
    <n v="28.68"/>
    <n v="13.25"/>
    <n v="200.76"/>
  </r>
  <r>
    <s v="TXN-100219"/>
    <x v="219"/>
    <x v="0"/>
    <x v="1"/>
    <n v="10"/>
    <n v="449.39"/>
    <n v="5.4"/>
    <n v="4493.8999999999996"/>
  </r>
  <r>
    <s v="TXN-100220"/>
    <x v="220"/>
    <x v="0"/>
    <x v="3"/>
    <n v="13"/>
    <n v="286.47000000000003"/>
    <n v="20.51"/>
    <n v="3724.1100000000006"/>
  </r>
  <r>
    <s v="TXN-100221"/>
    <x v="221"/>
    <x v="0"/>
    <x v="1"/>
    <n v="16"/>
    <n v="258.26"/>
    <n v="26.73"/>
    <n v="4132.16"/>
  </r>
  <r>
    <s v="TXN-100222"/>
    <x v="222"/>
    <x v="3"/>
    <x v="2"/>
    <n v="14"/>
    <n v="41.36"/>
    <n v="13.3"/>
    <n v="579.04"/>
  </r>
  <r>
    <s v="TXN-100223"/>
    <x v="223"/>
    <x v="1"/>
    <x v="3"/>
    <n v="11"/>
    <n v="134.26"/>
    <n v="27.15"/>
    <n v="1476.86"/>
  </r>
  <r>
    <s v="TXN-100224"/>
    <x v="224"/>
    <x v="3"/>
    <x v="2"/>
    <n v="10"/>
    <n v="417.27"/>
    <n v="20.23"/>
    <n v="4172.7"/>
  </r>
  <r>
    <s v="TXN-100225"/>
    <x v="225"/>
    <x v="3"/>
    <x v="1"/>
    <n v="6"/>
    <n v="169.42"/>
    <n v="25.48"/>
    <n v="1016.52"/>
  </r>
  <r>
    <s v="TXN-100226"/>
    <x v="226"/>
    <x v="2"/>
    <x v="2"/>
    <n v="4"/>
    <n v="302.99"/>
    <n v="20.64"/>
    <n v="1211.96"/>
  </r>
  <r>
    <s v="TXN-100227"/>
    <x v="227"/>
    <x v="3"/>
    <x v="1"/>
    <n v="1"/>
    <n v="449.78"/>
    <n v="33.28"/>
    <n v="449.78"/>
  </r>
  <r>
    <s v="TXN-100228"/>
    <x v="228"/>
    <x v="2"/>
    <x v="2"/>
    <n v="7"/>
    <n v="129.80000000000001"/>
    <n v="6.93"/>
    <n v="908.60000000000014"/>
  </r>
  <r>
    <s v="TXN-100229"/>
    <x v="229"/>
    <x v="2"/>
    <x v="1"/>
    <n v="9"/>
    <n v="265.81"/>
    <n v="12.69"/>
    <n v="2392.29"/>
  </r>
  <r>
    <s v="TXN-100230"/>
    <x v="230"/>
    <x v="3"/>
    <x v="0"/>
    <n v="8"/>
    <n v="318.10000000000002"/>
    <n v="24.47"/>
    <n v="2544.8000000000002"/>
  </r>
  <r>
    <s v="TXN-100231"/>
    <x v="231"/>
    <x v="1"/>
    <x v="2"/>
    <n v="5"/>
    <n v="87.03"/>
    <n v="21.03"/>
    <n v="435.15"/>
  </r>
  <r>
    <s v="TXN-100232"/>
    <x v="232"/>
    <x v="1"/>
    <x v="2"/>
    <n v="19"/>
    <n v="80.099999999999994"/>
    <n v="22.62"/>
    <n v="1521.8999999999999"/>
  </r>
  <r>
    <s v="TXN-100233"/>
    <x v="233"/>
    <x v="1"/>
    <x v="0"/>
    <n v="10"/>
    <n v="213.77"/>
    <n v="41.17"/>
    <n v="2137.7000000000003"/>
  </r>
  <r>
    <s v="TXN-100234"/>
    <x v="234"/>
    <x v="1"/>
    <x v="0"/>
    <n v="11"/>
    <n v="183.14"/>
    <n v="44.88"/>
    <n v="2014.54"/>
  </r>
  <r>
    <s v="TXN-100235"/>
    <x v="235"/>
    <x v="1"/>
    <x v="2"/>
    <n v="15"/>
    <n v="325.83"/>
    <n v="16.190000000000001"/>
    <n v="4887.45"/>
  </r>
  <r>
    <s v="TXN-100236"/>
    <x v="236"/>
    <x v="3"/>
    <x v="0"/>
    <n v="6"/>
    <n v="45.7"/>
    <n v="42.64"/>
    <n v="274.20000000000005"/>
  </r>
  <r>
    <s v="TXN-100237"/>
    <x v="237"/>
    <x v="3"/>
    <x v="3"/>
    <n v="15"/>
    <n v="437.91"/>
    <n v="25.65"/>
    <n v="6568.6500000000005"/>
  </r>
  <r>
    <s v="TXN-100238"/>
    <x v="238"/>
    <x v="0"/>
    <x v="1"/>
    <n v="5"/>
    <n v="21.7"/>
    <n v="17.32"/>
    <n v="108.5"/>
  </r>
  <r>
    <s v="TXN-100239"/>
    <x v="239"/>
    <x v="1"/>
    <x v="1"/>
    <n v="19"/>
    <n v="276.77"/>
    <n v="49.35"/>
    <n v="5258.6299999999992"/>
  </r>
  <r>
    <s v="TXN-100240"/>
    <x v="240"/>
    <x v="3"/>
    <x v="1"/>
    <n v="19"/>
    <n v="259.95999999999998"/>
    <n v="42.12"/>
    <n v="4939.24"/>
  </r>
  <r>
    <s v="TXN-100241"/>
    <x v="241"/>
    <x v="0"/>
    <x v="3"/>
    <n v="10"/>
    <n v="74.03"/>
    <n v="49.74"/>
    <n v="740.3"/>
  </r>
  <r>
    <s v="TXN-100242"/>
    <x v="242"/>
    <x v="1"/>
    <x v="0"/>
    <n v="12"/>
    <n v="81.069999999999993"/>
    <n v="12.57"/>
    <n v="972.83999999999992"/>
  </r>
  <r>
    <s v="TXN-100243"/>
    <x v="243"/>
    <x v="2"/>
    <x v="0"/>
    <n v="4"/>
    <n v="359.92"/>
    <n v="11.47"/>
    <n v="1439.68"/>
  </r>
  <r>
    <s v="TXN-100244"/>
    <x v="244"/>
    <x v="0"/>
    <x v="2"/>
    <n v="18"/>
    <n v="401.15"/>
    <n v="27.65"/>
    <n v="7220.7"/>
  </r>
  <r>
    <s v="TXN-100245"/>
    <x v="245"/>
    <x v="3"/>
    <x v="0"/>
    <n v="16"/>
    <n v="138.47"/>
    <n v="33.74"/>
    <n v="2215.52"/>
  </r>
  <r>
    <s v="TXN-100246"/>
    <x v="246"/>
    <x v="2"/>
    <x v="2"/>
    <n v="8"/>
    <n v="205.8"/>
    <n v="12.7"/>
    <n v="1646.4"/>
  </r>
  <r>
    <s v="TXN-100247"/>
    <x v="247"/>
    <x v="2"/>
    <x v="3"/>
    <n v="4"/>
    <n v="169.75"/>
    <n v="43.72"/>
    <n v="679"/>
  </r>
  <r>
    <s v="TXN-100248"/>
    <x v="248"/>
    <x v="2"/>
    <x v="1"/>
    <n v="12"/>
    <n v="47.02"/>
    <n v="28.94"/>
    <n v="564.24"/>
  </r>
  <r>
    <s v="TXN-100249"/>
    <x v="249"/>
    <x v="0"/>
    <x v="1"/>
    <n v="2"/>
    <n v="308.01"/>
    <n v="23.49"/>
    <n v="616.02"/>
  </r>
  <r>
    <s v="TXN-100250"/>
    <x v="250"/>
    <x v="3"/>
    <x v="1"/>
    <n v="4"/>
    <n v="374.05"/>
    <n v="32.090000000000003"/>
    <n v="1496.2"/>
  </r>
  <r>
    <s v="TXN-100251"/>
    <x v="251"/>
    <x v="2"/>
    <x v="0"/>
    <n v="5"/>
    <n v="147.97"/>
    <n v="33.57"/>
    <n v="739.85"/>
  </r>
  <r>
    <s v="TXN-100252"/>
    <x v="252"/>
    <x v="1"/>
    <x v="2"/>
    <n v="3"/>
    <n v="445.73"/>
    <n v="6.93"/>
    <n v="1337.19"/>
  </r>
  <r>
    <s v="TXN-100253"/>
    <x v="253"/>
    <x v="2"/>
    <x v="2"/>
    <n v="9"/>
    <n v="48.46"/>
    <n v="50"/>
    <n v="436.14"/>
  </r>
  <r>
    <s v="TXN-100254"/>
    <x v="254"/>
    <x v="2"/>
    <x v="3"/>
    <n v="18"/>
    <n v="303.05"/>
    <n v="21.38"/>
    <n v="5454.9000000000005"/>
  </r>
  <r>
    <s v="TXN-100255"/>
    <x v="255"/>
    <x v="0"/>
    <x v="0"/>
    <n v="11"/>
    <n v="210.26"/>
    <n v="7.77"/>
    <n v="2312.8599999999997"/>
  </r>
  <r>
    <s v="TXN-100256"/>
    <x v="256"/>
    <x v="0"/>
    <x v="3"/>
    <n v="3"/>
    <n v="209.55"/>
    <n v="43.35"/>
    <n v="628.65000000000009"/>
  </r>
  <r>
    <s v="TXN-100257"/>
    <x v="257"/>
    <x v="3"/>
    <x v="2"/>
    <n v="2"/>
    <n v="214.35"/>
    <n v="49.69"/>
    <n v="428.7"/>
  </r>
  <r>
    <s v="TXN-100258"/>
    <x v="258"/>
    <x v="1"/>
    <x v="2"/>
    <n v="9"/>
    <n v="127.9"/>
    <n v="41.74"/>
    <n v="1151.1000000000001"/>
  </r>
  <r>
    <s v="TXN-100259"/>
    <x v="259"/>
    <x v="0"/>
    <x v="1"/>
    <n v="14"/>
    <n v="326.41000000000003"/>
    <n v="43.33"/>
    <n v="4569.7400000000007"/>
  </r>
  <r>
    <s v="TXN-100260"/>
    <x v="260"/>
    <x v="2"/>
    <x v="0"/>
    <n v="4"/>
    <n v="329.03"/>
    <n v="33.17"/>
    <n v="1316.12"/>
  </r>
  <r>
    <s v="TXN-100261"/>
    <x v="261"/>
    <x v="3"/>
    <x v="2"/>
    <n v="9"/>
    <n v="138.19999999999999"/>
    <n v="46.5"/>
    <n v="1243.8"/>
  </r>
  <r>
    <s v="TXN-100262"/>
    <x v="262"/>
    <x v="2"/>
    <x v="1"/>
    <n v="13"/>
    <n v="378.44"/>
    <n v="6.61"/>
    <n v="4919.72"/>
  </r>
  <r>
    <s v="TXN-100263"/>
    <x v="263"/>
    <x v="2"/>
    <x v="0"/>
    <n v="18"/>
    <n v="153.16999999999999"/>
    <n v="39.5"/>
    <n v="2757.06"/>
  </r>
  <r>
    <s v="TXN-100264"/>
    <x v="264"/>
    <x v="0"/>
    <x v="3"/>
    <n v="15"/>
    <n v="330.55"/>
    <n v="35.18"/>
    <n v="4958.25"/>
  </r>
  <r>
    <s v="TXN-100265"/>
    <x v="265"/>
    <x v="3"/>
    <x v="0"/>
    <n v="10"/>
    <n v="68.069999999999993"/>
    <n v="7.23"/>
    <n v="680.69999999999993"/>
  </r>
  <r>
    <s v="TXN-100266"/>
    <x v="266"/>
    <x v="1"/>
    <x v="0"/>
    <n v="16"/>
    <n v="88.8"/>
    <n v="29.48"/>
    <n v="1420.8"/>
  </r>
  <r>
    <s v="TXN-100267"/>
    <x v="267"/>
    <x v="1"/>
    <x v="2"/>
    <n v="12"/>
    <n v="152.71"/>
    <n v="28.18"/>
    <n v="1832.52"/>
  </r>
  <r>
    <s v="TXN-100268"/>
    <x v="268"/>
    <x v="0"/>
    <x v="2"/>
    <n v="5"/>
    <n v="273.54000000000002"/>
    <n v="36.119999999999997"/>
    <n v="1367.7"/>
  </r>
  <r>
    <s v="TXN-100269"/>
    <x v="269"/>
    <x v="0"/>
    <x v="0"/>
    <n v="2"/>
    <n v="295.97000000000003"/>
    <n v="8.49"/>
    <n v="591.94000000000005"/>
  </r>
  <r>
    <s v="TXN-100270"/>
    <x v="270"/>
    <x v="3"/>
    <x v="2"/>
    <n v="10"/>
    <n v="187.72"/>
    <n v="41.24"/>
    <n v="1877.2"/>
  </r>
  <r>
    <s v="TXN-100271"/>
    <x v="271"/>
    <x v="1"/>
    <x v="2"/>
    <n v="1"/>
    <n v="49.32"/>
    <n v="11.27"/>
    <n v="49.32"/>
  </r>
  <r>
    <s v="TXN-100272"/>
    <x v="272"/>
    <x v="1"/>
    <x v="2"/>
    <n v="7"/>
    <n v="177.84"/>
    <n v="23.84"/>
    <n v="1244.8800000000001"/>
  </r>
  <r>
    <s v="TXN-100273"/>
    <x v="273"/>
    <x v="1"/>
    <x v="1"/>
    <n v="17"/>
    <n v="314.77"/>
    <n v="44.66"/>
    <n v="5351.09"/>
  </r>
  <r>
    <s v="TXN-100274"/>
    <x v="274"/>
    <x v="2"/>
    <x v="1"/>
    <n v="16"/>
    <n v="307.05"/>
    <n v="30.22"/>
    <n v="4912.8"/>
  </r>
  <r>
    <s v="TXN-100275"/>
    <x v="275"/>
    <x v="1"/>
    <x v="0"/>
    <n v="3"/>
    <n v="85.11"/>
    <n v="22.08"/>
    <n v="255.32999999999998"/>
  </r>
  <r>
    <s v="TXN-100276"/>
    <x v="276"/>
    <x v="2"/>
    <x v="2"/>
    <n v="14"/>
    <n v="18.88"/>
    <n v="7.17"/>
    <n v="264.32"/>
  </r>
  <r>
    <s v="TXN-100277"/>
    <x v="277"/>
    <x v="3"/>
    <x v="1"/>
    <n v="10"/>
    <n v="342.67"/>
    <n v="35.25"/>
    <n v="3426.7000000000003"/>
  </r>
  <r>
    <s v="TXN-100278"/>
    <x v="278"/>
    <x v="2"/>
    <x v="0"/>
    <n v="7"/>
    <n v="61.72"/>
    <n v="49.39"/>
    <n v="432.03999999999996"/>
  </r>
  <r>
    <s v="TXN-100279"/>
    <x v="279"/>
    <x v="3"/>
    <x v="2"/>
    <n v="17"/>
    <n v="51.28"/>
    <n v="46.03"/>
    <n v="871.76"/>
  </r>
  <r>
    <s v="TXN-100280"/>
    <x v="280"/>
    <x v="1"/>
    <x v="3"/>
    <n v="6"/>
    <n v="16.670000000000002"/>
    <n v="37.28"/>
    <n v="100.02000000000001"/>
  </r>
  <r>
    <s v="TXN-100281"/>
    <x v="281"/>
    <x v="1"/>
    <x v="2"/>
    <n v="4"/>
    <n v="203.47"/>
    <n v="9.74"/>
    <n v="813.88"/>
  </r>
  <r>
    <s v="TXN-100282"/>
    <x v="282"/>
    <x v="3"/>
    <x v="2"/>
    <n v="17"/>
    <n v="234.17"/>
    <n v="15.77"/>
    <n v="3980.89"/>
  </r>
  <r>
    <s v="TXN-100283"/>
    <x v="283"/>
    <x v="0"/>
    <x v="1"/>
    <n v="9"/>
    <n v="292.57"/>
    <n v="13.41"/>
    <n v="2633.13"/>
  </r>
  <r>
    <s v="TXN-100284"/>
    <x v="284"/>
    <x v="3"/>
    <x v="0"/>
    <n v="4"/>
    <n v="144.13999999999999"/>
    <n v="21"/>
    <n v="576.55999999999995"/>
  </r>
  <r>
    <s v="TXN-100285"/>
    <x v="285"/>
    <x v="0"/>
    <x v="0"/>
    <n v="7"/>
    <n v="324.18"/>
    <n v="15.6"/>
    <n v="2269.2600000000002"/>
  </r>
  <r>
    <s v="TXN-100286"/>
    <x v="286"/>
    <x v="2"/>
    <x v="1"/>
    <n v="2"/>
    <n v="89.07"/>
    <n v="16"/>
    <n v="178.14"/>
  </r>
  <r>
    <s v="TXN-100287"/>
    <x v="287"/>
    <x v="2"/>
    <x v="2"/>
    <n v="17"/>
    <n v="377"/>
    <n v="32.75"/>
    <n v="6409"/>
  </r>
  <r>
    <s v="TXN-100288"/>
    <x v="288"/>
    <x v="2"/>
    <x v="3"/>
    <n v="8"/>
    <n v="263.97000000000003"/>
    <n v="19.34"/>
    <n v="2111.7600000000002"/>
  </r>
  <r>
    <s v="TXN-100289"/>
    <x v="289"/>
    <x v="1"/>
    <x v="2"/>
    <n v="15"/>
    <n v="269.2"/>
    <n v="35.47"/>
    <n v="4038"/>
  </r>
  <r>
    <s v="TXN-100290"/>
    <x v="290"/>
    <x v="2"/>
    <x v="2"/>
    <n v="15"/>
    <n v="106.65"/>
    <n v="47.66"/>
    <n v="1599.75"/>
  </r>
  <r>
    <s v="TXN-100291"/>
    <x v="291"/>
    <x v="0"/>
    <x v="3"/>
    <n v="8"/>
    <n v="47.7"/>
    <n v="33.729999999999997"/>
    <n v="381.6"/>
  </r>
  <r>
    <s v="TXN-100292"/>
    <x v="292"/>
    <x v="2"/>
    <x v="1"/>
    <n v="16"/>
    <n v="217.42"/>
    <n v="38.82"/>
    <n v="3478.72"/>
  </r>
  <r>
    <s v="TXN-100293"/>
    <x v="293"/>
    <x v="3"/>
    <x v="0"/>
    <n v="19"/>
    <n v="282.98"/>
    <n v="38.82"/>
    <n v="5376.6200000000008"/>
  </r>
  <r>
    <s v="TXN-100294"/>
    <x v="294"/>
    <x v="3"/>
    <x v="1"/>
    <n v="11"/>
    <n v="56.8"/>
    <n v="19.88"/>
    <n v="624.79999999999995"/>
  </r>
  <r>
    <s v="TXN-100295"/>
    <x v="295"/>
    <x v="1"/>
    <x v="1"/>
    <n v="2"/>
    <n v="428.51"/>
    <n v="5.67"/>
    <n v="857.02"/>
  </r>
  <r>
    <s v="TXN-100296"/>
    <x v="296"/>
    <x v="3"/>
    <x v="2"/>
    <n v="17"/>
    <n v="441.49"/>
    <n v="7.48"/>
    <n v="7505.33"/>
  </r>
  <r>
    <s v="TXN-100297"/>
    <x v="297"/>
    <x v="0"/>
    <x v="0"/>
    <n v="16"/>
    <n v="252.5"/>
    <n v="17.690000000000001"/>
    <n v="4040"/>
  </r>
  <r>
    <s v="TXN-100298"/>
    <x v="298"/>
    <x v="2"/>
    <x v="0"/>
    <n v="15"/>
    <n v="428.31"/>
    <n v="36.03"/>
    <n v="6424.65"/>
  </r>
  <r>
    <s v="TXN-100299"/>
    <x v="299"/>
    <x v="1"/>
    <x v="1"/>
    <n v="13"/>
    <n v="93.47"/>
    <n v="45.8"/>
    <n v="1215.1099999999999"/>
  </r>
  <r>
    <s v="TXN-100300"/>
    <x v="300"/>
    <x v="2"/>
    <x v="3"/>
    <n v="15"/>
    <n v="26.55"/>
    <n v="48.15"/>
    <n v="398.25"/>
  </r>
  <r>
    <s v="TXN-100301"/>
    <x v="301"/>
    <x v="2"/>
    <x v="1"/>
    <n v="4"/>
    <n v="32.619999999999997"/>
    <n v="6.16"/>
    <n v="130.47999999999999"/>
  </r>
  <r>
    <s v="TXN-100302"/>
    <x v="302"/>
    <x v="0"/>
    <x v="3"/>
    <n v="16"/>
    <n v="270.77"/>
    <n v="49.55"/>
    <n v="4332.32"/>
  </r>
  <r>
    <s v="TXN-100303"/>
    <x v="303"/>
    <x v="3"/>
    <x v="0"/>
    <n v="12"/>
    <n v="42.28"/>
    <n v="19.510000000000002"/>
    <n v="507.36"/>
  </r>
  <r>
    <s v="TXN-100304"/>
    <x v="304"/>
    <x v="3"/>
    <x v="1"/>
    <n v="4"/>
    <n v="431.99"/>
    <n v="42.93"/>
    <n v="1727.96"/>
  </r>
  <r>
    <s v="TXN-100305"/>
    <x v="305"/>
    <x v="2"/>
    <x v="2"/>
    <n v="3"/>
    <n v="77.17"/>
    <n v="13.11"/>
    <n v="231.51"/>
  </r>
  <r>
    <s v="TXN-100306"/>
    <x v="306"/>
    <x v="1"/>
    <x v="1"/>
    <n v="17"/>
    <n v="147.9"/>
    <n v="7.83"/>
    <n v="2514.3000000000002"/>
  </r>
  <r>
    <s v="TXN-100307"/>
    <x v="307"/>
    <x v="3"/>
    <x v="0"/>
    <n v="18"/>
    <n v="372.88"/>
    <n v="22.03"/>
    <n v="6711.84"/>
  </r>
  <r>
    <s v="TXN-100308"/>
    <x v="308"/>
    <x v="1"/>
    <x v="2"/>
    <n v="18"/>
    <n v="110.54"/>
    <n v="43.65"/>
    <n v="1989.72"/>
  </r>
  <r>
    <s v="TXN-100309"/>
    <x v="309"/>
    <x v="3"/>
    <x v="2"/>
    <n v="17"/>
    <n v="121.07"/>
    <n v="14.94"/>
    <n v="2058.19"/>
  </r>
  <r>
    <s v="TXN-100310"/>
    <x v="310"/>
    <x v="1"/>
    <x v="3"/>
    <n v="12"/>
    <n v="294.58"/>
    <n v="11.93"/>
    <n v="3534.96"/>
  </r>
  <r>
    <s v="TXN-100311"/>
    <x v="311"/>
    <x v="0"/>
    <x v="2"/>
    <n v="4"/>
    <n v="135.46"/>
    <n v="45.94"/>
    <n v="541.84"/>
  </r>
  <r>
    <s v="TXN-100312"/>
    <x v="312"/>
    <x v="1"/>
    <x v="2"/>
    <n v="12"/>
    <n v="109.98"/>
    <n v="47.23"/>
    <n v="1319.76"/>
  </r>
  <r>
    <s v="TXN-100313"/>
    <x v="313"/>
    <x v="0"/>
    <x v="1"/>
    <n v="15"/>
    <n v="125.94"/>
    <n v="5.56"/>
    <n v="1889.1"/>
  </r>
  <r>
    <s v="TXN-100314"/>
    <x v="314"/>
    <x v="0"/>
    <x v="0"/>
    <n v="16"/>
    <n v="228.69"/>
    <n v="37.729999999999997"/>
    <n v="3659.04"/>
  </r>
  <r>
    <s v="TXN-100315"/>
    <x v="315"/>
    <x v="1"/>
    <x v="3"/>
    <n v="5"/>
    <n v="435.27"/>
    <n v="18.91"/>
    <n v="2176.35"/>
  </r>
  <r>
    <s v="TXN-100316"/>
    <x v="316"/>
    <x v="0"/>
    <x v="1"/>
    <n v="15"/>
    <n v="377.11"/>
    <n v="21.86"/>
    <n v="5656.6500000000005"/>
  </r>
  <r>
    <s v="TXN-100317"/>
    <x v="317"/>
    <x v="2"/>
    <x v="2"/>
    <n v="17"/>
    <n v="139.16"/>
    <n v="26.11"/>
    <n v="2365.7199999999998"/>
  </r>
  <r>
    <s v="TXN-100318"/>
    <x v="318"/>
    <x v="0"/>
    <x v="2"/>
    <n v="18"/>
    <n v="173.39"/>
    <n v="24.21"/>
    <n v="3121.0199999999995"/>
  </r>
  <r>
    <s v="TXN-100319"/>
    <x v="319"/>
    <x v="3"/>
    <x v="3"/>
    <n v="5"/>
    <n v="217.33"/>
    <n v="28.17"/>
    <n v="1086.6500000000001"/>
  </r>
  <r>
    <s v="TXN-100320"/>
    <x v="320"/>
    <x v="1"/>
    <x v="0"/>
    <n v="13"/>
    <n v="440.84"/>
    <n v="31.21"/>
    <n v="5730.92"/>
  </r>
  <r>
    <s v="TXN-100321"/>
    <x v="321"/>
    <x v="2"/>
    <x v="3"/>
    <n v="19"/>
    <n v="90.4"/>
    <n v="25.95"/>
    <n v="1717.6000000000001"/>
  </r>
  <r>
    <s v="TXN-100322"/>
    <x v="322"/>
    <x v="1"/>
    <x v="1"/>
    <n v="13"/>
    <n v="170.83"/>
    <n v="36.57"/>
    <n v="2220.79"/>
  </r>
  <r>
    <s v="TXN-100323"/>
    <x v="323"/>
    <x v="3"/>
    <x v="3"/>
    <n v="18"/>
    <n v="332.44"/>
    <n v="37.340000000000003"/>
    <n v="5983.92"/>
  </r>
  <r>
    <s v="TXN-100324"/>
    <x v="324"/>
    <x v="3"/>
    <x v="2"/>
    <n v="14"/>
    <n v="434.33"/>
    <n v="24.82"/>
    <n v="6080.62"/>
  </r>
  <r>
    <s v="TXN-100325"/>
    <x v="325"/>
    <x v="3"/>
    <x v="1"/>
    <n v="4"/>
    <n v="83.14"/>
    <n v="11.41"/>
    <n v="332.56"/>
  </r>
  <r>
    <s v="TXN-100326"/>
    <x v="326"/>
    <x v="0"/>
    <x v="2"/>
    <n v="4"/>
    <n v="114.3"/>
    <n v="33.83"/>
    <n v="457.2"/>
  </r>
  <r>
    <s v="TXN-100327"/>
    <x v="327"/>
    <x v="0"/>
    <x v="0"/>
    <n v="19"/>
    <n v="113.56"/>
    <n v="39.78"/>
    <n v="2157.64"/>
  </r>
  <r>
    <s v="TXN-100328"/>
    <x v="328"/>
    <x v="1"/>
    <x v="2"/>
    <n v="13"/>
    <n v="24.59"/>
    <n v="33.71"/>
    <n v="319.67"/>
  </r>
  <r>
    <s v="TXN-100329"/>
    <x v="329"/>
    <x v="1"/>
    <x v="2"/>
    <n v="12"/>
    <n v="277.99"/>
    <n v="31.46"/>
    <n v="3335.88"/>
  </r>
  <r>
    <s v="TXN-100330"/>
    <x v="330"/>
    <x v="2"/>
    <x v="3"/>
    <n v="7"/>
    <n v="306.92"/>
    <n v="15.32"/>
    <n v="2148.44"/>
  </r>
  <r>
    <s v="TXN-100331"/>
    <x v="331"/>
    <x v="2"/>
    <x v="2"/>
    <n v="12"/>
    <n v="277.3"/>
    <n v="34.03"/>
    <n v="3327.6000000000004"/>
  </r>
  <r>
    <s v="TXN-100332"/>
    <x v="332"/>
    <x v="1"/>
    <x v="1"/>
    <n v="4"/>
    <n v="46.49"/>
    <n v="20.07"/>
    <n v="185.96"/>
  </r>
  <r>
    <s v="TXN-100333"/>
    <x v="333"/>
    <x v="0"/>
    <x v="1"/>
    <n v="2"/>
    <n v="45.58"/>
    <n v="46.38"/>
    <n v="91.16"/>
  </r>
  <r>
    <s v="TXN-100334"/>
    <x v="334"/>
    <x v="3"/>
    <x v="0"/>
    <n v="2"/>
    <n v="106.91"/>
    <n v="34.42"/>
    <n v="213.82"/>
  </r>
  <r>
    <s v="TXN-100335"/>
    <x v="335"/>
    <x v="1"/>
    <x v="1"/>
    <n v="5"/>
    <n v="141.63"/>
    <n v="17.52"/>
    <n v="708.15"/>
  </r>
  <r>
    <s v="TXN-100336"/>
    <x v="336"/>
    <x v="2"/>
    <x v="3"/>
    <n v="10"/>
    <n v="357.25"/>
    <n v="26.28"/>
    <n v="3572.5"/>
  </r>
  <r>
    <s v="TXN-100337"/>
    <x v="337"/>
    <x v="0"/>
    <x v="0"/>
    <n v="10"/>
    <n v="84.76"/>
    <n v="43.1"/>
    <n v="847.6"/>
  </r>
  <r>
    <s v="TXN-100338"/>
    <x v="338"/>
    <x v="1"/>
    <x v="1"/>
    <n v="9"/>
    <n v="34.659999999999997"/>
    <n v="20.100000000000001"/>
    <n v="311.93999999999994"/>
  </r>
  <r>
    <s v="TXN-100339"/>
    <x v="339"/>
    <x v="1"/>
    <x v="3"/>
    <n v="13"/>
    <n v="186.69"/>
    <n v="28.64"/>
    <n v="2426.9699999999998"/>
  </r>
  <r>
    <s v="TXN-100340"/>
    <x v="340"/>
    <x v="0"/>
    <x v="1"/>
    <n v="7"/>
    <n v="196.42"/>
    <n v="35.590000000000003"/>
    <n v="1374.9399999999998"/>
  </r>
  <r>
    <s v="TXN-100341"/>
    <x v="341"/>
    <x v="1"/>
    <x v="1"/>
    <n v="5"/>
    <n v="211.42"/>
    <n v="38.950000000000003"/>
    <n v="1057.0999999999999"/>
  </r>
  <r>
    <s v="TXN-100342"/>
    <x v="342"/>
    <x v="0"/>
    <x v="2"/>
    <n v="10"/>
    <n v="374.79"/>
    <n v="12.83"/>
    <n v="3747.9"/>
  </r>
  <r>
    <s v="TXN-100343"/>
    <x v="343"/>
    <x v="3"/>
    <x v="1"/>
    <n v="10"/>
    <n v="58.08"/>
    <n v="30.43"/>
    <n v="580.79999999999995"/>
  </r>
  <r>
    <s v="TXN-100344"/>
    <x v="344"/>
    <x v="0"/>
    <x v="1"/>
    <n v="6"/>
    <n v="321.36"/>
    <n v="46.05"/>
    <n v="1928.16"/>
  </r>
  <r>
    <s v="TXN-100345"/>
    <x v="345"/>
    <x v="0"/>
    <x v="3"/>
    <n v="19"/>
    <n v="162.34"/>
    <n v="48.58"/>
    <n v="3084.46"/>
  </r>
  <r>
    <s v="TXN-100346"/>
    <x v="346"/>
    <x v="0"/>
    <x v="3"/>
    <n v="8"/>
    <n v="150.19"/>
    <n v="34.53"/>
    <n v="1201.52"/>
  </r>
  <r>
    <s v="TXN-100347"/>
    <x v="347"/>
    <x v="1"/>
    <x v="2"/>
    <n v="1"/>
    <n v="420.69"/>
    <n v="49.26"/>
    <n v="420.69"/>
  </r>
  <r>
    <s v="TXN-100348"/>
    <x v="348"/>
    <x v="1"/>
    <x v="1"/>
    <n v="17"/>
    <n v="123.46"/>
    <n v="30.68"/>
    <n v="2098.8199999999997"/>
  </r>
  <r>
    <s v="TXN-100349"/>
    <x v="349"/>
    <x v="0"/>
    <x v="2"/>
    <n v="7"/>
    <n v="294.68"/>
    <n v="24.92"/>
    <n v="2062.7600000000002"/>
  </r>
  <r>
    <s v="TXN-100350"/>
    <x v="350"/>
    <x v="1"/>
    <x v="1"/>
    <n v="14"/>
    <n v="135.04"/>
    <n v="29.82"/>
    <n v="1890.56"/>
  </r>
  <r>
    <s v="TXN-100351"/>
    <x v="351"/>
    <x v="2"/>
    <x v="0"/>
    <n v="17"/>
    <n v="235.85"/>
    <n v="10.210000000000001"/>
    <n v="4009.45"/>
  </r>
  <r>
    <s v="TXN-100352"/>
    <x v="352"/>
    <x v="2"/>
    <x v="0"/>
    <n v="9"/>
    <n v="357.14"/>
    <n v="23.08"/>
    <n v="3214.2599999999998"/>
  </r>
  <r>
    <s v="TXN-100353"/>
    <x v="353"/>
    <x v="1"/>
    <x v="2"/>
    <n v="17"/>
    <n v="398.61"/>
    <n v="25.63"/>
    <n v="6776.37"/>
  </r>
  <r>
    <s v="TXN-100354"/>
    <x v="354"/>
    <x v="1"/>
    <x v="2"/>
    <n v="5"/>
    <n v="379.91"/>
    <n v="43.19"/>
    <n v="1899.5500000000002"/>
  </r>
  <r>
    <s v="TXN-100355"/>
    <x v="355"/>
    <x v="0"/>
    <x v="2"/>
    <n v="8"/>
    <n v="268.45999999999998"/>
    <n v="39.14"/>
    <n v="2147.6799999999998"/>
  </r>
  <r>
    <s v="TXN-100356"/>
    <x v="356"/>
    <x v="3"/>
    <x v="3"/>
    <n v="6"/>
    <n v="123.61"/>
    <n v="32.06"/>
    <n v="741.66"/>
  </r>
  <r>
    <s v="TXN-100357"/>
    <x v="357"/>
    <x v="1"/>
    <x v="3"/>
    <n v="11"/>
    <n v="302.81"/>
    <n v="20.63"/>
    <n v="3330.91"/>
  </r>
  <r>
    <s v="TXN-100358"/>
    <x v="358"/>
    <x v="2"/>
    <x v="3"/>
    <n v="19"/>
    <n v="323.95"/>
    <n v="13.42"/>
    <n v="6155.05"/>
  </r>
  <r>
    <s v="TXN-100359"/>
    <x v="359"/>
    <x v="0"/>
    <x v="2"/>
    <n v="4"/>
    <n v="20.149999999999999"/>
    <n v="20.65"/>
    <n v="80.599999999999994"/>
  </r>
  <r>
    <s v="TXN-100360"/>
    <x v="360"/>
    <x v="1"/>
    <x v="1"/>
    <n v="18"/>
    <n v="206.34"/>
    <n v="35.590000000000003"/>
    <n v="3714.12"/>
  </r>
  <r>
    <s v="TXN-100361"/>
    <x v="361"/>
    <x v="2"/>
    <x v="0"/>
    <n v="1"/>
    <n v="381.9"/>
    <n v="16.84"/>
    <n v="381.9"/>
  </r>
  <r>
    <s v="TXN-100362"/>
    <x v="362"/>
    <x v="2"/>
    <x v="2"/>
    <n v="13"/>
    <n v="228.23"/>
    <n v="24.21"/>
    <n v="2966.99"/>
  </r>
  <r>
    <s v="TXN-100363"/>
    <x v="363"/>
    <x v="3"/>
    <x v="3"/>
    <n v="14"/>
    <n v="150.79"/>
    <n v="22.4"/>
    <n v="2111.06"/>
  </r>
  <r>
    <s v="TXN-100364"/>
    <x v="364"/>
    <x v="0"/>
    <x v="3"/>
    <n v="1"/>
    <n v="394.3"/>
    <n v="39.450000000000003"/>
    <n v="394.3"/>
  </r>
  <r>
    <s v="TXN-100365"/>
    <x v="365"/>
    <x v="0"/>
    <x v="2"/>
    <n v="11"/>
    <n v="83.23"/>
    <n v="44.77"/>
    <n v="915.53000000000009"/>
  </r>
  <r>
    <s v="TXN-100366"/>
    <x v="366"/>
    <x v="3"/>
    <x v="2"/>
    <n v="17"/>
    <n v="105.2"/>
    <n v="36.47"/>
    <n v="1788.4"/>
  </r>
  <r>
    <s v="TXN-100367"/>
    <x v="367"/>
    <x v="3"/>
    <x v="3"/>
    <n v="4"/>
    <n v="314.16000000000003"/>
    <n v="20.37"/>
    <n v="1256.6400000000001"/>
  </r>
  <r>
    <s v="TXN-100368"/>
    <x v="368"/>
    <x v="0"/>
    <x v="1"/>
    <n v="12"/>
    <n v="168.63"/>
    <n v="24.49"/>
    <n v="2023.56"/>
  </r>
  <r>
    <s v="TXN-100369"/>
    <x v="369"/>
    <x v="0"/>
    <x v="3"/>
    <n v="10"/>
    <n v="325.31"/>
    <n v="11.45"/>
    <n v="3253.1"/>
  </r>
  <r>
    <s v="TXN-100370"/>
    <x v="370"/>
    <x v="1"/>
    <x v="3"/>
    <n v="6"/>
    <n v="84.02"/>
    <n v="12.56"/>
    <n v="504.12"/>
  </r>
  <r>
    <s v="TXN-100371"/>
    <x v="371"/>
    <x v="1"/>
    <x v="2"/>
    <n v="1"/>
    <n v="125.11"/>
    <n v="12.39"/>
    <n v="125.11"/>
  </r>
  <r>
    <s v="TXN-100372"/>
    <x v="372"/>
    <x v="3"/>
    <x v="1"/>
    <n v="7"/>
    <n v="83.56"/>
    <n v="10.88"/>
    <n v="584.92000000000007"/>
  </r>
  <r>
    <s v="TXN-100373"/>
    <x v="373"/>
    <x v="1"/>
    <x v="3"/>
    <n v="16"/>
    <n v="429.54"/>
    <n v="13.08"/>
    <n v="6872.64"/>
  </r>
  <r>
    <s v="TXN-100374"/>
    <x v="374"/>
    <x v="2"/>
    <x v="3"/>
    <n v="14"/>
    <n v="191.65"/>
    <n v="14.12"/>
    <n v="2683.1"/>
  </r>
  <r>
    <s v="TXN-100375"/>
    <x v="375"/>
    <x v="1"/>
    <x v="0"/>
    <n v="6"/>
    <n v="162.02000000000001"/>
    <n v="10.029999999999999"/>
    <n v="972.12000000000012"/>
  </r>
  <r>
    <s v="TXN-100376"/>
    <x v="376"/>
    <x v="1"/>
    <x v="2"/>
    <n v="5"/>
    <n v="21.67"/>
    <n v="33.81"/>
    <n v="108.35000000000001"/>
  </r>
  <r>
    <s v="TXN-100377"/>
    <x v="377"/>
    <x v="2"/>
    <x v="0"/>
    <n v="18"/>
    <n v="82.16"/>
    <n v="49.57"/>
    <n v="1478.8799999999999"/>
  </r>
  <r>
    <s v="TXN-100378"/>
    <x v="378"/>
    <x v="3"/>
    <x v="0"/>
    <n v="15"/>
    <n v="198.48"/>
    <n v="44.56"/>
    <n v="2977.2"/>
  </r>
  <r>
    <s v="TXN-100379"/>
    <x v="379"/>
    <x v="2"/>
    <x v="3"/>
    <n v="6"/>
    <n v="45.26"/>
    <n v="7.05"/>
    <n v="271.56"/>
  </r>
  <r>
    <s v="TXN-100380"/>
    <x v="380"/>
    <x v="1"/>
    <x v="2"/>
    <n v="19"/>
    <n v="237.42"/>
    <n v="24.04"/>
    <n v="4510.9799999999996"/>
  </r>
  <r>
    <s v="TXN-100381"/>
    <x v="381"/>
    <x v="3"/>
    <x v="1"/>
    <n v="1"/>
    <n v="213.2"/>
    <n v="43.67"/>
    <n v="213.2"/>
  </r>
  <r>
    <s v="TXN-100382"/>
    <x v="382"/>
    <x v="1"/>
    <x v="3"/>
    <n v="1"/>
    <n v="348.83"/>
    <n v="11.06"/>
    <n v="348.83"/>
  </r>
  <r>
    <s v="TXN-100383"/>
    <x v="383"/>
    <x v="2"/>
    <x v="1"/>
    <n v="13"/>
    <n v="302.18"/>
    <n v="43.14"/>
    <n v="3928.34"/>
  </r>
  <r>
    <s v="TXN-100384"/>
    <x v="384"/>
    <x v="2"/>
    <x v="1"/>
    <n v="3"/>
    <n v="209.26"/>
    <n v="31.67"/>
    <n v="627.78"/>
  </r>
  <r>
    <s v="TXN-100385"/>
    <x v="385"/>
    <x v="1"/>
    <x v="2"/>
    <n v="10"/>
    <n v="113.12"/>
    <n v="46.91"/>
    <n v="1131.2"/>
  </r>
  <r>
    <s v="TXN-100386"/>
    <x v="386"/>
    <x v="0"/>
    <x v="0"/>
    <n v="3"/>
    <n v="331.32"/>
    <n v="44.42"/>
    <n v="993.96"/>
  </r>
  <r>
    <s v="TXN-100387"/>
    <x v="387"/>
    <x v="0"/>
    <x v="2"/>
    <n v="9"/>
    <n v="323.07"/>
    <n v="35.47"/>
    <n v="2907.63"/>
  </r>
  <r>
    <s v="TXN-100388"/>
    <x v="388"/>
    <x v="2"/>
    <x v="1"/>
    <n v="8"/>
    <n v="82.11"/>
    <n v="34.6"/>
    <n v="656.88"/>
  </r>
  <r>
    <s v="TXN-100389"/>
    <x v="389"/>
    <x v="2"/>
    <x v="3"/>
    <n v="3"/>
    <n v="412.96"/>
    <n v="14.59"/>
    <n v="1238.8799999999999"/>
  </r>
  <r>
    <s v="TXN-100390"/>
    <x v="390"/>
    <x v="0"/>
    <x v="1"/>
    <n v="13"/>
    <n v="43.48"/>
    <n v="10.25"/>
    <n v="565.24"/>
  </r>
  <r>
    <s v="TXN-100391"/>
    <x v="391"/>
    <x v="0"/>
    <x v="3"/>
    <n v="6"/>
    <n v="39.409999999999997"/>
    <n v="23.69"/>
    <n v="236.45999999999998"/>
  </r>
  <r>
    <s v="TXN-100392"/>
    <x v="392"/>
    <x v="1"/>
    <x v="3"/>
    <n v="13"/>
    <n v="96.9"/>
    <n v="13.4"/>
    <n v="1259.7"/>
  </r>
  <r>
    <s v="TXN-100393"/>
    <x v="393"/>
    <x v="1"/>
    <x v="2"/>
    <n v="12"/>
    <n v="410.66"/>
    <n v="9.61"/>
    <n v="4927.92"/>
  </r>
  <r>
    <s v="TXN-100394"/>
    <x v="394"/>
    <x v="0"/>
    <x v="1"/>
    <n v="13"/>
    <n v="241.44"/>
    <n v="18.600000000000001"/>
    <n v="3138.72"/>
  </r>
  <r>
    <s v="TXN-100395"/>
    <x v="395"/>
    <x v="1"/>
    <x v="0"/>
    <n v="2"/>
    <n v="357.86"/>
    <n v="43.72"/>
    <n v="715.72"/>
  </r>
  <r>
    <s v="TXN-100396"/>
    <x v="396"/>
    <x v="1"/>
    <x v="1"/>
    <n v="16"/>
    <n v="114.5"/>
    <n v="5.77"/>
    <n v="1832"/>
  </r>
  <r>
    <s v="TXN-100397"/>
    <x v="397"/>
    <x v="3"/>
    <x v="1"/>
    <n v="6"/>
    <n v="228.5"/>
    <n v="18.170000000000002"/>
    <n v="1371"/>
  </r>
  <r>
    <s v="TXN-100398"/>
    <x v="398"/>
    <x v="1"/>
    <x v="0"/>
    <n v="19"/>
    <n v="171.18"/>
    <n v="24.08"/>
    <n v="3252.42"/>
  </r>
  <r>
    <s v="TXN-100399"/>
    <x v="399"/>
    <x v="2"/>
    <x v="2"/>
    <n v="13"/>
    <n v="375.19"/>
    <n v="27.98"/>
    <n v="4877.47"/>
  </r>
  <r>
    <s v="TXN-100400"/>
    <x v="400"/>
    <x v="1"/>
    <x v="1"/>
    <n v="17"/>
    <n v="25.32"/>
    <n v="13.17"/>
    <n v="430.44"/>
  </r>
  <r>
    <s v="TXN-100401"/>
    <x v="401"/>
    <x v="1"/>
    <x v="1"/>
    <n v="9"/>
    <n v="121.45"/>
    <n v="48.39"/>
    <n v="1093.05"/>
  </r>
  <r>
    <s v="TXN-100402"/>
    <x v="402"/>
    <x v="0"/>
    <x v="3"/>
    <n v="17"/>
    <n v="81.790000000000006"/>
    <n v="31.05"/>
    <n v="1390.43"/>
  </r>
  <r>
    <s v="TXN-100403"/>
    <x v="403"/>
    <x v="2"/>
    <x v="1"/>
    <n v="2"/>
    <n v="388.82"/>
    <n v="28.49"/>
    <n v="777.64"/>
  </r>
  <r>
    <s v="TXN-100404"/>
    <x v="404"/>
    <x v="1"/>
    <x v="0"/>
    <n v="19"/>
    <n v="218.65"/>
    <n v="5.4"/>
    <n v="4154.3500000000004"/>
  </r>
  <r>
    <s v="TXN-100405"/>
    <x v="405"/>
    <x v="1"/>
    <x v="3"/>
    <n v="19"/>
    <n v="191.13"/>
    <n v="26.86"/>
    <n v="3631.47"/>
  </r>
  <r>
    <s v="TXN-100406"/>
    <x v="406"/>
    <x v="3"/>
    <x v="2"/>
    <n v="7"/>
    <n v="210.8"/>
    <n v="42.7"/>
    <n v="1475.6000000000001"/>
  </r>
  <r>
    <s v="TXN-100407"/>
    <x v="407"/>
    <x v="1"/>
    <x v="3"/>
    <n v="10"/>
    <n v="437.8"/>
    <n v="14.88"/>
    <n v="4378"/>
  </r>
  <r>
    <s v="TXN-100408"/>
    <x v="408"/>
    <x v="1"/>
    <x v="0"/>
    <n v="10"/>
    <n v="384.94"/>
    <n v="20.8"/>
    <n v="3849.4"/>
  </r>
  <r>
    <s v="TXN-100409"/>
    <x v="409"/>
    <x v="3"/>
    <x v="0"/>
    <n v="9"/>
    <n v="322.42"/>
    <n v="5.93"/>
    <n v="2901.78"/>
  </r>
  <r>
    <s v="TXN-100410"/>
    <x v="410"/>
    <x v="0"/>
    <x v="3"/>
    <n v="17"/>
    <n v="141.71"/>
    <n v="48.96"/>
    <n v="2409.0700000000002"/>
  </r>
  <r>
    <s v="TXN-100411"/>
    <x v="411"/>
    <x v="1"/>
    <x v="2"/>
    <n v="15"/>
    <n v="87.27"/>
    <n v="8"/>
    <n v="1309.05"/>
  </r>
  <r>
    <s v="TXN-100412"/>
    <x v="412"/>
    <x v="3"/>
    <x v="3"/>
    <n v="2"/>
    <n v="415.86"/>
    <n v="45.42"/>
    <n v="831.72"/>
  </r>
  <r>
    <s v="TXN-100413"/>
    <x v="413"/>
    <x v="2"/>
    <x v="2"/>
    <n v="4"/>
    <n v="199.33"/>
    <n v="19.079999999999998"/>
    <n v="797.32"/>
  </r>
  <r>
    <s v="TXN-100414"/>
    <x v="414"/>
    <x v="0"/>
    <x v="3"/>
    <n v="19"/>
    <n v="136.62"/>
    <n v="31.44"/>
    <n v="2595.7800000000002"/>
  </r>
  <r>
    <s v="TXN-100415"/>
    <x v="415"/>
    <x v="2"/>
    <x v="0"/>
    <n v="17"/>
    <n v="220.12"/>
    <n v="35.57"/>
    <n v="3742.04"/>
  </r>
  <r>
    <s v="TXN-100416"/>
    <x v="416"/>
    <x v="2"/>
    <x v="1"/>
    <n v="5"/>
    <n v="414.3"/>
    <n v="11.34"/>
    <n v="2071.5"/>
  </r>
  <r>
    <s v="TXN-100417"/>
    <x v="417"/>
    <x v="3"/>
    <x v="1"/>
    <n v="7"/>
    <n v="183.68"/>
    <n v="24.97"/>
    <n v="1285.76"/>
  </r>
  <r>
    <s v="TXN-100418"/>
    <x v="418"/>
    <x v="1"/>
    <x v="2"/>
    <n v="18"/>
    <n v="259.97000000000003"/>
    <n v="19.649999999999999"/>
    <n v="4679.4600000000009"/>
  </r>
  <r>
    <s v="TXN-100419"/>
    <x v="419"/>
    <x v="3"/>
    <x v="2"/>
    <n v="7"/>
    <n v="364.39"/>
    <n v="7.55"/>
    <n v="2550.73"/>
  </r>
  <r>
    <s v="TXN-100420"/>
    <x v="420"/>
    <x v="3"/>
    <x v="2"/>
    <n v="17"/>
    <n v="201.09"/>
    <n v="42.49"/>
    <n v="3418.53"/>
  </r>
  <r>
    <s v="TXN-100421"/>
    <x v="421"/>
    <x v="3"/>
    <x v="0"/>
    <n v="7"/>
    <n v="116.97"/>
    <n v="7.03"/>
    <n v="818.79"/>
  </r>
  <r>
    <s v="TXN-100422"/>
    <x v="422"/>
    <x v="3"/>
    <x v="3"/>
    <n v="4"/>
    <n v="447.62"/>
    <n v="34.4"/>
    <n v="1790.48"/>
  </r>
  <r>
    <s v="TXN-100423"/>
    <x v="423"/>
    <x v="0"/>
    <x v="0"/>
    <n v="8"/>
    <n v="431.13"/>
    <n v="19.13"/>
    <n v="3449.04"/>
  </r>
  <r>
    <s v="TXN-100424"/>
    <x v="424"/>
    <x v="1"/>
    <x v="1"/>
    <n v="13"/>
    <n v="381.99"/>
    <n v="13.65"/>
    <n v="4965.87"/>
  </r>
  <r>
    <s v="TXN-100425"/>
    <x v="425"/>
    <x v="2"/>
    <x v="2"/>
    <n v="4"/>
    <n v="314.60000000000002"/>
    <n v="35.020000000000003"/>
    <n v="1258.4000000000001"/>
  </r>
  <r>
    <s v="TXN-100426"/>
    <x v="426"/>
    <x v="2"/>
    <x v="3"/>
    <n v="6"/>
    <n v="143.62"/>
    <n v="30.85"/>
    <n v="861.72"/>
  </r>
  <r>
    <s v="TXN-100427"/>
    <x v="427"/>
    <x v="1"/>
    <x v="1"/>
    <n v="5"/>
    <n v="412.38"/>
    <n v="19.190000000000001"/>
    <n v="2061.9"/>
  </r>
  <r>
    <s v="TXN-100428"/>
    <x v="428"/>
    <x v="2"/>
    <x v="1"/>
    <n v="12"/>
    <n v="135.22999999999999"/>
    <n v="28.08"/>
    <n v="1622.7599999999998"/>
  </r>
  <r>
    <s v="TXN-100429"/>
    <x v="429"/>
    <x v="1"/>
    <x v="1"/>
    <n v="4"/>
    <n v="363.45"/>
    <n v="16.079999999999998"/>
    <n v="1453.8"/>
  </r>
  <r>
    <s v="TXN-100430"/>
    <x v="430"/>
    <x v="2"/>
    <x v="0"/>
    <n v="9"/>
    <n v="414.48"/>
    <n v="43.87"/>
    <n v="3730.32"/>
  </r>
  <r>
    <s v="TXN-100431"/>
    <x v="431"/>
    <x v="3"/>
    <x v="2"/>
    <n v="4"/>
    <n v="277.51"/>
    <n v="19.12"/>
    <n v="1110.04"/>
  </r>
  <r>
    <s v="TXN-100432"/>
    <x v="432"/>
    <x v="2"/>
    <x v="1"/>
    <n v="19"/>
    <n v="364.43"/>
    <n v="16.03"/>
    <n v="6924.17"/>
  </r>
  <r>
    <s v="TXN-100433"/>
    <x v="433"/>
    <x v="1"/>
    <x v="2"/>
    <n v="14"/>
    <n v="359.49"/>
    <n v="38.83"/>
    <n v="5032.8600000000006"/>
  </r>
  <r>
    <s v="TXN-100434"/>
    <x v="434"/>
    <x v="1"/>
    <x v="0"/>
    <n v="5"/>
    <n v="99.43"/>
    <n v="5.79"/>
    <n v="497.15000000000003"/>
  </r>
  <r>
    <s v="TXN-100435"/>
    <x v="435"/>
    <x v="1"/>
    <x v="1"/>
    <n v="18"/>
    <n v="305.70999999999998"/>
    <n v="17.059999999999999"/>
    <n v="5502.78"/>
  </r>
  <r>
    <s v="TXN-100436"/>
    <x v="436"/>
    <x v="1"/>
    <x v="0"/>
    <n v="10"/>
    <n v="56.11"/>
    <n v="21.89"/>
    <n v="561.1"/>
  </r>
  <r>
    <s v="TXN-100437"/>
    <x v="437"/>
    <x v="1"/>
    <x v="0"/>
    <n v="19"/>
    <n v="236.16"/>
    <n v="44.7"/>
    <n v="4487.04"/>
  </r>
  <r>
    <s v="TXN-100438"/>
    <x v="438"/>
    <x v="0"/>
    <x v="2"/>
    <n v="12"/>
    <n v="85.99"/>
    <n v="47.77"/>
    <n v="1031.8799999999999"/>
  </r>
  <r>
    <s v="TXN-100439"/>
    <x v="439"/>
    <x v="0"/>
    <x v="1"/>
    <n v="18"/>
    <n v="196.4"/>
    <n v="37.24"/>
    <n v="3535.2000000000003"/>
  </r>
  <r>
    <s v="TXN-100440"/>
    <x v="440"/>
    <x v="2"/>
    <x v="0"/>
    <n v="17"/>
    <n v="377.43"/>
    <n v="27.16"/>
    <n v="6416.31"/>
  </r>
  <r>
    <s v="TXN-100441"/>
    <x v="441"/>
    <x v="1"/>
    <x v="1"/>
    <n v="11"/>
    <n v="444.42"/>
    <n v="33.83"/>
    <n v="4888.62"/>
  </r>
  <r>
    <s v="TXN-100442"/>
    <x v="442"/>
    <x v="2"/>
    <x v="2"/>
    <n v="3"/>
    <n v="153.65"/>
    <n v="23.63"/>
    <n v="460.95000000000005"/>
  </r>
  <r>
    <s v="TXN-100443"/>
    <x v="443"/>
    <x v="1"/>
    <x v="0"/>
    <n v="17"/>
    <n v="246.63"/>
    <n v="18.45"/>
    <n v="4192.71"/>
  </r>
  <r>
    <s v="TXN-100444"/>
    <x v="444"/>
    <x v="1"/>
    <x v="2"/>
    <n v="1"/>
    <n v="237.66"/>
    <n v="47.78"/>
    <n v="237.66"/>
  </r>
  <r>
    <s v="TXN-100445"/>
    <x v="445"/>
    <x v="0"/>
    <x v="1"/>
    <n v="15"/>
    <n v="430.19"/>
    <n v="10.19"/>
    <n v="6452.85"/>
  </r>
  <r>
    <s v="TXN-100446"/>
    <x v="446"/>
    <x v="0"/>
    <x v="1"/>
    <n v="9"/>
    <n v="223.44"/>
    <n v="20.59"/>
    <n v="2010.96"/>
  </r>
  <r>
    <s v="TXN-100447"/>
    <x v="447"/>
    <x v="3"/>
    <x v="2"/>
    <n v="15"/>
    <n v="319.26"/>
    <n v="45.46"/>
    <n v="4788.8999999999996"/>
  </r>
  <r>
    <s v="TXN-100448"/>
    <x v="448"/>
    <x v="0"/>
    <x v="3"/>
    <n v="3"/>
    <n v="416.02"/>
    <n v="37.54"/>
    <n v="1248.06"/>
  </r>
  <r>
    <s v="TXN-100449"/>
    <x v="449"/>
    <x v="3"/>
    <x v="0"/>
    <n v="19"/>
    <n v="177.73"/>
    <n v="6.31"/>
    <n v="3376.87"/>
  </r>
  <r>
    <s v="TXN-100450"/>
    <x v="450"/>
    <x v="3"/>
    <x v="1"/>
    <n v="13"/>
    <n v="407.47"/>
    <n v="6.04"/>
    <n v="5297.1100000000006"/>
  </r>
  <r>
    <s v="TXN-100451"/>
    <x v="451"/>
    <x v="3"/>
    <x v="1"/>
    <n v="12"/>
    <n v="414.13"/>
    <n v="28.24"/>
    <n v="4969.5599999999995"/>
  </r>
  <r>
    <s v="TXN-100452"/>
    <x v="452"/>
    <x v="3"/>
    <x v="0"/>
    <n v="1"/>
    <n v="419.87"/>
    <n v="26.79"/>
    <n v="419.87"/>
  </r>
  <r>
    <s v="TXN-100453"/>
    <x v="453"/>
    <x v="3"/>
    <x v="2"/>
    <n v="17"/>
    <n v="133.01"/>
    <n v="24.93"/>
    <n v="2261.17"/>
  </r>
  <r>
    <s v="TXN-100454"/>
    <x v="454"/>
    <x v="2"/>
    <x v="2"/>
    <n v="13"/>
    <n v="189.45"/>
    <n v="18.61"/>
    <n v="2462.85"/>
  </r>
  <r>
    <s v="TXN-100455"/>
    <x v="455"/>
    <x v="0"/>
    <x v="2"/>
    <n v="1"/>
    <n v="393.69"/>
    <n v="49.4"/>
    <n v="393.69"/>
  </r>
  <r>
    <s v="TXN-100456"/>
    <x v="456"/>
    <x v="3"/>
    <x v="3"/>
    <n v="10"/>
    <n v="171.56"/>
    <n v="17.239999999999998"/>
    <n v="1715.6"/>
  </r>
  <r>
    <s v="TXN-100457"/>
    <x v="457"/>
    <x v="1"/>
    <x v="3"/>
    <n v="15"/>
    <n v="276.31"/>
    <n v="27.05"/>
    <n v="4144.6499999999996"/>
  </r>
  <r>
    <s v="TXN-100458"/>
    <x v="458"/>
    <x v="0"/>
    <x v="1"/>
    <n v="7"/>
    <n v="66.790000000000006"/>
    <n v="23.22"/>
    <n v="467.53000000000003"/>
  </r>
  <r>
    <s v="TXN-100459"/>
    <x v="459"/>
    <x v="0"/>
    <x v="2"/>
    <n v="18"/>
    <n v="39.950000000000003"/>
    <n v="12.66"/>
    <n v="719.1"/>
  </r>
  <r>
    <s v="TXN-100460"/>
    <x v="460"/>
    <x v="3"/>
    <x v="0"/>
    <n v="16"/>
    <n v="194.51"/>
    <n v="14.12"/>
    <n v="3112.16"/>
  </r>
  <r>
    <s v="TXN-100461"/>
    <x v="461"/>
    <x v="2"/>
    <x v="1"/>
    <n v="14"/>
    <n v="267.04000000000002"/>
    <n v="46.32"/>
    <n v="3738.5600000000004"/>
  </r>
  <r>
    <s v="TXN-100462"/>
    <x v="462"/>
    <x v="3"/>
    <x v="0"/>
    <n v="18"/>
    <n v="186.13"/>
    <n v="43.62"/>
    <n v="3350.34"/>
  </r>
  <r>
    <s v="TXN-100463"/>
    <x v="463"/>
    <x v="2"/>
    <x v="1"/>
    <n v="7"/>
    <n v="266.52999999999997"/>
    <n v="13.96"/>
    <n v="1865.7099999999998"/>
  </r>
  <r>
    <s v="TXN-100464"/>
    <x v="464"/>
    <x v="1"/>
    <x v="3"/>
    <n v="17"/>
    <n v="239.3"/>
    <n v="44.4"/>
    <n v="4068.1000000000004"/>
  </r>
  <r>
    <s v="TXN-100465"/>
    <x v="465"/>
    <x v="0"/>
    <x v="1"/>
    <n v="18"/>
    <n v="313.44"/>
    <n v="14.41"/>
    <n v="5641.92"/>
  </r>
  <r>
    <s v="TXN-100466"/>
    <x v="466"/>
    <x v="1"/>
    <x v="3"/>
    <n v="12"/>
    <n v="297.72000000000003"/>
    <n v="33.19"/>
    <n v="3572.6400000000003"/>
  </r>
  <r>
    <s v="TXN-100467"/>
    <x v="467"/>
    <x v="2"/>
    <x v="1"/>
    <n v="8"/>
    <n v="199.83"/>
    <n v="8.66"/>
    <n v="1598.64"/>
  </r>
  <r>
    <s v="TXN-100468"/>
    <x v="468"/>
    <x v="2"/>
    <x v="2"/>
    <n v="2"/>
    <n v="200.16"/>
    <n v="44.62"/>
    <n v="400.32"/>
  </r>
  <r>
    <s v="TXN-100469"/>
    <x v="469"/>
    <x v="1"/>
    <x v="0"/>
    <n v="7"/>
    <n v="76.67"/>
    <n v="7.32"/>
    <n v="536.69000000000005"/>
  </r>
  <r>
    <s v="TXN-100470"/>
    <x v="470"/>
    <x v="2"/>
    <x v="2"/>
    <n v="4"/>
    <n v="238.5"/>
    <n v="29.97"/>
    <n v="954"/>
  </r>
  <r>
    <s v="TXN-100471"/>
    <x v="471"/>
    <x v="1"/>
    <x v="1"/>
    <n v="18"/>
    <n v="270.63"/>
    <n v="40.090000000000003"/>
    <n v="4871.34"/>
  </r>
  <r>
    <s v="TXN-100472"/>
    <x v="472"/>
    <x v="0"/>
    <x v="1"/>
    <n v="6"/>
    <n v="222.53"/>
    <n v="10.26"/>
    <n v="1335.18"/>
  </r>
  <r>
    <s v="TXN-100473"/>
    <x v="473"/>
    <x v="1"/>
    <x v="1"/>
    <n v="9"/>
    <n v="157.02000000000001"/>
    <n v="23.2"/>
    <n v="1413.18"/>
  </r>
  <r>
    <s v="TXN-100474"/>
    <x v="474"/>
    <x v="0"/>
    <x v="3"/>
    <n v="9"/>
    <n v="329.06"/>
    <n v="6.89"/>
    <n v="2961.54"/>
  </r>
  <r>
    <s v="TXN-100475"/>
    <x v="475"/>
    <x v="1"/>
    <x v="0"/>
    <n v="14"/>
    <n v="47.94"/>
    <n v="35.72"/>
    <n v="671.16"/>
  </r>
  <r>
    <s v="TXN-100476"/>
    <x v="476"/>
    <x v="2"/>
    <x v="0"/>
    <n v="8"/>
    <n v="412.82"/>
    <n v="18.84"/>
    <n v="3302.56"/>
  </r>
  <r>
    <s v="TXN-100477"/>
    <x v="477"/>
    <x v="1"/>
    <x v="1"/>
    <n v="19"/>
    <n v="24.47"/>
    <n v="30.17"/>
    <n v="464.92999999999995"/>
  </r>
  <r>
    <s v="TXN-100478"/>
    <x v="478"/>
    <x v="2"/>
    <x v="1"/>
    <n v="3"/>
    <n v="433.64"/>
    <n v="46.97"/>
    <n v="1300.92"/>
  </r>
  <r>
    <s v="TXN-100479"/>
    <x v="479"/>
    <x v="1"/>
    <x v="3"/>
    <n v="18"/>
    <n v="216.39"/>
    <n v="18.760000000000002"/>
    <n v="3895.0199999999995"/>
  </r>
  <r>
    <s v="TXN-100480"/>
    <x v="480"/>
    <x v="1"/>
    <x v="2"/>
    <n v="5"/>
    <n v="194.81"/>
    <n v="7.19"/>
    <n v="974.05"/>
  </r>
  <r>
    <s v="TXN-100481"/>
    <x v="481"/>
    <x v="3"/>
    <x v="2"/>
    <n v="14"/>
    <n v="126.92"/>
    <n v="35.4"/>
    <n v="1776.88"/>
  </r>
  <r>
    <s v="TXN-100482"/>
    <x v="482"/>
    <x v="2"/>
    <x v="0"/>
    <n v="4"/>
    <n v="19.88"/>
    <n v="40.409999999999997"/>
    <n v="79.52"/>
  </r>
  <r>
    <s v="TXN-100483"/>
    <x v="483"/>
    <x v="3"/>
    <x v="3"/>
    <n v="7"/>
    <n v="134.9"/>
    <n v="48.1"/>
    <n v="944.30000000000007"/>
  </r>
  <r>
    <s v="TXN-100484"/>
    <x v="484"/>
    <x v="2"/>
    <x v="1"/>
    <n v="12"/>
    <n v="63.03"/>
    <n v="12.1"/>
    <n v="756.36"/>
  </r>
  <r>
    <s v="TXN-100485"/>
    <x v="485"/>
    <x v="3"/>
    <x v="0"/>
    <n v="2"/>
    <n v="302.19"/>
    <n v="22.65"/>
    <n v="604.38"/>
  </r>
  <r>
    <s v="TXN-100486"/>
    <x v="486"/>
    <x v="0"/>
    <x v="3"/>
    <n v="11"/>
    <n v="154.13999999999999"/>
    <n v="42.99"/>
    <n v="1695.54"/>
  </r>
  <r>
    <s v="TXN-100487"/>
    <x v="487"/>
    <x v="1"/>
    <x v="2"/>
    <n v="14"/>
    <n v="348.84"/>
    <n v="41.31"/>
    <n v="4883.7599999999993"/>
  </r>
  <r>
    <s v="TXN-100488"/>
    <x v="488"/>
    <x v="2"/>
    <x v="3"/>
    <n v="16"/>
    <n v="105.41"/>
    <n v="33.119999999999997"/>
    <n v="1686.56"/>
  </r>
  <r>
    <s v="TXN-100489"/>
    <x v="489"/>
    <x v="2"/>
    <x v="2"/>
    <n v="6"/>
    <n v="406.65"/>
    <n v="17.12"/>
    <n v="2439.8999999999996"/>
  </r>
  <r>
    <s v="TXN-100490"/>
    <x v="490"/>
    <x v="1"/>
    <x v="3"/>
    <n v="4"/>
    <n v="242.74"/>
    <n v="17.78"/>
    <n v="970.96"/>
  </r>
  <r>
    <s v="TXN-100491"/>
    <x v="491"/>
    <x v="2"/>
    <x v="0"/>
    <n v="15"/>
    <n v="65.25"/>
    <n v="10.58"/>
    <n v="978.75"/>
  </r>
  <r>
    <s v="TXN-100492"/>
    <x v="492"/>
    <x v="2"/>
    <x v="2"/>
    <n v="1"/>
    <n v="189.67"/>
    <n v="46.48"/>
    <n v="189.67"/>
  </r>
  <r>
    <s v="TXN-100493"/>
    <x v="493"/>
    <x v="3"/>
    <x v="0"/>
    <n v="7"/>
    <n v="105.34"/>
    <n v="12.78"/>
    <n v="737.38"/>
  </r>
  <r>
    <s v="TXN-100494"/>
    <x v="494"/>
    <x v="2"/>
    <x v="0"/>
    <n v="12"/>
    <n v="102.26"/>
    <n v="30.78"/>
    <n v="1227.1200000000001"/>
  </r>
  <r>
    <s v="TXN-100495"/>
    <x v="495"/>
    <x v="0"/>
    <x v="2"/>
    <n v="10"/>
    <n v="235.52"/>
    <n v="31.3"/>
    <n v="2355.2000000000003"/>
  </r>
  <r>
    <s v="TXN-100496"/>
    <x v="496"/>
    <x v="0"/>
    <x v="2"/>
    <n v="5"/>
    <n v="307.44"/>
    <n v="21.63"/>
    <n v="1537.2"/>
  </r>
  <r>
    <s v="TXN-100497"/>
    <x v="497"/>
    <x v="1"/>
    <x v="1"/>
    <n v="12"/>
    <n v="411.6"/>
    <n v="20.86"/>
    <n v="4939.2000000000007"/>
  </r>
  <r>
    <s v="TXN-100498"/>
    <x v="498"/>
    <x v="2"/>
    <x v="1"/>
    <n v="18"/>
    <n v="233.69"/>
    <n v="35.090000000000003"/>
    <n v="4206.42"/>
  </r>
  <r>
    <s v="TXN-100499"/>
    <x v="499"/>
    <x v="1"/>
    <x v="1"/>
    <n v="10"/>
    <n v="435.16"/>
    <n v="22.47"/>
    <n v="4351.6000000000004"/>
  </r>
  <r>
    <s v="TXN-100500"/>
    <x v="500"/>
    <x v="0"/>
    <x v="0"/>
    <n v="6"/>
    <n v="424.64"/>
    <n v="16.48"/>
    <n v="2547.84"/>
  </r>
  <r>
    <s v="TXN-100501"/>
    <x v="501"/>
    <x v="2"/>
    <x v="0"/>
    <n v="12"/>
    <n v="391.37"/>
    <n v="22.96"/>
    <n v="4696.4400000000005"/>
  </r>
  <r>
    <s v="TXN-100502"/>
    <x v="502"/>
    <x v="2"/>
    <x v="1"/>
    <n v="7"/>
    <n v="232.74"/>
    <n v="41.34"/>
    <n v="1629.18"/>
  </r>
  <r>
    <s v="TXN-100503"/>
    <x v="503"/>
    <x v="1"/>
    <x v="0"/>
    <n v="18"/>
    <n v="76.72"/>
    <n v="48.49"/>
    <n v="1380.96"/>
  </r>
  <r>
    <s v="TXN-100504"/>
    <x v="504"/>
    <x v="0"/>
    <x v="0"/>
    <n v="2"/>
    <n v="110.18"/>
    <n v="33.619999999999997"/>
    <n v="220.36"/>
  </r>
  <r>
    <s v="TXN-100505"/>
    <x v="505"/>
    <x v="2"/>
    <x v="2"/>
    <n v="10"/>
    <n v="296.91000000000003"/>
    <n v="40.19"/>
    <n v="2969.1000000000004"/>
  </r>
  <r>
    <s v="TXN-100506"/>
    <x v="506"/>
    <x v="1"/>
    <x v="2"/>
    <n v="15"/>
    <n v="198.75"/>
    <n v="28.98"/>
    <n v="2981.25"/>
  </r>
  <r>
    <s v="TXN-100507"/>
    <x v="507"/>
    <x v="0"/>
    <x v="0"/>
    <n v="12"/>
    <n v="79.290000000000006"/>
    <n v="33.119999999999997"/>
    <n v="951.48"/>
  </r>
  <r>
    <s v="TXN-100508"/>
    <x v="508"/>
    <x v="1"/>
    <x v="1"/>
    <n v="17"/>
    <n v="223.62"/>
    <n v="49.46"/>
    <n v="3801.54"/>
  </r>
  <r>
    <s v="TXN-100509"/>
    <x v="509"/>
    <x v="3"/>
    <x v="3"/>
    <n v="4"/>
    <n v="23.07"/>
    <n v="24.73"/>
    <n v="92.28"/>
  </r>
  <r>
    <s v="TXN-100510"/>
    <x v="510"/>
    <x v="2"/>
    <x v="1"/>
    <n v="7"/>
    <n v="334.38"/>
    <n v="7.98"/>
    <n v="2340.66"/>
  </r>
  <r>
    <s v="TXN-100511"/>
    <x v="511"/>
    <x v="3"/>
    <x v="3"/>
    <n v="9"/>
    <n v="47.47"/>
    <n v="48.07"/>
    <n v="427.23"/>
  </r>
  <r>
    <s v="TXN-100512"/>
    <x v="512"/>
    <x v="0"/>
    <x v="1"/>
    <n v="19"/>
    <n v="288.85000000000002"/>
    <n v="40.69"/>
    <n v="5488.1500000000005"/>
  </r>
  <r>
    <s v="TXN-100513"/>
    <x v="513"/>
    <x v="3"/>
    <x v="2"/>
    <n v="7"/>
    <n v="360.06"/>
    <n v="22.92"/>
    <n v="2520.42"/>
  </r>
  <r>
    <s v="TXN-100514"/>
    <x v="514"/>
    <x v="3"/>
    <x v="0"/>
    <n v="2"/>
    <n v="73.13"/>
    <n v="49.21"/>
    <n v="146.26"/>
  </r>
  <r>
    <s v="TXN-100515"/>
    <x v="515"/>
    <x v="0"/>
    <x v="0"/>
    <n v="6"/>
    <n v="240.85"/>
    <n v="20.55"/>
    <n v="1445.1"/>
  </r>
  <r>
    <s v="TXN-100516"/>
    <x v="516"/>
    <x v="1"/>
    <x v="2"/>
    <n v="18"/>
    <n v="354"/>
    <n v="21.75"/>
    <n v="6372"/>
  </r>
  <r>
    <s v="TXN-100517"/>
    <x v="517"/>
    <x v="3"/>
    <x v="3"/>
    <n v="6"/>
    <n v="128.75"/>
    <n v="32.44"/>
    <n v="772.5"/>
  </r>
  <r>
    <s v="TXN-100518"/>
    <x v="518"/>
    <x v="1"/>
    <x v="3"/>
    <n v="13"/>
    <n v="86.29"/>
    <n v="17.350000000000001"/>
    <n v="1121.77"/>
  </r>
  <r>
    <s v="TXN-100519"/>
    <x v="519"/>
    <x v="3"/>
    <x v="3"/>
    <n v="19"/>
    <n v="161.85"/>
    <n v="36.44"/>
    <n v="3075.15"/>
  </r>
  <r>
    <s v="TXN-100520"/>
    <x v="520"/>
    <x v="1"/>
    <x v="2"/>
    <n v="2"/>
    <n v="256.52"/>
    <n v="11.88"/>
    <n v="513.04"/>
  </r>
  <r>
    <s v="TXN-100521"/>
    <x v="521"/>
    <x v="0"/>
    <x v="3"/>
    <n v="12"/>
    <n v="265.45999999999998"/>
    <n v="9.86"/>
    <n v="3185.5199999999995"/>
  </r>
  <r>
    <s v="TXN-100522"/>
    <x v="522"/>
    <x v="3"/>
    <x v="2"/>
    <n v="15"/>
    <n v="72.37"/>
    <n v="29.07"/>
    <n v="1085.5500000000002"/>
  </r>
  <r>
    <s v="TXN-100523"/>
    <x v="523"/>
    <x v="0"/>
    <x v="1"/>
    <n v="14"/>
    <n v="214.31"/>
    <n v="30"/>
    <n v="3000.34"/>
  </r>
  <r>
    <s v="TXN-100524"/>
    <x v="524"/>
    <x v="3"/>
    <x v="1"/>
    <n v="6"/>
    <n v="132.07"/>
    <n v="9.8000000000000007"/>
    <n v="792.42"/>
  </r>
  <r>
    <s v="TXN-100525"/>
    <x v="525"/>
    <x v="0"/>
    <x v="2"/>
    <n v="18"/>
    <n v="381.36"/>
    <n v="48.39"/>
    <n v="6864.4800000000005"/>
  </r>
  <r>
    <s v="TXN-100526"/>
    <x v="526"/>
    <x v="0"/>
    <x v="0"/>
    <n v="5"/>
    <n v="151.75"/>
    <n v="30.8"/>
    <n v="758.75"/>
  </r>
  <r>
    <s v="TXN-100527"/>
    <x v="527"/>
    <x v="3"/>
    <x v="1"/>
    <n v="18"/>
    <n v="379.92"/>
    <n v="11.8"/>
    <n v="6838.56"/>
  </r>
  <r>
    <s v="TXN-100528"/>
    <x v="528"/>
    <x v="3"/>
    <x v="3"/>
    <n v="3"/>
    <n v="201.71"/>
    <n v="19.010000000000002"/>
    <n v="605.13"/>
  </r>
  <r>
    <s v="TXN-100529"/>
    <x v="529"/>
    <x v="3"/>
    <x v="2"/>
    <n v="3"/>
    <n v="331.2"/>
    <n v="41.01"/>
    <n v="993.59999999999991"/>
  </r>
  <r>
    <s v="TXN-100530"/>
    <x v="530"/>
    <x v="2"/>
    <x v="3"/>
    <n v="10"/>
    <n v="237.12"/>
    <n v="28.55"/>
    <n v="2371.1999999999998"/>
  </r>
  <r>
    <s v="TXN-100531"/>
    <x v="531"/>
    <x v="1"/>
    <x v="3"/>
    <n v="19"/>
    <n v="285.74"/>
    <n v="13.47"/>
    <n v="5429.06"/>
  </r>
  <r>
    <s v="TXN-100532"/>
    <x v="532"/>
    <x v="2"/>
    <x v="0"/>
    <n v="3"/>
    <n v="187.28"/>
    <n v="9.6300000000000008"/>
    <n v="561.84"/>
  </r>
  <r>
    <s v="TXN-100533"/>
    <x v="533"/>
    <x v="2"/>
    <x v="3"/>
    <n v="12"/>
    <n v="349.29"/>
    <n v="24.38"/>
    <n v="4191.4800000000005"/>
  </r>
  <r>
    <s v="TXN-100534"/>
    <x v="534"/>
    <x v="0"/>
    <x v="0"/>
    <n v="16"/>
    <n v="200.24"/>
    <n v="20.18"/>
    <n v="3203.84"/>
  </r>
  <r>
    <s v="TXN-100535"/>
    <x v="535"/>
    <x v="3"/>
    <x v="1"/>
    <n v="17"/>
    <n v="214.27"/>
    <n v="34.520000000000003"/>
    <n v="3642.59"/>
  </r>
  <r>
    <s v="TXN-100536"/>
    <x v="536"/>
    <x v="1"/>
    <x v="2"/>
    <n v="7"/>
    <n v="240.43"/>
    <n v="46.64"/>
    <n v="1683.01"/>
  </r>
  <r>
    <s v="TXN-100537"/>
    <x v="537"/>
    <x v="0"/>
    <x v="3"/>
    <n v="13"/>
    <n v="376.93"/>
    <n v="16.149999999999999"/>
    <n v="4900.09"/>
  </r>
  <r>
    <s v="TXN-100538"/>
    <x v="538"/>
    <x v="2"/>
    <x v="2"/>
    <n v="2"/>
    <n v="302"/>
    <n v="43.49"/>
    <n v="604"/>
  </r>
  <r>
    <s v="TXN-100539"/>
    <x v="539"/>
    <x v="3"/>
    <x v="3"/>
    <n v="4"/>
    <n v="167.21"/>
    <n v="46.42"/>
    <n v="668.84"/>
  </r>
  <r>
    <s v="TXN-100540"/>
    <x v="540"/>
    <x v="0"/>
    <x v="2"/>
    <n v="10"/>
    <n v="306.75"/>
    <n v="45.59"/>
    <n v="3067.5"/>
  </r>
  <r>
    <s v="TXN-100541"/>
    <x v="541"/>
    <x v="3"/>
    <x v="3"/>
    <n v="7"/>
    <n v="294.63"/>
    <n v="47.84"/>
    <n v="2062.41"/>
  </r>
  <r>
    <s v="TXN-100542"/>
    <x v="542"/>
    <x v="0"/>
    <x v="3"/>
    <n v="17"/>
    <n v="420.03"/>
    <n v="42.89"/>
    <n v="7140.5099999999993"/>
  </r>
  <r>
    <s v="TXN-100543"/>
    <x v="543"/>
    <x v="3"/>
    <x v="3"/>
    <n v="6"/>
    <n v="381.1"/>
    <n v="31.71"/>
    <n v="2286.6000000000004"/>
  </r>
  <r>
    <s v="TXN-100544"/>
    <x v="544"/>
    <x v="2"/>
    <x v="3"/>
    <n v="19"/>
    <n v="296.82"/>
    <n v="23.44"/>
    <n v="5639.58"/>
  </r>
  <r>
    <s v="TXN-100545"/>
    <x v="545"/>
    <x v="1"/>
    <x v="3"/>
    <n v="5"/>
    <n v="163.88"/>
    <n v="27.13"/>
    <n v="819.4"/>
  </r>
  <r>
    <s v="TXN-100546"/>
    <x v="546"/>
    <x v="2"/>
    <x v="3"/>
    <n v="10"/>
    <n v="354.23"/>
    <n v="44.27"/>
    <n v="3542.3"/>
  </r>
  <r>
    <s v="TXN-100547"/>
    <x v="547"/>
    <x v="1"/>
    <x v="3"/>
    <n v="9"/>
    <n v="265.43"/>
    <n v="18.559999999999999"/>
    <n v="2388.87"/>
  </r>
  <r>
    <s v="TXN-100548"/>
    <x v="548"/>
    <x v="3"/>
    <x v="3"/>
    <n v="13"/>
    <n v="443.6"/>
    <n v="12.17"/>
    <n v="5766.8"/>
  </r>
  <r>
    <s v="TXN-100549"/>
    <x v="549"/>
    <x v="0"/>
    <x v="3"/>
    <n v="19"/>
    <n v="123.04"/>
    <n v="11.34"/>
    <n v="2337.7600000000002"/>
  </r>
  <r>
    <s v="TXN-100550"/>
    <x v="550"/>
    <x v="2"/>
    <x v="2"/>
    <n v="6"/>
    <n v="50.11"/>
    <n v="42.21"/>
    <n v="300.65999999999997"/>
  </r>
  <r>
    <s v="TXN-100551"/>
    <x v="551"/>
    <x v="1"/>
    <x v="0"/>
    <n v="4"/>
    <n v="45.87"/>
    <n v="39.270000000000003"/>
    <n v="183.48"/>
  </r>
  <r>
    <s v="TXN-100552"/>
    <x v="552"/>
    <x v="2"/>
    <x v="3"/>
    <n v="3"/>
    <n v="293.58999999999997"/>
    <n v="27.39"/>
    <n v="880.77"/>
  </r>
  <r>
    <s v="TXN-100553"/>
    <x v="553"/>
    <x v="1"/>
    <x v="0"/>
    <n v="3"/>
    <n v="423.61"/>
    <n v="17.37"/>
    <n v="1270.83"/>
  </r>
  <r>
    <s v="TXN-100554"/>
    <x v="554"/>
    <x v="2"/>
    <x v="3"/>
    <n v="4"/>
    <n v="16.34"/>
    <n v="35.49"/>
    <n v="65.36"/>
  </r>
  <r>
    <s v="TXN-100555"/>
    <x v="555"/>
    <x v="1"/>
    <x v="3"/>
    <n v="5"/>
    <n v="330.85"/>
    <n v="6.73"/>
    <n v="1654.25"/>
  </r>
  <r>
    <s v="TXN-100556"/>
    <x v="556"/>
    <x v="1"/>
    <x v="2"/>
    <n v="8"/>
    <n v="300.99"/>
    <n v="30.57"/>
    <n v="2407.92"/>
  </r>
  <r>
    <s v="TXN-100557"/>
    <x v="557"/>
    <x v="3"/>
    <x v="1"/>
    <n v="16"/>
    <n v="333.69"/>
    <n v="22.93"/>
    <n v="5339.04"/>
  </r>
  <r>
    <s v="TXN-100558"/>
    <x v="558"/>
    <x v="1"/>
    <x v="1"/>
    <n v="3"/>
    <n v="169.92"/>
    <n v="49"/>
    <n v="509.76"/>
  </r>
  <r>
    <s v="TXN-100559"/>
    <x v="559"/>
    <x v="3"/>
    <x v="2"/>
    <n v="12"/>
    <n v="372.01"/>
    <n v="27.84"/>
    <n v="4464.12"/>
  </r>
  <r>
    <s v="TXN-100560"/>
    <x v="560"/>
    <x v="1"/>
    <x v="0"/>
    <n v="8"/>
    <n v="34.93"/>
    <n v="29.85"/>
    <n v="279.44"/>
  </r>
  <r>
    <s v="TXN-100561"/>
    <x v="561"/>
    <x v="0"/>
    <x v="1"/>
    <n v="13"/>
    <n v="343.73"/>
    <n v="37.06"/>
    <n v="4468.49"/>
  </r>
  <r>
    <s v="TXN-100562"/>
    <x v="562"/>
    <x v="0"/>
    <x v="2"/>
    <n v="4"/>
    <n v="131.54"/>
    <n v="26.8"/>
    <n v="526.16"/>
  </r>
  <r>
    <s v="TXN-100563"/>
    <x v="563"/>
    <x v="0"/>
    <x v="2"/>
    <n v="14"/>
    <n v="222.69"/>
    <n v="15.11"/>
    <n v="3117.66"/>
  </r>
  <r>
    <s v="TXN-100564"/>
    <x v="564"/>
    <x v="1"/>
    <x v="1"/>
    <n v="14"/>
    <n v="372.94"/>
    <n v="29.18"/>
    <n v="5221.16"/>
  </r>
  <r>
    <s v="TXN-100565"/>
    <x v="565"/>
    <x v="3"/>
    <x v="0"/>
    <n v="13"/>
    <n v="133.41"/>
    <n v="47.49"/>
    <n v="1734.33"/>
  </r>
  <r>
    <s v="TXN-100566"/>
    <x v="566"/>
    <x v="3"/>
    <x v="2"/>
    <n v="6"/>
    <n v="95.97"/>
    <n v="23.45"/>
    <n v="575.81999999999994"/>
  </r>
  <r>
    <s v="TXN-100567"/>
    <x v="567"/>
    <x v="1"/>
    <x v="3"/>
    <n v="17"/>
    <n v="311.52999999999997"/>
    <n v="35.58"/>
    <n v="5296.0099999999993"/>
  </r>
  <r>
    <s v="TXN-100568"/>
    <x v="568"/>
    <x v="0"/>
    <x v="0"/>
    <n v="4"/>
    <n v="247.26"/>
    <n v="49.01"/>
    <n v="989.04"/>
  </r>
  <r>
    <s v="TXN-100569"/>
    <x v="569"/>
    <x v="0"/>
    <x v="0"/>
    <n v="8"/>
    <n v="239.01"/>
    <n v="42.35"/>
    <n v="1912.08"/>
  </r>
  <r>
    <s v="TXN-100570"/>
    <x v="570"/>
    <x v="3"/>
    <x v="1"/>
    <n v="17"/>
    <n v="127.07"/>
    <n v="34.659999999999997"/>
    <n v="2160.19"/>
  </r>
  <r>
    <s v="TXN-100571"/>
    <x v="571"/>
    <x v="0"/>
    <x v="1"/>
    <n v="3"/>
    <n v="30.66"/>
    <n v="38.119999999999997"/>
    <n v="91.98"/>
  </r>
  <r>
    <s v="TXN-100572"/>
    <x v="572"/>
    <x v="2"/>
    <x v="3"/>
    <n v="17"/>
    <n v="193.76"/>
    <n v="47.14"/>
    <n v="3293.92"/>
  </r>
  <r>
    <s v="TXN-100573"/>
    <x v="573"/>
    <x v="3"/>
    <x v="2"/>
    <n v="9"/>
    <n v="61.8"/>
    <n v="48.19"/>
    <n v="556.19999999999993"/>
  </r>
  <r>
    <s v="TXN-100574"/>
    <x v="574"/>
    <x v="0"/>
    <x v="1"/>
    <n v="2"/>
    <n v="409.15"/>
    <n v="48.6"/>
    <n v="818.3"/>
  </r>
  <r>
    <s v="TXN-100575"/>
    <x v="575"/>
    <x v="3"/>
    <x v="1"/>
    <n v="13"/>
    <n v="33.42"/>
    <n v="33.15"/>
    <n v="434.46000000000004"/>
  </r>
  <r>
    <s v="TXN-100576"/>
    <x v="576"/>
    <x v="2"/>
    <x v="0"/>
    <n v="2"/>
    <n v="203.05"/>
    <n v="22.31"/>
    <n v="406.1"/>
  </r>
  <r>
    <s v="TXN-100577"/>
    <x v="577"/>
    <x v="3"/>
    <x v="1"/>
    <n v="11"/>
    <n v="38.200000000000003"/>
    <n v="10.99"/>
    <n v="420.20000000000005"/>
  </r>
  <r>
    <s v="TXN-100578"/>
    <x v="578"/>
    <x v="3"/>
    <x v="1"/>
    <n v="15"/>
    <n v="57.01"/>
    <n v="22.35"/>
    <n v="855.15"/>
  </r>
  <r>
    <s v="TXN-100579"/>
    <x v="579"/>
    <x v="3"/>
    <x v="1"/>
    <n v="11"/>
    <n v="301.77999999999997"/>
    <n v="47.43"/>
    <n v="3319.58"/>
  </r>
  <r>
    <s v="TXN-100580"/>
    <x v="580"/>
    <x v="3"/>
    <x v="1"/>
    <n v="3"/>
    <n v="296.67"/>
    <n v="45.04"/>
    <n v="890.01"/>
  </r>
  <r>
    <s v="TXN-100581"/>
    <x v="581"/>
    <x v="2"/>
    <x v="0"/>
    <n v="3"/>
    <n v="29.86"/>
    <n v="28.56"/>
    <n v="89.58"/>
  </r>
  <r>
    <s v="TXN-100582"/>
    <x v="582"/>
    <x v="1"/>
    <x v="3"/>
    <n v="12"/>
    <n v="15.99"/>
    <n v="29.17"/>
    <n v="191.88"/>
  </r>
  <r>
    <s v="TXN-100583"/>
    <x v="583"/>
    <x v="3"/>
    <x v="3"/>
    <n v="5"/>
    <n v="49.75"/>
    <n v="18.899999999999999"/>
    <n v="248.75"/>
  </r>
  <r>
    <s v="TXN-100584"/>
    <x v="584"/>
    <x v="3"/>
    <x v="2"/>
    <n v="7"/>
    <n v="347.02"/>
    <n v="25.45"/>
    <n v="2429.14"/>
  </r>
  <r>
    <s v="TXN-100585"/>
    <x v="585"/>
    <x v="0"/>
    <x v="1"/>
    <n v="7"/>
    <n v="269.5"/>
    <n v="37.15"/>
    <n v="1886.5"/>
  </r>
  <r>
    <s v="TXN-100586"/>
    <x v="586"/>
    <x v="3"/>
    <x v="0"/>
    <n v="13"/>
    <n v="32.06"/>
    <n v="23.11"/>
    <n v="416.78000000000003"/>
  </r>
  <r>
    <s v="TXN-100587"/>
    <x v="587"/>
    <x v="0"/>
    <x v="2"/>
    <n v="9"/>
    <n v="227.58"/>
    <n v="13.46"/>
    <n v="2048.2200000000003"/>
  </r>
  <r>
    <s v="TXN-100588"/>
    <x v="588"/>
    <x v="1"/>
    <x v="2"/>
    <n v="13"/>
    <n v="324.88"/>
    <n v="29.34"/>
    <n v="4223.4399999999996"/>
  </r>
  <r>
    <s v="TXN-100589"/>
    <x v="589"/>
    <x v="2"/>
    <x v="3"/>
    <n v="12"/>
    <n v="393.06"/>
    <n v="15.14"/>
    <n v="4716.72"/>
  </r>
  <r>
    <s v="TXN-100590"/>
    <x v="590"/>
    <x v="2"/>
    <x v="0"/>
    <n v="13"/>
    <n v="421.34"/>
    <n v="48.84"/>
    <n v="5477.42"/>
  </r>
  <r>
    <s v="TXN-100591"/>
    <x v="591"/>
    <x v="1"/>
    <x v="0"/>
    <n v="10"/>
    <n v="157.77000000000001"/>
    <n v="22.57"/>
    <n v="1577.7"/>
  </r>
  <r>
    <s v="TXN-100592"/>
    <x v="592"/>
    <x v="2"/>
    <x v="0"/>
    <n v="1"/>
    <n v="74.52"/>
    <n v="45.93"/>
    <n v="74.52"/>
  </r>
  <r>
    <s v="TXN-100593"/>
    <x v="593"/>
    <x v="1"/>
    <x v="3"/>
    <n v="8"/>
    <n v="118.44"/>
    <n v="15.15"/>
    <n v="947.52"/>
  </r>
  <r>
    <s v="TXN-100594"/>
    <x v="594"/>
    <x v="1"/>
    <x v="3"/>
    <n v="16"/>
    <n v="352.75"/>
    <n v="13.51"/>
    <n v="5644"/>
  </r>
  <r>
    <s v="TXN-100595"/>
    <x v="595"/>
    <x v="1"/>
    <x v="3"/>
    <n v="13"/>
    <n v="437.61"/>
    <n v="32.76"/>
    <n v="5688.93"/>
  </r>
  <r>
    <s v="TXN-100596"/>
    <x v="596"/>
    <x v="2"/>
    <x v="3"/>
    <n v="3"/>
    <n v="218.15"/>
    <n v="40.07"/>
    <n v="654.45000000000005"/>
  </r>
  <r>
    <s v="TXN-100597"/>
    <x v="597"/>
    <x v="0"/>
    <x v="3"/>
    <n v="3"/>
    <n v="148.18"/>
    <n v="30.5"/>
    <n v="444.54"/>
  </r>
  <r>
    <s v="TXN-100598"/>
    <x v="598"/>
    <x v="1"/>
    <x v="1"/>
    <n v="5"/>
    <n v="201.98"/>
    <n v="15.34"/>
    <n v="1009.9"/>
  </r>
  <r>
    <s v="TXN-100599"/>
    <x v="599"/>
    <x v="3"/>
    <x v="1"/>
    <n v="11"/>
    <n v="147.94"/>
    <n v="6.71"/>
    <n v="1627.34"/>
  </r>
  <r>
    <s v="TXN-100600"/>
    <x v="600"/>
    <x v="2"/>
    <x v="0"/>
    <n v="7"/>
    <n v="126.94"/>
    <n v="32.82"/>
    <n v="888.57999999999993"/>
  </r>
  <r>
    <s v="TXN-100601"/>
    <x v="601"/>
    <x v="1"/>
    <x v="2"/>
    <n v="10"/>
    <n v="273.48"/>
    <n v="10.9"/>
    <n v="2734.8"/>
  </r>
  <r>
    <s v="TXN-100602"/>
    <x v="602"/>
    <x v="1"/>
    <x v="0"/>
    <n v="10"/>
    <n v="22.34"/>
    <n v="20.440000000000001"/>
    <n v="223.4"/>
  </r>
  <r>
    <s v="TXN-100603"/>
    <x v="603"/>
    <x v="3"/>
    <x v="2"/>
    <n v="2"/>
    <n v="128.28"/>
    <n v="35.409999999999997"/>
    <n v="256.56"/>
  </r>
  <r>
    <s v="TXN-100604"/>
    <x v="604"/>
    <x v="0"/>
    <x v="3"/>
    <n v="3"/>
    <n v="302.87"/>
    <n v="9.41"/>
    <n v="908.61"/>
  </r>
  <r>
    <s v="TXN-100605"/>
    <x v="605"/>
    <x v="0"/>
    <x v="2"/>
    <n v="8"/>
    <n v="29.43"/>
    <n v="10.73"/>
    <n v="235.44"/>
  </r>
  <r>
    <s v="TXN-100606"/>
    <x v="606"/>
    <x v="0"/>
    <x v="0"/>
    <n v="11"/>
    <n v="51.65"/>
    <n v="7.77"/>
    <n v="568.15"/>
  </r>
  <r>
    <s v="TXN-100607"/>
    <x v="607"/>
    <x v="1"/>
    <x v="0"/>
    <n v="13"/>
    <n v="142.97999999999999"/>
    <n v="49.82"/>
    <n v="1858.7399999999998"/>
  </r>
  <r>
    <s v="TXN-100608"/>
    <x v="608"/>
    <x v="1"/>
    <x v="2"/>
    <n v="7"/>
    <n v="396.91"/>
    <n v="22.42"/>
    <n v="2778.3700000000003"/>
  </r>
  <r>
    <s v="TXN-100609"/>
    <x v="609"/>
    <x v="1"/>
    <x v="1"/>
    <n v="13"/>
    <n v="347.84"/>
    <n v="45.76"/>
    <n v="4521.92"/>
  </r>
  <r>
    <s v="TXN-100610"/>
    <x v="610"/>
    <x v="2"/>
    <x v="3"/>
    <n v="2"/>
    <n v="25.13"/>
    <n v="18.21"/>
    <n v="50.26"/>
  </r>
  <r>
    <s v="TXN-100611"/>
    <x v="611"/>
    <x v="3"/>
    <x v="3"/>
    <n v="6"/>
    <n v="233.49"/>
    <n v="38.89"/>
    <n v="1400.94"/>
  </r>
  <r>
    <s v="TXN-100612"/>
    <x v="612"/>
    <x v="1"/>
    <x v="0"/>
    <n v="9"/>
    <n v="134.85"/>
    <n v="14.86"/>
    <n v="1213.6499999999999"/>
  </r>
  <r>
    <s v="TXN-100613"/>
    <x v="613"/>
    <x v="3"/>
    <x v="1"/>
    <n v="2"/>
    <n v="297.33999999999997"/>
    <n v="27.42"/>
    <n v="594.67999999999995"/>
  </r>
  <r>
    <s v="TXN-100614"/>
    <x v="614"/>
    <x v="3"/>
    <x v="2"/>
    <n v="18"/>
    <n v="329.02"/>
    <n v="42.11"/>
    <n v="5922.36"/>
  </r>
  <r>
    <s v="TXN-100615"/>
    <x v="615"/>
    <x v="0"/>
    <x v="3"/>
    <n v="16"/>
    <n v="390.41"/>
    <n v="41.74"/>
    <n v="6246.56"/>
  </r>
  <r>
    <s v="TXN-100616"/>
    <x v="616"/>
    <x v="2"/>
    <x v="1"/>
    <n v="12"/>
    <n v="222.07"/>
    <n v="40.74"/>
    <n v="2664.84"/>
  </r>
  <r>
    <s v="TXN-100617"/>
    <x v="617"/>
    <x v="1"/>
    <x v="3"/>
    <n v="7"/>
    <n v="447.59"/>
    <n v="42.07"/>
    <n v="3133.1299999999997"/>
  </r>
  <r>
    <s v="TXN-100618"/>
    <x v="618"/>
    <x v="0"/>
    <x v="1"/>
    <n v="7"/>
    <n v="441.3"/>
    <n v="14.52"/>
    <n v="3089.1"/>
  </r>
  <r>
    <s v="TXN-100619"/>
    <x v="619"/>
    <x v="0"/>
    <x v="1"/>
    <n v="17"/>
    <n v="398.8"/>
    <n v="26.7"/>
    <n v="6779.6"/>
  </r>
  <r>
    <s v="TXN-100620"/>
    <x v="620"/>
    <x v="1"/>
    <x v="0"/>
    <n v="13"/>
    <n v="265.27999999999997"/>
    <n v="26.82"/>
    <n v="3448.6399999999994"/>
  </r>
  <r>
    <s v="TXN-100621"/>
    <x v="621"/>
    <x v="3"/>
    <x v="3"/>
    <n v="11"/>
    <n v="188.43"/>
    <n v="45.07"/>
    <n v="2072.73"/>
  </r>
  <r>
    <s v="TXN-100622"/>
    <x v="622"/>
    <x v="0"/>
    <x v="2"/>
    <n v="6"/>
    <n v="173.83"/>
    <n v="18.36"/>
    <n v="1042.98"/>
  </r>
  <r>
    <s v="TXN-100623"/>
    <x v="623"/>
    <x v="3"/>
    <x v="0"/>
    <n v="14"/>
    <n v="20.77"/>
    <n v="46.92"/>
    <n v="290.77999999999997"/>
  </r>
  <r>
    <s v="TXN-100624"/>
    <x v="624"/>
    <x v="2"/>
    <x v="0"/>
    <n v="6"/>
    <n v="123.77"/>
    <n v="25.29"/>
    <n v="742.62"/>
  </r>
  <r>
    <s v="TXN-100625"/>
    <x v="625"/>
    <x v="3"/>
    <x v="2"/>
    <n v="6"/>
    <n v="327.82"/>
    <n v="35.14"/>
    <n v="1966.92"/>
  </r>
  <r>
    <s v="TXN-100626"/>
    <x v="626"/>
    <x v="2"/>
    <x v="0"/>
    <n v="2"/>
    <n v="277.77999999999997"/>
    <n v="17.100000000000001"/>
    <n v="555.55999999999995"/>
  </r>
  <r>
    <s v="TXN-100627"/>
    <x v="627"/>
    <x v="3"/>
    <x v="1"/>
    <n v="15"/>
    <n v="413.69"/>
    <n v="23.46"/>
    <n v="6205.35"/>
  </r>
  <r>
    <s v="TXN-100628"/>
    <x v="628"/>
    <x v="0"/>
    <x v="1"/>
    <n v="17"/>
    <n v="37.229999999999997"/>
    <n v="36.94"/>
    <n v="632.91"/>
  </r>
  <r>
    <s v="TXN-100629"/>
    <x v="629"/>
    <x v="0"/>
    <x v="3"/>
    <n v="8"/>
    <n v="82.97"/>
    <n v="28.07"/>
    <n v="663.76"/>
  </r>
  <r>
    <s v="TXN-100630"/>
    <x v="630"/>
    <x v="2"/>
    <x v="3"/>
    <n v="5"/>
    <n v="358.43"/>
    <n v="46.88"/>
    <n v="1792.15"/>
  </r>
  <r>
    <s v="TXN-100631"/>
    <x v="631"/>
    <x v="1"/>
    <x v="2"/>
    <n v="17"/>
    <n v="171.27"/>
    <n v="38.17"/>
    <n v="2911.59"/>
  </r>
  <r>
    <s v="TXN-100632"/>
    <x v="632"/>
    <x v="2"/>
    <x v="3"/>
    <n v="1"/>
    <n v="66.92"/>
    <n v="30.4"/>
    <n v="66.92"/>
  </r>
  <r>
    <s v="TXN-100633"/>
    <x v="633"/>
    <x v="2"/>
    <x v="1"/>
    <n v="18"/>
    <n v="448.46"/>
    <n v="44.9"/>
    <n v="8072.28"/>
  </r>
  <r>
    <s v="TXN-100634"/>
    <x v="634"/>
    <x v="3"/>
    <x v="2"/>
    <n v="15"/>
    <n v="357.56"/>
    <n v="34.950000000000003"/>
    <n v="5363.4"/>
  </r>
  <r>
    <s v="TXN-100635"/>
    <x v="635"/>
    <x v="3"/>
    <x v="2"/>
    <n v="5"/>
    <n v="193.1"/>
    <n v="34.130000000000003"/>
    <n v="965.5"/>
  </r>
  <r>
    <s v="TXN-100636"/>
    <x v="636"/>
    <x v="2"/>
    <x v="3"/>
    <n v="7"/>
    <n v="373.24"/>
    <n v="16.09"/>
    <n v="2612.6800000000003"/>
  </r>
  <r>
    <s v="TXN-100637"/>
    <x v="637"/>
    <x v="0"/>
    <x v="1"/>
    <n v="18"/>
    <n v="311.22000000000003"/>
    <n v="22.77"/>
    <n v="5601.9600000000009"/>
  </r>
  <r>
    <s v="TXN-100638"/>
    <x v="638"/>
    <x v="3"/>
    <x v="2"/>
    <n v="6"/>
    <n v="358.74"/>
    <n v="35.75"/>
    <n v="2152.44"/>
  </r>
  <r>
    <s v="TXN-100639"/>
    <x v="639"/>
    <x v="1"/>
    <x v="1"/>
    <n v="5"/>
    <n v="369.71"/>
    <n v="45.13"/>
    <n v="1848.55"/>
  </r>
  <r>
    <s v="TXN-100640"/>
    <x v="640"/>
    <x v="3"/>
    <x v="1"/>
    <n v="19"/>
    <n v="52.31"/>
    <n v="19.2"/>
    <n v="993.8900000000001"/>
  </r>
  <r>
    <s v="TXN-100641"/>
    <x v="641"/>
    <x v="3"/>
    <x v="1"/>
    <n v="10"/>
    <n v="286.18"/>
    <n v="14.7"/>
    <n v="2861.8"/>
  </r>
  <r>
    <s v="TXN-100642"/>
    <x v="642"/>
    <x v="1"/>
    <x v="3"/>
    <n v="15"/>
    <n v="18.45"/>
    <n v="31.72"/>
    <n v="276.75"/>
  </r>
  <r>
    <s v="TXN-100643"/>
    <x v="643"/>
    <x v="2"/>
    <x v="0"/>
    <n v="10"/>
    <n v="34.380000000000003"/>
    <n v="8.02"/>
    <n v="343.8"/>
  </r>
  <r>
    <s v="TXN-100644"/>
    <x v="644"/>
    <x v="1"/>
    <x v="0"/>
    <n v="16"/>
    <n v="408.28"/>
    <n v="37.15"/>
    <n v="6532.48"/>
  </r>
  <r>
    <s v="TXN-100645"/>
    <x v="645"/>
    <x v="2"/>
    <x v="2"/>
    <n v="12"/>
    <n v="244.73"/>
    <n v="36.64"/>
    <n v="2936.7599999999998"/>
  </r>
  <r>
    <s v="TXN-100646"/>
    <x v="646"/>
    <x v="2"/>
    <x v="1"/>
    <n v="18"/>
    <n v="335.25"/>
    <n v="20.97"/>
    <n v="6034.5"/>
  </r>
  <r>
    <s v="TXN-100647"/>
    <x v="647"/>
    <x v="2"/>
    <x v="3"/>
    <n v="1"/>
    <n v="379.83"/>
    <n v="45.17"/>
    <n v="379.83"/>
  </r>
  <r>
    <s v="TXN-100648"/>
    <x v="648"/>
    <x v="1"/>
    <x v="1"/>
    <n v="16"/>
    <n v="428.1"/>
    <n v="27.6"/>
    <n v="6849.6"/>
  </r>
  <r>
    <s v="TXN-100649"/>
    <x v="649"/>
    <x v="2"/>
    <x v="1"/>
    <n v="6"/>
    <n v="393.23"/>
    <n v="34.06"/>
    <n v="2359.38"/>
  </r>
  <r>
    <s v="TXN-100650"/>
    <x v="650"/>
    <x v="0"/>
    <x v="3"/>
    <n v="3"/>
    <n v="225.5"/>
    <n v="14.43"/>
    <n v="676.5"/>
  </r>
  <r>
    <s v="TXN-100651"/>
    <x v="651"/>
    <x v="1"/>
    <x v="0"/>
    <n v="2"/>
    <n v="161.47999999999999"/>
    <n v="23.78"/>
    <n v="322.95999999999998"/>
  </r>
  <r>
    <s v="TXN-100652"/>
    <x v="652"/>
    <x v="0"/>
    <x v="1"/>
    <n v="2"/>
    <n v="82.63"/>
    <n v="43.81"/>
    <n v="165.26"/>
  </r>
  <r>
    <s v="TXN-100653"/>
    <x v="653"/>
    <x v="2"/>
    <x v="1"/>
    <n v="13"/>
    <n v="189.44"/>
    <n v="14.58"/>
    <n v="2462.7199999999998"/>
  </r>
  <r>
    <s v="TXN-100654"/>
    <x v="654"/>
    <x v="3"/>
    <x v="0"/>
    <n v="9"/>
    <n v="174.74"/>
    <n v="22.58"/>
    <n v="1572.66"/>
  </r>
  <r>
    <s v="TXN-100655"/>
    <x v="655"/>
    <x v="2"/>
    <x v="3"/>
    <n v="16"/>
    <n v="258.64"/>
    <n v="19.309999999999999"/>
    <n v="4138.24"/>
  </r>
  <r>
    <s v="TXN-100656"/>
    <x v="656"/>
    <x v="0"/>
    <x v="2"/>
    <n v="5"/>
    <n v="304.66000000000003"/>
    <n v="11.8"/>
    <n v="1523.3000000000002"/>
  </r>
  <r>
    <s v="TXN-100657"/>
    <x v="657"/>
    <x v="0"/>
    <x v="0"/>
    <n v="7"/>
    <n v="440.58"/>
    <n v="18.04"/>
    <n v="3084.06"/>
  </r>
  <r>
    <s v="TXN-100658"/>
    <x v="658"/>
    <x v="1"/>
    <x v="2"/>
    <n v="13"/>
    <n v="331.98"/>
    <n v="15.47"/>
    <n v="4315.74"/>
  </r>
  <r>
    <s v="TXN-100659"/>
    <x v="659"/>
    <x v="3"/>
    <x v="2"/>
    <n v="13"/>
    <n v="295.20999999999998"/>
    <n v="46.56"/>
    <n v="3837.7299999999996"/>
  </r>
  <r>
    <s v="TXN-100660"/>
    <x v="660"/>
    <x v="1"/>
    <x v="0"/>
    <n v="7"/>
    <n v="161.1"/>
    <n v="38.35"/>
    <n v="1127.7"/>
  </r>
  <r>
    <s v="TXN-100661"/>
    <x v="661"/>
    <x v="0"/>
    <x v="1"/>
    <n v="10"/>
    <n v="30.49"/>
    <n v="19.22"/>
    <n v="304.89999999999998"/>
  </r>
  <r>
    <s v="TXN-100662"/>
    <x v="662"/>
    <x v="2"/>
    <x v="2"/>
    <n v="15"/>
    <n v="140.69"/>
    <n v="39.35"/>
    <n v="2110.35"/>
  </r>
  <r>
    <s v="TXN-100663"/>
    <x v="663"/>
    <x v="3"/>
    <x v="2"/>
    <n v="6"/>
    <n v="349.39"/>
    <n v="6"/>
    <n v="2096.34"/>
  </r>
  <r>
    <s v="TXN-100664"/>
    <x v="664"/>
    <x v="2"/>
    <x v="3"/>
    <n v="5"/>
    <n v="104.69"/>
    <n v="28.69"/>
    <n v="523.45000000000005"/>
  </r>
  <r>
    <s v="TXN-100665"/>
    <x v="665"/>
    <x v="2"/>
    <x v="1"/>
    <n v="2"/>
    <n v="324.95"/>
    <n v="16.27"/>
    <n v="649.9"/>
  </r>
  <r>
    <s v="TXN-100666"/>
    <x v="666"/>
    <x v="3"/>
    <x v="2"/>
    <n v="15"/>
    <n v="267.41000000000003"/>
    <n v="10.14"/>
    <n v="4011.1500000000005"/>
  </r>
  <r>
    <s v="TXN-100667"/>
    <x v="667"/>
    <x v="1"/>
    <x v="3"/>
    <n v="16"/>
    <n v="90.17"/>
    <n v="44.77"/>
    <n v="1442.72"/>
  </r>
  <r>
    <s v="TXN-100668"/>
    <x v="668"/>
    <x v="2"/>
    <x v="1"/>
    <n v="19"/>
    <n v="129.18"/>
    <n v="13.97"/>
    <n v="2454.42"/>
  </r>
  <r>
    <s v="TXN-100669"/>
    <x v="669"/>
    <x v="0"/>
    <x v="0"/>
    <n v="9"/>
    <n v="231.14"/>
    <n v="42.01"/>
    <n v="2080.2599999999998"/>
  </r>
  <r>
    <s v="TXN-100670"/>
    <x v="670"/>
    <x v="2"/>
    <x v="0"/>
    <n v="19"/>
    <n v="197.28"/>
    <n v="23.6"/>
    <n v="3748.32"/>
  </r>
  <r>
    <s v="TXN-100671"/>
    <x v="671"/>
    <x v="3"/>
    <x v="3"/>
    <n v="7"/>
    <n v="353.79"/>
    <n v="5.64"/>
    <n v="2476.5300000000002"/>
  </r>
  <r>
    <s v="TXN-100672"/>
    <x v="672"/>
    <x v="3"/>
    <x v="0"/>
    <n v="4"/>
    <n v="334.6"/>
    <n v="37.96"/>
    <n v="1338.4"/>
  </r>
  <r>
    <s v="TXN-100673"/>
    <x v="673"/>
    <x v="3"/>
    <x v="2"/>
    <n v="3"/>
    <n v="265.14999999999998"/>
    <n v="31.84"/>
    <n v="795.44999999999993"/>
  </r>
  <r>
    <s v="TXN-100674"/>
    <x v="674"/>
    <x v="1"/>
    <x v="1"/>
    <n v="11"/>
    <n v="372.78"/>
    <n v="20.49"/>
    <n v="4100.58"/>
  </r>
  <r>
    <s v="TXN-100675"/>
    <x v="675"/>
    <x v="2"/>
    <x v="2"/>
    <n v="1"/>
    <n v="259.98"/>
    <n v="17.670000000000002"/>
    <n v="259.98"/>
  </r>
  <r>
    <s v="TXN-100676"/>
    <x v="676"/>
    <x v="1"/>
    <x v="2"/>
    <n v="6"/>
    <n v="434.53"/>
    <n v="8.32"/>
    <n v="2607.1799999999998"/>
  </r>
  <r>
    <s v="TXN-100677"/>
    <x v="677"/>
    <x v="1"/>
    <x v="0"/>
    <n v="11"/>
    <n v="109.88"/>
    <n v="47.36"/>
    <n v="1208.6799999999998"/>
  </r>
  <r>
    <s v="TXN-100678"/>
    <x v="678"/>
    <x v="3"/>
    <x v="2"/>
    <n v="1"/>
    <n v="325.79000000000002"/>
    <n v="27.23"/>
    <n v="325.79000000000002"/>
  </r>
  <r>
    <s v="TXN-100679"/>
    <x v="679"/>
    <x v="3"/>
    <x v="0"/>
    <n v="7"/>
    <n v="176.24"/>
    <n v="8.85"/>
    <n v="1233.68"/>
  </r>
  <r>
    <s v="TXN-100680"/>
    <x v="680"/>
    <x v="1"/>
    <x v="1"/>
    <n v="6"/>
    <n v="136.71"/>
    <n v="44.09"/>
    <n v="820.26"/>
  </r>
  <r>
    <s v="TXN-100681"/>
    <x v="681"/>
    <x v="2"/>
    <x v="1"/>
    <n v="14"/>
    <n v="93.88"/>
    <n v="17.55"/>
    <n v="1314.32"/>
  </r>
  <r>
    <s v="TXN-100682"/>
    <x v="682"/>
    <x v="0"/>
    <x v="2"/>
    <n v="2"/>
    <n v="255.56"/>
    <n v="14.16"/>
    <n v="511.12"/>
  </r>
  <r>
    <s v="TXN-100683"/>
    <x v="683"/>
    <x v="1"/>
    <x v="3"/>
    <n v="4"/>
    <n v="109.12"/>
    <n v="17.64"/>
    <n v="436.48"/>
  </r>
  <r>
    <s v="TXN-100684"/>
    <x v="684"/>
    <x v="2"/>
    <x v="0"/>
    <n v="11"/>
    <n v="102.55"/>
    <n v="30.41"/>
    <n v="1128.05"/>
  </r>
  <r>
    <s v="TXN-100685"/>
    <x v="685"/>
    <x v="3"/>
    <x v="0"/>
    <n v="15"/>
    <n v="445.89"/>
    <n v="8.33"/>
    <n v="6688.3499999999995"/>
  </r>
  <r>
    <s v="TXN-100686"/>
    <x v="686"/>
    <x v="3"/>
    <x v="2"/>
    <n v="18"/>
    <n v="363.86"/>
    <n v="26.68"/>
    <n v="6549.4800000000005"/>
  </r>
  <r>
    <s v="TXN-100687"/>
    <x v="687"/>
    <x v="2"/>
    <x v="0"/>
    <n v="1"/>
    <n v="340.63"/>
    <n v="45.31"/>
    <n v="340.63"/>
  </r>
  <r>
    <s v="TXN-100688"/>
    <x v="688"/>
    <x v="0"/>
    <x v="0"/>
    <n v="3"/>
    <n v="360.52"/>
    <n v="13.47"/>
    <n v="1081.56"/>
  </r>
  <r>
    <s v="TXN-100689"/>
    <x v="689"/>
    <x v="3"/>
    <x v="3"/>
    <n v="3"/>
    <n v="436.5"/>
    <n v="19.899999999999999"/>
    <n v="1309.5"/>
  </r>
  <r>
    <s v="TXN-100690"/>
    <x v="690"/>
    <x v="3"/>
    <x v="3"/>
    <n v="7"/>
    <n v="264.58999999999997"/>
    <n v="22.83"/>
    <n v="1852.1299999999999"/>
  </r>
  <r>
    <s v="TXN-100691"/>
    <x v="691"/>
    <x v="3"/>
    <x v="2"/>
    <n v="1"/>
    <n v="111.2"/>
    <n v="31.38"/>
    <n v="111.2"/>
  </r>
  <r>
    <s v="TXN-100692"/>
    <x v="692"/>
    <x v="2"/>
    <x v="3"/>
    <n v="11"/>
    <n v="390.13"/>
    <n v="46.37"/>
    <n v="4291.43"/>
  </r>
  <r>
    <s v="TXN-100693"/>
    <x v="693"/>
    <x v="1"/>
    <x v="2"/>
    <n v="6"/>
    <n v="338.22"/>
    <n v="22.75"/>
    <n v="2029.3200000000002"/>
  </r>
  <r>
    <s v="TXN-100694"/>
    <x v="694"/>
    <x v="3"/>
    <x v="1"/>
    <n v="3"/>
    <n v="195.52"/>
    <n v="8.11"/>
    <n v="586.56000000000006"/>
  </r>
  <r>
    <s v="TXN-100695"/>
    <x v="695"/>
    <x v="1"/>
    <x v="2"/>
    <n v="19"/>
    <n v="221.27"/>
    <n v="20.66"/>
    <n v="4204.13"/>
  </r>
  <r>
    <s v="TXN-100696"/>
    <x v="696"/>
    <x v="0"/>
    <x v="1"/>
    <n v="2"/>
    <n v="194.19"/>
    <n v="13.55"/>
    <n v="388.38"/>
  </r>
  <r>
    <s v="TXN-100697"/>
    <x v="697"/>
    <x v="3"/>
    <x v="2"/>
    <n v="18"/>
    <n v="419.56"/>
    <n v="34.33"/>
    <n v="7552.08"/>
  </r>
  <r>
    <s v="TXN-100698"/>
    <x v="698"/>
    <x v="3"/>
    <x v="0"/>
    <n v="12"/>
    <n v="164.76"/>
    <n v="6.32"/>
    <n v="1977.12"/>
  </r>
  <r>
    <s v="TXN-100699"/>
    <x v="699"/>
    <x v="0"/>
    <x v="3"/>
    <n v="10"/>
    <n v="434.13"/>
    <n v="18.14"/>
    <n v="4341.3"/>
  </r>
  <r>
    <s v="TXN-100700"/>
    <x v="700"/>
    <x v="3"/>
    <x v="1"/>
    <n v="5"/>
    <n v="411.01"/>
    <n v="29.53"/>
    <n v="2055.0500000000002"/>
  </r>
  <r>
    <s v="TXN-100701"/>
    <x v="701"/>
    <x v="1"/>
    <x v="2"/>
    <n v="9"/>
    <n v="289.45999999999998"/>
    <n v="17.48"/>
    <n v="2605.14"/>
  </r>
  <r>
    <s v="TXN-100702"/>
    <x v="702"/>
    <x v="2"/>
    <x v="3"/>
    <n v="2"/>
    <n v="267.43"/>
    <n v="29.79"/>
    <n v="534.86"/>
  </r>
  <r>
    <s v="TXN-100703"/>
    <x v="703"/>
    <x v="1"/>
    <x v="2"/>
    <n v="2"/>
    <n v="176.3"/>
    <n v="10.16"/>
    <n v="352.6"/>
  </r>
  <r>
    <s v="TXN-100704"/>
    <x v="704"/>
    <x v="2"/>
    <x v="3"/>
    <n v="6"/>
    <n v="23.47"/>
    <n v="47.43"/>
    <n v="140.82"/>
  </r>
  <r>
    <s v="TXN-100705"/>
    <x v="705"/>
    <x v="2"/>
    <x v="3"/>
    <n v="10"/>
    <n v="70.95"/>
    <n v="18.09"/>
    <n v="709.5"/>
  </r>
  <r>
    <s v="TXN-100706"/>
    <x v="706"/>
    <x v="1"/>
    <x v="2"/>
    <n v="18"/>
    <n v="343.21"/>
    <n v="46.54"/>
    <n v="6177.78"/>
  </r>
  <r>
    <s v="TXN-100707"/>
    <x v="707"/>
    <x v="1"/>
    <x v="1"/>
    <n v="12"/>
    <n v="220.38"/>
    <n v="19.66"/>
    <n v="2644.56"/>
  </r>
  <r>
    <s v="TXN-100708"/>
    <x v="708"/>
    <x v="1"/>
    <x v="1"/>
    <n v="4"/>
    <n v="80.599999999999994"/>
    <n v="40.18"/>
    <n v="322.39999999999998"/>
  </r>
  <r>
    <s v="TXN-100709"/>
    <x v="709"/>
    <x v="1"/>
    <x v="0"/>
    <n v="17"/>
    <n v="130.19"/>
    <n v="16.079999999999998"/>
    <n v="2213.23"/>
  </r>
  <r>
    <s v="TXN-100710"/>
    <x v="710"/>
    <x v="0"/>
    <x v="3"/>
    <n v="15"/>
    <n v="427.34"/>
    <n v="35.14"/>
    <n v="6410.0999999999995"/>
  </r>
  <r>
    <s v="TXN-100711"/>
    <x v="711"/>
    <x v="3"/>
    <x v="0"/>
    <n v="6"/>
    <n v="175.02"/>
    <n v="19.57"/>
    <n v="1050.1200000000001"/>
  </r>
  <r>
    <s v="TXN-100712"/>
    <x v="712"/>
    <x v="2"/>
    <x v="0"/>
    <n v="16"/>
    <n v="409.89"/>
    <n v="27.91"/>
    <n v="6558.24"/>
  </r>
  <r>
    <s v="TXN-100713"/>
    <x v="713"/>
    <x v="1"/>
    <x v="2"/>
    <n v="17"/>
    <n v="147.86000000000001"/>
    <n v="35.32"/>
    <n v="2513.6200000000003"/>
  </r>
  <r>
    <s v="TXN-100714"/>
    <x v="714"/>
    <x v="1"/>
    <x v="2"/>
    <n v="3"/>
    <n v="251.53"/>
    <n v="31.5"/>
    <n v="754.59"/>
  </r>
  <r>
    <s v="TXN-100715"/>
    <x v="715"/>
    <x v="1"/>
    <x v="2"/>
    <n v="10"/>
    <n v="24.4"/>
    <n v="30.93"/>
    <n v="244"/>
  </r>
  <r>
    <s v="TXN-100716"/>
    <x v="716"/>
    <x v="0"/>
    <x v="3"/>
    <n v="5"/>
    <n v="242.25"/>
    <n v="7.96"/>
    <n v="1211.25"/>
  </r>
  <r>
    <s v="TXN-100717"/>
    <x v="717"/>
    <x v="1"/>
    <x v="2"/>
    <n v="14"/>
    <n v="292.25"/>
    <n v="16.21"/>
    <n v="4091.5"/>
  </r>
  <r>
    <s v="TXN-100718"/>
    <x v="718"/>
    <x v="1"/>
    <x v="2"/>
    <n v="13"/>
    <n v="117.31"/>
    <n v="30.73"/>
    <n v="1525.03"/>
  </r>
  <r>
    <s v="TXN-100719"/>
    <x v="719"/>
    <x v="1"/>
    <x v="3"/>
    <n v="6"/>
    <n v="267.05"/>
    <n v="5.82"/>
    <n v="1602.3000000000002"/>
  </r>
  <r>
    <s v="TXN-100720"/>
    <x v="720"/>
    <x v="3"/>
    <x v="3"/>
    <n v="12"/>
    <n v="296.69"/>
    <n v="16.28"/>
    <n v="3560.2799999999997"/>
  </r>
  <r>
    <s v="TXN-100721"/>
    <x v="721"/>
    <x v="0"/>
    <x v="1"/>
    <n v="8"/>
    <n v="313.95"/>
    <n v="15.31"/>
    <n v="2511.6"/>
  </r>
  <r>
    <s v="TXN-100722"/>
    <x v="722"/>
    <x v="1"/>
    <x v="2"/>
    <n v="5"/>
    <n v="352.85"/>
    <n v="16.239999999999998"/>
    <n v="1764.25"/>
  </r>
  <r>
    <s v="TXN-100723"/>
    <x v="723"/>
    <x v="2"/>
    <x v="2"/>
    <n v="15"/>
    <n v="150.78"/>
    <n v="29.1"/>
    <n v="2261.6999999999998"/>
  </r>
  <r>
    <s v="TXN-100724"/>
    <x v="724"/>
    <x v="2"/>
    <x v="2"/>
    <n v="16"/>
    <n v="262.2"/>
    <n v="31.19"/>
    <n v="4195.2"/>
  </r>
  <r>
    <s v="TXN-100725"/>
    <x v="725"/>
    <x v="2"/>
    <x v="1"/>
    <n v="1"/>
    <n v="442"/>
    <n v="45.9"/>
    <n v="442"/>
  </r>
  <r>
    <s v="TXN-100726"/>
    <x v="726"/>
    <x v="0"/>
    <x v="2"/>
    <n v="16"/>
    <n v="405.74"/>
    <n v="22.37"/>
    <n v="6491.84"/>
  </r>
  <r>
    <s v="TXN-100727"/>
    <x v="727"/>
    <x v="0"/>
    <x v="1"/>
    <n v="5"/>
    <n v="429.43"/>
    <n v="46.7"/>
    <n v="2147.15"/>
  </r>
  <r>
    <s v="TXN-100728"/>
    <x v="728"/>
    <x v="2"/>
    <x v="0"/>
    <n v="3"/>
    <n v="183.28"/>
    <n v="34.340000000000003"/>
    <n v="549.84"/>
  </r>
  <r>
    <s v="TXN-100729"/>
    <x v="729"/>
    <x v="1"/>
    <x v="1"/>
    <n v="15"/>
    <n v="357.42"/>
    <n v="46.07"/>
    <n v="5361.3"/>
  </r>
  <r>
    <s v="TXN-100730"/>
    <x v="730"/>
    <x v="0"/>
    <x v="0"/>
    <n v="13"/>
    <n v="284.85000000000002"/>
    <n v="42.51"/>
    <n v="3703.05"/>
  </r>
  <r>
    <s v="TXN-100731"/>
    <x v="731"/>
    <x v="2"/>
    <x v="2"/>
    <n v="16"/>
    <n v="51.45"/>
    <n v="35.94"/>
    <n v="823.2"/>
  </r>
  <r>
    <s v="TXN-100732"/>
    <x v="732"/>
    <x v="2"/>
    <x v="0"/>
    <n v="11"/>
    <n v="373.52"/>
    <n v="21.02"/>
    <n v="4108.7199999999993"/>
  </r>
  <r>
    <s v="TXN-100733"/>
    <x v="733"/>
    <x v="1"/>
    <x v="1"/>
    <n v="2"/>
    <n v="309.7"/>
    <n v="15.85"/>
    <n v="619.4"/>
  </r>
  <r>
    <s v="TXN-100734"/>
    <x v="734"/>
    <x v="3"/>
    <x v="3"/>
    <n v="6"/>
    <n v="101.93"/>
    <n v="15.01"/>
    <n v="611.58000000000004"/>
  </r>
  <r>
    <s v="TXN-100735"/>
    <x v="735"/>
    <x v="0"/>
    <x v="0"/>
    <n v="6"/>
    <n v="50.15"/>
    <n v="47.85"/>
    <n v="300.89999999999998"/>
  </r>
  <r>
    <s v="TXN-100736"/>
    <x v="736"/>
    <x v="1"/>
    <x v="0"/>
    <n v="14"/>
    <n v="379.19"/>
    <n v="48.14"/>
    <n v="5308.66"/>
  </r>
  <r>
    <s v="TXN-100737"/>
    <x v="737"/>
    <x v="2"/>
    <x v="2"/>
    <n v="11"/>
    <n v="49.78"/>
    <n v="37.619999999999997"/>
    <n v="547.58000000000004"/>
  </r>
  <r>
    <s v="TXN-100738"/>
    <x v="738"/>
    <x v="2"/>
    <x v="1"/>
    <n v="8"/>
    <n v="55.19"/>
    <n v="44.77"/>
    <n v="441.52"/>
  </r>
  <r>
    <s v="TXN-100739"/>
    <x v="739"/>
    <x v="1"/>
    <x v="0"/>
    <n v="8"/>
    <n v="201.21"/>
    <n v="46.35"/>
    <n v="1609.68"/>
  </r>
  <r>
    <s v="TXN-100740"/>
    <x v="740"/>
    <x v="0"/>
    <x v="0"/>
    <n v="1"/>
    <n v="74.069999999999993"/>
    <n v="28.02"/>
    <n v="74.069999999999993"/>
  </r>
  <r>
    <s v="TXN-100741"/>
    <x v="741"/>
    <x v="3"/>
    <x v="0"/>
    <n v="7"/>
    <n v="412.49"/>
    <n v="33.31"/>
    <n v="2887.4300000000003"/>
  </r>
  <r>
    <s v="TXN-100742"/>
    <x v="742"/>
    <x v="3"/>
    <x v="0"/>
    <n v="6"/>
    <n v="219.84"/>
    <n v="23.84"/>
    <n v="1319.04"/>
  </r>
  <r>
    <s v="TXN-100743"/>
    <x v="743"/>
    <x v="2"/>
    <x v="3"/>
    <n v="8"/>
    <n v="262.8"/>
    <n v="23.83"/>
    <n v="2102.4"/>
  </r>
  <r>
    <s v="TXN-100744"/>
    <x v="744"/>
    <x v="0"/>
    <x v="1"/>
    <n v="19"/>
    <n v="418.76"/>
    <n v="6.73"/>
    <n v="7956.44"/>
  </r>
  <r>
    <s v="TXN-100745"/>
    <x v="745"/>
    <x v="3"/>
    <x v="2"/>
    <n v="8"/>
    <n v="245.9"/>
    <n v="24.52"/>
    <n v="1967.2"/>
  </r>
  <r>
    <s v="TXN-100746"/>
    <x v="746"/>
    <x v="0"/>
    <x v="2"/>
    <n v="14"/>
    <n v="169.14"/>
    <n v="35.31"/>
    <n v="2367.96"/>
  </r>
  <r>
    <s v="TXN-100747"/>
    <x v="747"/>
    <x v="0"/>
    <x v="3"/>
    <n v="18"/>
    <n v="361.86"/>
    <n v="23.99"/>
    <n v="6513.4800000000005"/>
  </r>
  <r>
    <s v="TXN-100748"/>
    <x v="748"/>
    <x v="2"/>
    <x v="1"/>
    <n v="16"/>
    <n v="207.92"/>
    <n v="44.26"/>
    <n v="3326.72"/>
  </r>
  <r>
    <s v="TXN-100749"/>
    <x v="749"/>
    <x v="3"/>
    <x v="0"/>
    <n v="9"/>
    <n v="153.87"/>
    <n v="19.97"/>
    <n v="1384.83"/>
  </r>
  <r>
    <s v="TXN-100750"/>
    <x v="750"/>
    <x v="1"/>
    <x v="3"/>
    <n v="15"/>
    <n v="329.74"/>
    <n v="10.97"/>
    <n v="4946.1000000000004"/>
  </r>
  <r>
    <s v="TXN-100751"/>
    <x v="751"/>
    <x v="2"/>
    <x v="1"/>
    <n v="10"/>
    <n v="363.8"/>
    <n v="41.52"/>
    <n v="3638"/>
  </r>
  <r>
    <s v="TXN-100752"/>
    <x v="752"/>
    <x v="3"/>
    <x v="0"/>
    <n v="16"/>
    <n v="359.5"/>
    <n v="35.33"/>
    <n v="5752"/>
  </r>
  <r>
    <s v="TXN-100753"/>
    <x v="753"/>
    <x v="3"/>
    <x v="3"/>
    <n v="4"/>
    <n v="440.3"/>
    <n v="15.88"/>
    <n v="1761.2"/>
  </r>
  <r>
    <s v="TXN-100754"/>
    <x v="754"/>
    <x v="3"/>
    <x v="1"/>
    <n v="13"/>
    <n v="357.31"/>
    <n v="29.14"/>
    <n v="4645.03"/>
  </r>
  <r>
    <s v="TXN-100755"/>
    <x v="755"/>
    <x v="3"/>
    <x v="2"/>
    <n v="5"/>
    <n v="350.04"/>
    <n v="23.08"/>
    <n v="1750.2"/>
  </r>
  <r>
    <s v="TXN-100756"/>
    <x v="756"/>
    <x v="3"/>
    <x v="2"/>
    <n v="7"/>
    <n v="388.08"/>
    <n v="47.25"/>
    <n v="2716.56"/>
  </r>
  <r>
    <s v="TXN-100757"/>
    <x v="757"/>
    <x v="0"/>
    <x v="1"/>
    <n v="9"/>
    <n v="15.58"/>
    <n v="32.33"/>
    <n v="140.22"/>
  </r>
  <r>
    <s v="TXN-100758"/>
    <x v="758"/>
    <x v="2"/>
    <x v="2"/>
    <n v="8"/>
    <n v="172.98"/>
    <n v="12.13"/>
    <n v="1383.84"/>
  </r>
  <r>
    <s v="TXN-100759"/>
    <x v="759"/>
    <x v="0"/>
    <x v="1"/>
    <n v="16"/>
    <n v="335.99"/>
    <n v="27.6"/>
    <n v="5375.84"/>
  </r>
  <r>
    <s v="TXN-100760"/>
    <x v="760"/>
    <x v="1"/>
    <x v="0"/>
    <n v="6"/>
    <n v="276.08"/>
    <n v="43.82"/>
    <n v="1656.48"/>
  </r>
  <r>
    <s v="TXN-100761"/>
    <x v="761"/>
    <x v="3"/>
    <x v="1"/>
    <n v="16"/>
    <n v="92.66"/>
    <n v="35.22"/>
    <n v="1482.56"/>
  </r>
  <r>
    <s v="TXN-100762"/>
    <x v="762"/>
    <x v="2"/>
    <x v="0"/>
    <n v="6"/>
    <n v="147.47"/>
    <n v="42.91"/>
    <n v="884.81999999999994"/>
  </r>
  <r>
    <s v="TXN-100763"/>
    <x v="763"/>
    <x v="3"/>
    <x v="3"/>
    <n v="14"/>
    <n v="161.84"/>
    <n v="16.27"/>
    <n v="2265.7600000000002"/>
  </r>
  <r>
    <s v="TXN-100764"/>
    <x v="764"/>
    <x v="2"/>
    <x v="1"/>
    <n v="1"/>
    <n v="262.22000000000003"/>
    <n v="44.98"/>
    <n v="262.22000000000003"/>
  </r>
  <r>
    <s v="TXN-100765"/>
    <x v="765"/>
    <x v="0"/>
    <x v="3"/>
    <n v="9"/>
    <n v="376.83"/>
    <n v="39"/>
    <n v="3391.47"/>
  </r>
  <r>
    <s v="TXN-100766"/>
    <x v="766"/>
    <x v="2"/>
    <x v="2"/>
    <n v="13"/>
    <n v="420.67"/>
    <n v="37.799999999999997"/>
    <n v="5468.71"/>
  </r>
  <r>
    <s v="TXN-100767"/>
    <x v="767"/>
    <x v="1"/>
    <x v="0"/>
    <n v="19"/>
    <n v="341.42"/>
    <n v="20.59"/>
    <n v="6486.9800000000005"/>
  </r>
  <r>
    <s v="TXN-100768"/>
    <x v="768"/>
    <x v="1"/>
    <x v="1"/>
    <n v="17"/>
    <n v="381.76"/>
    <n v="44.94"/>
    <n v="6489.92"/>
  </r>
  <r>
    <s v="TXN-100769"/>
    <x v="769"/>
    <x v="2"/>
    <x v="3"/>
    <n v="11"/>
    <n v="219.76"/>
    <n v="33.71"/>
    <n v="2417.3599999999997"/>
  </r>
  <r>
    <s v="TXN-100770"/>
    <x v="770"/>
    <x v="2"/>
    <x v="0"/>
    <n v="8"/>
    <n v="184.86"/>
    <n v="43.33"/>
    <n v="1478.88"/>
  </r>
  <r>
    <s v="TXN-100771"/>
    <x v="771"/>
    <x v="2"/>
    <x v="0"/>
    <n v="5"/>
    <n v="186.13"/>
    <n v="21.24"/>
    <n v="930.65"/>
  </r>
  <r>
    <s v="TXN-100772"/>
    <x v="772"/>
    <x v="2"/>
    <x v="2"/>
    <n v="10"/>
    <n v="283.17"/>
    <n v="11.55"/>
    <n v="2831.7000000000003"/>
  </r>
  <r>
    <s v="TXN-100773"/>
    <x v="773"/>
    <x v="1"/>
    <x v="2"/>
    <n v="7"/>
    <n v="69.48"/>
    <n v="19.96"/>
    <n v="486.36"/>
  </r>
  <r>
    <s v="TXN-100774"/>
    <x v="774"/>
    <x v="3"/>
    <x v="0"/>
    <n v="10"/>
    <n v="267.29000000000002"/>
    <n v="25.49"/>
    <n v="2672.9"/>
  </r>
  <r>
    <s v="TXN-100775"/>
    <x v="775"/>
    <x v="2"/>
    <x v="0"/>
    <n v="4"/>
    <n v="304.5"/>
    <n v="29"/>
    <n v="1218"/>
  </r>
  <r>
    <s v="TXN-100776"/>
    <x v="776"/>
    <x v="2"/>
    <x v="1"/>
    <n v="9"/>
    <n v="206.21"/>
    <n v="27.99"/>
    <n v="1855.89"/>
  </r>
  <r>
    <s v="TXN-100777"/>
    <x v="777"/>
    <x v="1"/>
    <x v="0"/>
    <n v="14"/>
    <n v="429.65"/>
    <n v="29.57"/>
    <n v="6015.0999999999995"/>
  </r>
  <r>
    <s v="TXN-100778"/>
    <x v="778"/>
    <x v="1"/>
    <x v="1"/>
    <n v="2"/>
    <n v="279.77"/>
    <n v="42.88"/>
    <n v="559.54"/>
  </r>
  <r>
    <s v="TXN-100779"/>
    <x v="779"/>
    <x v="0"/>
    <x v="0"/>
    <n v="9"/>
    <n v="111.09"/>
    <n v="12.65"/>
    <n v="999.81000000000006"/>
  </r>
  <r>
    <s v="TXN-100780"/>
    <x v="780"/>
    <x v="2"/>
    <x v="2"/>
    <n v="1"/>
    <n v="223.72"/>
    <n v="19.22"/>
    <n v="223.72"/>
  </r>
  <r>
    <s v="TXN-100781"/>
    <x v="781"/>
    <x v="0"/>
    <x v="1"/>
    <n v="10"/>
    <n v="308.95999999999998"/>
    <n v="44.99"/>
    <n v="3089.6"/>
  </r>
  <r>
    <s v="TXN-100782"/>
    <x v="782"/>
    <x v="1"/>
    <x v="3"/>
    <n v="10"/>
    <n v="156.12"/>
    <n v="30.22"/>
    <n v="1561.2"/>
  </r>
  <r>
    <s v="TXN-100783"/>
    <x v="783"/>
    <x v="1"/>
    <x v="2"/>
    <n v="3"/>
    <n v="50.1"/>
    <n v="31.25"/>
    <n v="150.30000000000001"/>
  </r>
  <r>
    <s v="TXN-100784"/>
    <x v="784"/>
    <x v="3"/>
    <x v="1"/>
    <n v="6"/>
    <n v="269"/>
    <n v="26.51"/>
    <n v="1614"/>
  </r>
  <r>
    <s v="TXN-100785"/>
    <x v="785"/>
    <x v="2"/>
    <x v="1"/>
    <n v="6"/>
    <n v="427.35"/>
    <n v="29.7"/>
    <n v="2564.1000000000004"/>
  </r>
  <r>
    <s v="TXN-100786"/>
    <x v="786"/>
    <x v="0"/>
    <x v="3"/>
    <n v="2"/>
    <n v="226.26"/>
    <n v="13.91"/>
    <n v="452.52"/>
  </r>
  <r>
    <s v="TXN-100787"/>
    <x v="787"/>
    <x v="1"/>
    <x v="1"/>
    <n v="18"/>
    <n v="409.2"/>
    <n v="29.61"/>
    <n v="7365.5999999999995"/>
  </r>
  <r>
    <s v="TXN-100788"/>
    <x v="788"/>
    <x v="1"/>
    <x v="0"/>
    <n v="2"/>
    <n v="378.32"/>
    <n v="49.87"/>
    <n v="756.64"/>
  </r>
  <r>
    <s v="TXN-100789"/>
    <x v="789"/>
    <x v="0"/>
    <x v="3"/>
    <n v="12"/>
    <n v="79.55"/>
    <n v="30.47"/>
    <n v="954.59999999999991"/>
  </r>
  <r>
    <s v="TXN-100790"/>
    <x v="790"/>
    <x v="3"/>
    <x v="2"/>
    <n v="5"/>
    <n v="323.2"/>
    <n v="7"/>
    <n v="1616"/>
  </r>
  <r>
    <s v="TXN-100791"/>
    <x v="791"/>
    <x v="1"/>
    <x v="2"/>
    <n v="7"/>
    <n v="204.71"/>
    <n v="40.840000000000003"/>
    <n v="1432.97"/>
  </r>
  <r>
    <s v="TXN-100792"/>
    <x v="792"/>
    <x v="2"/>
    <x v="0"/>
    <n v="16"/>
    <n v="124.23"/>
    <n v="22.84"/>
    <n v="1987.68"/>
  </r>
  <r>
    <s v="TXN-100793"/>
    <x v="793"/>
    <x v="1"/>
    <x v="2"/>
    <n v="1"/>
    <n v="313.97000000000003"/>
    <n v="11.92"/>
    <n v="313.97000000000003"/>
  </r>
  <r>
    <s v="TXN-100794"/>
    <x v="794"/>
    <x v="2"/>
    <x v="1"/>
    <n v="1"/>
    <n v="338.19"/>
    <n v="43.81"/>
    <n v="338.19"/>
  </r>
  <r>
    <s v="TXN-100795"/>
    <x v="795"/>
    <x v="0"/>
    <x v="1"/>
    <n v="17"/>
    <n v="93.66"/>
    <n v="13.91"/>
    <n v="1592.22"/>
  </r>
  <r>
    <s v="TXN-100796"/>
    <x v="796"/>
    <x v="2"/>
    <x v="0"/>
    <n v="1"/>
    <n v="412.83"/>
    <n v="46.43"/>
    <n v="412.83"/>
  </r>
  <r>
    <s v="TXN-100797"/>
    <x v="797"/>
    <x v="0"/>
    <x v="2"/>
    <n v="13"/>
    <n v="341.87"/>
    <n v="24.88"/>
    <n v="4444.3100000000004"/>
  </r>
  <r>
    <s v="TXN-100798"/>
    <x v="798"/>
    <x v="2"/>
    <x v="2"/>
    <n v="9"/>
    <n v="421.05"/>
    <n v="38.43"/>
    <n v="3789.4500000000003"/>
  </r>
  <r>
    <s v="TXN-100799"/>
    <x v="799"/>
    <x v="0"/>
    <x v="0"/>
    <n v="15"/>
    <n v="153.27000000000001"/>
    <n v="29.61"/>
    <n v="2299.0500000000002"/>
  </r>
  <r>
    <s v="TXN-100800"/>
    <x v="800"/>
    <x v="2"/>
    <x v="3"/>
    <n v="3"/>
    <n v="423.64"/>
    <n v="16.55"/>
    <n v="1270.92"/>
  </r>
  <r>
    <s v="TXN-100801"/>
    <x v="801"/>
    <x v="3"/>
    <x v="2"/>
    <n v="14"/>
    <n v="175.62"/>
    <n v="35.200000000000003"/>
    <n v="2458.6800000000003"/>
  </r>
  <r>
    <s v="TXN-100802"/>
    <x v="802"/>
    <x v="2"/>
    <x v="3"/>
    <n v="11"/>
    <n v="38.950000000000003"/>
    <n v="48.11"/>
    <n v="428.45000000000005"/>
  </r>
  <r>
    <s v="TXN-100803"/>
    <x v="803"/>
    <x v="2"/>
    <x v="2"/>
    <n v="12"/>
    <n v="347.01"/>
    <n v="39.630000000000003"/>
    <n v="4164.12"/>
  </r>
  <r>
    <s v="TXN-100804"/>
    <x v="804"/>
    <x v="3"/>
    <x v="2"/>
    <n v="13"/>
    <n v="321.17"/>
    <n v="32.18"/>
    <n v="4175.21"/>
  </r>
  <r>
    <s v="TXN-100805"/>
    <x v="805"/>
    <x v="1"/>
    <x v="2"/>
    <n v="13"/>
    <n v="275.29000000000002"/>
    <n v="49.58"/>
    <n v="3578.7700000000004"/>
  </r>
  <r>
    <s v="TXN-100806"/>
    <x v="806"/>
    <x v="1"/>
    <x v="2"/>
    <n v="1"/>
    <n v="228.36"/>
    <n v="16.940000000000001"/>
    <n v="228.36"/>
  </r>
  <r>
    <s v="TXN-100807"/>
    <x v="807"/>
    <x v="2"/>
    <x v="1"/>
    <n v="10"/>
    <n v="29.48"/>
    <n v="7.81"/>
    <n v="294.8"/>
  </r>
  <r>
    <s v="TXN-100808"/>
    <x v="808"/>
    <x v="3"/>
    <x v="3"/>
    <n v="3"/>
    <n v="286.89"/>
    <n v="6.45"/>
    <n v="860.67"/>
  </r>
  <r>
    <s v="TXN-100809"/>
    <x v="809"/>
    <x v="2"/>
    <x v="3"/>
    <n v="4"/>
    <n v="196.61"/>
    <n v="36.979999999999997"/>
    <n v="786.44"/>
  </r>
  <r>
    <s v="TXN-100810"/>
    <x v="810"/>
    <x v="0"/>
    <x v="2"/>
    <n v="16"/>
    <n v="258.91000000000003"/>
    <n v="42.36"/>
    <n v="4142.5600000000004"/>
  </r>
  <r>
    <s v="TXN-100811"/>
    <x v="811"/>
    <x v="0"/>
    <x v="2"/>
    <n v="8"/>
    <n v="202.04"/>
    <n v="33.58"/>
    <n v="1616.32"/>
  </r>
  <r>
    <s v="TXN-100812"/>
    <x v="812"/>
    <x v="2"/>
    <x v="3"/>
    <n v="16"/>
    <n v="435.25"/>
    <n v="45.73"/>
    <n v="6964"/>
  </r>
  <r>
    <s v="TXN-100813"/>
    <x v="813"/>
    <x v="1"/>
    <x v="1"/>
    <n v="17"/>
    <n v="277.99"/>
    <n v="36.409999999999997"/>
    <n v="4725.83"/>
  </r>
  <r>
    <s v="TXN-100814"/>
    <x v="814"/>
    <x v="1"/>
    <x v="0"/>
    <n v="19"/>
    <n v="341.04"/>
    <n v="21.69"/>
    <n v="6479.76"/>
  </r>
  <r>
    <s v="TXN-100815"/>
    <x v="815"/>
    <x v="2"/>
    <x v="0"/>
    <n v="15"/>
    <n v="422.34"/>
    <n v="13.16"/>
    <n v="6335.0999999999995"/>
  </r>
  <r>
    <s v="TXN-100816"/>
    <x v="816"/>
    <x v="2"/>
    <x v="3"/>
    <n v="16"/>
    <n v="272.55"/>
    <n v="46.61"/>
    <n v="4360.8"/>
  </r>
  <r>
    <s v="TXN-100817"/>
    <x v="817"/>
    <x v="0"/>
    <x v="2"/>
    <n v="15"/>
    <n v="20.74"/>
    <n v="9.66"/>
    <n v="311.09999999999997"/>
  </r>
  <r>
    <s v="TXN-100818"/>
    <x v="818"/>
    <x v="1"/>
    <x v="2"/>
    <n v="2"/>
    <n v="30.4"/>
    <n v="29.43"/>
    <n v="60.8"/>
  </r>
  <r>
    <s v="TXN-100819"/>
    <x v="819"/>
    <x v="2"/>
    <x v="1"/>
    <n v="11"/>
    <n v="320.67"/>
    <n v="19.13"/>
    <n v="3527.3700000000003"/>
  </r>
  <r>
    <s v="TXN-100820"/>
    <x v="820"/>
    <x v="0"/>
    <x v="0"/>
    <n v="1"/>
    <n v="136.76"/>
    <n v="17.21"/>
    <n v="136.76"/>
  </r>
  <r>
    <s v="TXN-100821"/>
    <x v="821"/>
    <x v="1"/>
    <x v="1"/>
    <n v="15"/>
    <n v="267.24"/>
    <n v="34.06"/>
    <n v="4008.6000000000004"/>
  </r>
  <r>
    <s v="TXN-100822"/>
    <x v="822"/>
    <x v="3"/>
    <x v="0"/>
    <n v="19"/>
    <n v="103.39"/>
    <n v="15.41"/>
    <n v="1964.41"/>
  </r>
  <r>
    <s v="TXN-100823"/>
    <x v="823"/>
    <x v="0"/>
    <x v="3"/>
    <n v="4"/>
    <n v="132.91999999999999"/>
    <n v="46.24"/>
    <n v="531.67999999999995"/>
  </r>
  <r>
    <s v="TXN-100824"/>
    <x v="824"/>
    <x v="1"/>
    <x v="0"/>
    <n v="11"/>
    <n v="234.77"/>
    <n v="23.27"/>
    <n v="2582.4700000000003"/>
  </r>
  <r>
    <s v="TXN-100825"/>
    <x v="825"/>
    <x v="1"/>
    <x v="1"/>
    <n v="5"/>
    <n v="439.38"/>
    <n v="35.479999999999997"/>
    <n v="2196.9"/>
  </r>
  <r>
    <s v="TXN-100826"/>
    <x v="826"/>
    <x v="0"/>
    <x v="1"/>
    <n v="3"/>
    <n v="283.27"/>
    <n v="37.75"/>
    <n v="849.81"/>
  </r>
  <r>
    <s v="TXN-100827"/>
    <x v="827"/>
    <x v="3"/>
    <x v="1"/>
    <n v="13"/>
    <n v="422.26"/>
    <n v="35.729999999999997"/>
    <n v="5489.38"/>
  </r>
  <r>
    <s v="TXN-100828"/>
    <x v="828"/>
    <x v="0"/>
    <x v="3"/>
    <n v="10"/>
    <n v="432.35"/>
    <n v="45.65"/>
    <n v="4323.5"/>
  </r>
  <r>
    <s v="TXN-100829"/>
    <x v="829"/>
    <x v="1"/>
    <x v="0"/>
    <n v="11"/>
    <n v="105.92"/>
    <n v="15.4"/>
    <n v="1165.1200000000001"/>
  </r>
  <r>
    <s v="TXN-100830"/>
    <x v="830"/>
    <x v="2"/>
    <x v="0"/>
    <n v="18"/>
    <n v="150.71"/>
    <n v="8.8699999999999992"/>
    <n v="2712.78"/>
  </r>
  <r>
    <s v="TXN-100831"/>
    <x v="831"/>
    <x v="2"/>
    <x v="1"/>
    <n v="2"/>
    <n v="350.06"/>
    <n v="7.5"/>
    <n v="700.12"/>
  </r>
  <r>
    <s v="TXN-100832"/>
    <x v="832"/>
    <x v="0"/>
    <x v="0"/>
    <n v="7"/>
    <n v="392.11"/>
    <n v="44.5"/>
    <n v="2744.77"/>
  </r>
  <r>
    <s v="TXN-100833"/>
    <x v="833"/>
    <x v="1"/>
    <x v="2"/>
    <n v="9"/>
    <n v="241.1"/>
    <n v="48.8"/>
    <n v="2169.9"/>
  </r>
  <r>
    <s v="TXN-100834"/>
    <x v="834"/>
    <x v="2"/>
    <x v="2"/>
    <n v="10"/>
    <n v="447.06"/>
    <n v="18.61"/>
    <n v="4470.6000000000004"/>
  </r>
  <r>
    <s v="TXN-100835"/>
    <x v="835"/>
    <x v="1"/>
    <x v="2"/>
    <n v="18"/>
    <n v="20.53"/>
    <n v="36.21"/>
    <n v="369.54"/>
  </r>
  <r>
    <s v="TXN-100836"/>
    <x v="836"/>
    <x v="0"/>
    <x v="0"/>
    <n v="7"/>
    <n v="145.66999999999999"/>
    <n v="5.4"/>
    <n v="1019.6899999999999"/>
  </r>
  <r>
    <s v="TXN-100837"/>
    <x v="837"/>
    <x v="2"/>
    <x v="3"/>
    <n v="7"/>
    <n v="286.26"/>
    <n v="13.49"/>
    <n v="2003.82"/>
  </r>
  <r>
    <s v="TXN-100838"/>
    <x v="838"/>
    <x v="1"/>
    <x v="3"/>
    <n v="3"/>
    <n v="219.41"/>
    <n v="36.020000000000003"/>
    <n v="658.23"/>
  </r>
  <r>
    <s v="TXN-100839"/>
    <x v="839"/>
    <x v="2"/>
    <x v="3"/>
    <n v="12"/>
    <n v="66.16"/>
    <n v="7.96"/>
    <n v="793.92"/>
  </r>
  <r>
    <s v="TXN-100840"/>
    <x v="840"/>
    <x v="0"/>
    <x v="3"/>
    <n v="7"/>
    <n v="175.3"/>
    <n v="26.08"/>
    <n v="1227.1000000000001"/>
  </r>
  <r>
    <s v="TXN-100841"/>
    <x v="841"/>
    <x v="1"/>
    <x v="2"/>
    <n v="17"/>
    <n v="26.56"/>
    <n v="34.82"/>
    <n v="451.52"/>
  </r>
  <r>
    <s v="TXN-100842"/>
    <x v="842"/>
    <x v="2"/>
    <x v="2"/>
    <n v="1"/>
    <n v="294.77"/>
    <n v="39.47"/>
    <n v="294.77"/>
  </r>
  <r>
    <s v="TXN-100843"/>
    <x v="843"/>
    <x v="0"/>
    <x v="1"/>
    <n v="5"/>
    <n v="403.4"/>
    <n v="25.42"/>
    <n v="2017"/>
  </r>
  <r>
    <s v="TXN-100844"/>
    <x v="844"/>
    <x v="2"/>
    <x v="0"/>
    <n v="16"/>
    <n v="399.98"/>
    <n v="33.36"/>
    <n v="6399.68"/>
  </r>
  <r>
    <s v="TXN-100845"/>
    <x v="845"/>
    <x v="2"/>
    <x v="0"/>
    <n v="15"/>
    <n v="319.45"/>
    <n v="29.28"/>
    <n v="4791.75"/>
  </r>
  <r>
    <s v="TXN-100846"/>
    <x v="846"/>
    <x v="3"/>
    <x v="3"/>
    <n v="2"/>
    <n v="217.88"/>
    <n v="7.35"/>
    <n v="435.76"/>
  </r>
  <r>
    <s v="TXN-100847"/>
    <x v="847"/>
    <x v="3"/>
    <x v="2"/>
    <n v="9"/>
    <n v="237.98"/>
    <n v="38.43"/>
    <n v="2141.8199999999997"/>
  </r>
  <r>
    <s v="TXN-100848"/>
    <x v="848"/>
    <x v="0"/>
    <x v="3"/>
    <n v="7"/>
    <n v="74.989999999999995"/>
    <n v="12.76"/>
    <n v="524.92999999999995"/>
  </r>
  <r>
    <s v="TXN-100849"/>
    <x v="849"/>
    <x v="3"/>
    <x v="1"/>
    <n v="4"/>
    <n v="163.66999999999999"/>
    <n v="6.43"/>
    <n v="654.67999999999995"/>
  </r>
  <r>
    <s v="TXN-100850"/>
    <x v="850"/>
    <x v="0"/>
    <x v="0"/>
    <n v="18"/>
    <n v="97.07"/>
    <n v="25.3"/>
    <n v="1747.2599999999998"/>
  </r>
  <r>
    <s v="TXN-100851"/>
    <x v="851"/>
    <x v="3"/>
    <x v="0"/>
    <n v="4"/>
    <n v="372.31"/>
    <n v="43.95"/>
    <n v="1489.24"/>
  </r>
  <r>
    <s v="TXN-100852"/>
    <x v="852"/>
    <x v="2"/>
    <x v="3"/>
    <n v="13"/>
    <n v="412.96"/>
    <n v="11.79"/>
    <n v="5368.48"/>
  </r>
  <r>
    <s v="TXN-100853"/>
    <x v="853"/>
    <x v="0"/>
    <x v="1"/>
    <n v="1"/>
    <n v="248.79"/>
    <n v="5.58"/>
    <n v="248.79"/>
  </r>
  <r>
    <s v="TXN-100854"/>
    <x v="854"/>
    <x v="0"/>
    <x v="0"/>
    <n v="3"/>
    <n v="331.71"/>
    <n v="9.9499999999999993"/>
    <n v="995.12999999999988"/>
  </r>
  <r>
    <s v="TXN-100855"/>
    <x v="855"/>
    <x v="2"/>
    <x v="1"/>
    <n v="16"/>
    <n v="68.28"/>
    <n v="21.36"/>
    <n v="1092.48"/>
  </r>
  <r>
    <s v="TXN-100856"/>
    <x v="856"/>
    <x v="0"/>
    <x v="1"/>
    <n v="4"/>
    <n v="279.91000000000003"/>
    <n v="31.11"/>
    <n v="1119.6400000000001"/>
  </r>
  <r>
    <s v="TXN-100857"/>
    <x v="857"/>
    <x v="0"/>
    <x v="3"/>
    <n v="16"/>
    <n v="320.86"/>
    <n v="13.69"/>
    <n v="5133.76"/>
  </r>
  <r>
    <s v="TXN-100858"/>
    <x v="858"/>
    <x v="3"/>
    <x v="2"/>
    <n v="19"/>
    <n v="212.23"/>
    <n v="41.09"/>
    <n v="4032.37"/>
  </r>
  <r>
    <s v="TXN-100859"/>
    <x v="859"/>
    <x v="0"/>
    <x v="3"/>
    <n v="1"/>
    <n v="121.2"/>
    <n v="38.9"/>
    <n v="121.2"/>
  </r>
  <r>
    <s v="TXN-100860"/>
    <x v="860"/>
    <x v="1"/>
    <x v="2"/>
    <n v="5"/>
    <n v="396.72"/>
    <n v="36.31"/>
    <n v="1983.6000000000001"/>
  </r>
  <r>
    <s v="TXN-100861"/>
    <x v="861"/>
    <x v="2"/>
    <x v="1"/>
    <n v="19"/>
    <n v="338.29"/>
    <n v="26.94"/>
    <n v="6427.51"/>
  </r>
  <r>
    <s v="TXN-100862"/>
    <x v="862"/>
    <x v="3"/>
    <x v="2"/>
    <n v="11"/>
    <n v="406.49"/>
    <n v="21.43"/>
    <n v="4471.3900000000003"/>
  </r>
  <r>
    <s v="TXN-100863"/>
    <x v="863"/>
    <x v="3"/>
    <x v="1"/>
    <n v="13"/>
    <n v="371.1"/>
    <n v="21.9"/>
    <n v="4824.3"/>
  </r>
  <r>
    <s v="TXN-100864"/>
    <x v="864"/>
    <x v="1"/>
    <x v="0"/>
    <n v="5"/>
    <n v="445.82"/>
    <n v="27.64"/>
    <n v="2229.1"/>
  </r>
  <r>
    <s v="TXN-100865"/>
    <x v="865"/>
    <x v="2"/>
    <x v="0"/>
    <n v="4"/>
    <n v="99"/>
    <n v="8.48"/>
    <n v="396"/>
  </r>
  <r>
    <s v="TXN-100866"/>
    <x v="866"/>
    <x v="2"/>
    <x v="0"/>
    <n v="4"/>
    <n v="53.19"/>
    <n v="35.700000000000003"/>
    <n v="212.76"/>
  </r>
  <r>
    <s v="TXN-100867"/>
    <x v="867"/>
    <x v="3"/>
    <x v="3"/>
    <n v="4"/>
    <n v="161.93"/>
    <n v="20.82"/>
    <n v="647.72"/>
  </r>
  <r>
    <s v="TXN-100868"/>
    <x v="868"/>
    <x v="0"/>
    <x v="3"/>
    <n v="4"/>
    <n v="71.55"/>
    <n v="15.11"/>
    <n v="286.2"/>
  </r>
  <r>
    <s v="TXN-100869"/>
    <x v="869"/>
    <x v="3"/>
    <x v="1"/>
    <n v="18"/>
    <n v="242.8"/>
    <n v="17.52"/>
    <n v="4370.4000000000005"/>
  </r>
  <r>
    <s v="TXN-100870"/>
    <x v="870"/>
    <x v="2"/>
    <x v="0"/>
    <n v="18"/>
    <n v="290.55"/>
    <n v="13.11"/>
    <n v="5229.9000000000005"/>
  </r>
  <r>
    <s v="TXN-100871"/>
    <x v="871"/>
    <x v="1"/>
    <x v="3"/>
    <n v="16"/>
    <n v="266.77"/>
    <n v="45.57"/>
    <n v="4268.32"/>
  </r>
  <r>
    <s v="TXN-100872"/>
    <x v="872"/>
    <x v="3"/>
    <x v="0"/>
    <n v="9"/>
    <n v="128.13999999999999"/>
    <n v="12.61"/>
    <n v="1153.2599999999998"/>
  </r>
  <r>
    <s v="TXN-100873"/>
    <x v="873"/>
    <x v="2"/>
    <x v="3"/>
    <n v="18"/>
    <n v="410.38"/>
    <n v="44.73"/>
    <n v="7386.84"/>
  </r>
  <r>
    <s v="TXN-100874"/>
    <x v="874"/>
    <x v="3"/>
    <x v="2"/>
    <n v="2"/>
    <n v="24.7"/>
    <n v="30.75"/>
    <n v="49.4"/>
  </r>
  <r>
    <s v="TXN-100875"/>
    <x v="875"/>
    <x v="0"/>
    <x v="2"/>
    <n v="4"/>
    <n v="166.71"/>
    <n v="44.04"/>
    <n v="666.84"/>
  </r>
  <r>
    <s v="TXN-100876"/>
    <x v="876"/>
    <x v="3"/>
    <x v="0"/>
    <n v="12"/>
    <n v="327.9"/>
    <n v="26.33"/>
    <n v="3934.7999999999997"/>
  </r>
  <r>
    <s v="TXN-100877"/>
    <x v="877"/>
    <x v="3"/>
    <x v="1"/>
    <n v="7"/>
    <n v="348.73"/>
    <n v="46.74"/>
    <n v="2441.11"/>
  </r>
  <r>
    <s v="TXN-100878"/>
    <x v="878"/>
    <x v="2"/>
    <x v="3"/>
    <n v="15"/>
    <n v="196.3"/>
    <n v="14.52"/>
    <n v="2944.5"/>
  </r>
  <r>
    <s v="TXN-100879"/>
    <x v="879"/>
    <x v="2"/>
    <x v="3"/>
    <n v="7"/>
    <n v="22.85"/>
    <n v="29.96"/>
    <n v="159.95000000000002"/>
  </r>
  <r>
    <s v="TXN-100880"/>
    <x v="880"/>
    <x v="2"/>
    <x v="2"/>
    <n v="17"/>
    <n v="284.04000000000002"/>
    <n v="10.66"/>
    <n v="4828.68"/>
  </r>
  <r>
    <s v="TXN-100881"/>
    <x v="881"/>
    <x v="3"/>
    <x v="2"/>
    <n v="16"/>
    <n v="42.91"/>
    <n v="25.12"/>
    <n v="686.56"/>
  </r>
  <r>
    <s v="TXN-100882"/>
    <x v="882"/>
    <x v="0"/>
    <x v="1"/>
    <n v="19"/>
    <n v="62.36"/>
    <n v="30.65"/>
    <n v="1184.8399999999999"/>
  </r>
  <r>
    <s v="TXN-100883"/>
    <x v="883"/>
    <x v="1"/>
    <x v="1"/>
    <n v="9"/>
    <n v="298.02999999999997"/>
    <n v="32.26"/>
    <n v="2682.2699999999995"/>
  </r>
  <r>
    <s v="TXN-100884"/>
    <x v="884"/>
    <x v="1"/>
    <x v="1"/>
    <n v="14"/>
    <n v="151.28"/>
    <n v="21.45"/>
    <n v="2117.92"/>
  </r>
  <r>
    <s v="TXN-100885"/>
    <x v="885"/>
    <x v="2"/>
    <x v="0"/>
    <n v="17"/>
    <n v="166.72"/>
    <n v="8.44"/>
    <n v="2834.24"/>
  </r>
  <r>
    <s v="TXN-100886"/>
    <x v="886"/>
    <x v="2"/>
    <x v="2"/>
    <n v="5"/>
    <n v="227.02"/>
    <n v="34.49"/>
    <n v="1135.1000000000001"/>
  </r>
  <r>
    <s v="TXN-100887"/>
    <x v="887"/>
    <x v="3"/>
    <x v="0"/>
    <n v="2"/>
    <n v="440.69"/>
    <n v="26.98"/>
    <n v="881.38"/>
  </r>
  <r>
    <s v="TXN-100888"/>
    <x v="888"/>
    <x v="1"/>
    <x v="2"/>
    <n v="16"/>
    <n v="434.98"/>
    <n v="11.16"/>
    <n v="6959.68"/>
  </r>
  <r>
    <s v="TXN-100889"/>
    <x v="889"/>
    <x v="2"/>
    <x v="2"/>
    <n v="14"/>
    <n v="196.37"/>
    <n v="47.11"/>
    <n v="2749.1800000000003"/>
  </r>
  <r>
    <s v="TXN-100890"/>
    <x v="890"/>
    <x v="0"/>
    <x v="3"/>
    <n v="14"/>
    <n v="130.86000000000001"/>
    <n v="48.01"/>
    <n v="1832.0400000000002"/>
  </r>
  <r>
    <s v="TXN-100891"/>
    <x v="891"/>
    <x v="0"/>
    <x v="2"/>
    <n v="1"/>
    <n v="146.97999999999999"/>
    <n v="43.55"/>
    <n v="146.97999999999999"/>
  </r>
  <r>
    <s v="TXN-100892"/>
    <x v="892"/>
    <x v="2"/>
    <x v="2"/>
    <n v="3"/>
    <n v="132.29"/>
    <n v="42.97"/>
    <n v="396.87"/>
  </r>
  <r>
    <s v="TXN-100893"/>
    <x v="893"/>
    <x v="2"/>
    <x v="0"/>
    <n v="7"/>
    <n v="246.76"/>
    <n v="9.44"/>
    <n v="1727.32"/>
  </r>
  <r>
    <s v="TXN-100894"/>
    <x v="894"/>
    <x v="1"/>
    <x v="2"/>
    <n v="15"/>
    <n v="279.18"/>
    <n v="49.7"/>
    <n v="4187.7"/>
  </r>
  <r>
    <s v="TXN-100895"/>
    <x v="895"/>
    <x v="1"/>
    <x v="0"/>
    <n v="19"/>
    <n v="227.87"/>
    <n v="23.02"/>
    <n v="4329.53"/>
  </r>
  <r>
    <s v="TXN-100896"/>
    <x v="896"/>
    <x v="3"/>
    <x v="1"/>
    <n v="2"/>
    <n v="192.77"/>
    <n v="12.34"/>
    <n v="385.54"/>
  </r>
  <r>
    <s v="TXN-100897"/>
    <x v="897"/>
    <x v="1"/>
    <x v="2"/>
    <n v="19"/>
    <n v="107.3"/>
    <n v="41.54"/>
    <n v="2038.7"/>
  </r>
  <r>
    <s v="TXN-100898"/>
    <x v="898"/>
    <x v="0"/>
    <x v="2"/>
    <n v="9"/>
    <n v="225.15"/>
    <n v="15.16"/>
    <n v="2026.3500000000001"/>
  </r>
  <r>
    <s v="TXN-100899"/>
    <x v="899"/>
    <x v="0"/>
    <x v="0"/>
    <n v="19"/>
    <n v="163.71"/>
    <n v="28.68"/>
    <n v="3110.4900000000002"/>
  </r>
  <r>
    <s v="TXN-100900"/>
    <x v="900"/>
    <x v="2"/>
    <x v="1"/>
    <n v="5"/>
    <n v="250.82"/>
    <n v="10.76"/>
    <n v="1254.0999999999999"/>
  </r>
  <r>
    <s v="TXN-100901"/>
    <x v="901"/>
    <x v="1"/>
    <x v="3"/>
    <n v="18"/>
    <n v="308.87"/>
    <n v="26.36"/>
    <n v="5559.66"/>
  </r>
  <r>
    <s v="TXN-100902"/>
    <x v="902"/>
    <x v="3"/>
    <x v="1"/>
    <n v="16"/>
    <n v="290.67"/>
    <n v="30.12"/>
    <n v="4650.72"/>
  </r>
  <r>
    <s v="TXN-100903"/>
    <x v="903"/>
    <x v="0"/>
    <x v="0"/>
    <n v="4"/>
    <n v="216.45"/>
    <n v="25.07"/>
    <n v="865.8"/>
  </r>
  <r>
    <s v="TXN-100904"/>
    <x v="904"/>
    <x v="0"/>
    <x v="1"/>
    <n v="12"/>
    <n v="257.10000000000002"/>
    <n v="8.1300000000000008"/>
    <n v="3085.2000000000003"/>
  </r>
  <r>
    <s v="TXN-100905"/>
    <x v="905"/>
    <x v="3"/>
    <x v="0"/>
    <n v="7"/>
    <n v="139.27000000000001"/>
    <n v="26.82"/>
    <n v="974.8900000000001"/>
  </r>
  <r>
    <s v="TXN-100906"/>
    <x v="906"/>
    <x v="3"/>
    <x v="0"/>
    <n v="14"/>
    <n v="26.03"/>
    <n v="26.1"/>
    <n v="364.42"/>
  </r>
  <r>
    <s v="TXN-100907"/>
    <x v="907"/>
    <x v="0"/>
    <x v="3"/>
    <n v="12"/>
    <n v="287.07"/>
    <n v="16.77"/>
    <n v="3444.84"/>
  </r>
  <r>
    <s v="TXN-100908"/>
    <x v="908"/>
    <x v="0"/>
    <x v="2"/>
    <n v="3"/>
    <n v="125.24"/>
    <n v="46.47"/>
    <n v="375.71999999999997"/>
  </r>
  <r>
    <s v="TXN-100909"/>
    <x v="909"/>
    <x v="3"/>
    <x v="0"/>
    <n v="5"/>
    <n v="306.16000000000003"/>
    <n v="23.8"/>
    <n v="1530.8000000000002"/>
  </r>
  <r>
    <s v="TXN-100910"/>
    <x v="910"/>
    <x v="0"/>
    <x v="0"/>
    <n v="17"/>
    <n v="340.08"/>
    <n v="43.89"/>
    <n v="5781.36"/>
  </r>
  <r>
    <s v="TXN-100911"/>
    <x v="911"/>
    <x v="2"/>
    <x v="3"/>
    <n v="10"/>
    <n v="413.47"/>
    <n v="9.93"/>
    <n v="4134.7000000000007"/>
  </r>
  <r>
    <s v="TXN-100912"/>
    <x v="912"/>
    <x v="2"/>
    <x v="0"/>
    <n v="10"/>
    <n v="431.8"/>
    <n v="19.350000000000001"/>
    <n v="4318"/>
  </r>
  <r>
    <s v="TXN-100913"/>
    <x v="913"/>
    <x v="3"/>
    <x v="2"/>
    <n v="11"/>
    <n v="20.07"/>
    <n v="12.93"/>
    <n v="220.77"/>
  </r>
  <r>
    <s v="TXN-100914"/>
    <x v="914"/>
    <x v="1"/>
    <x v="3"/>
    <n v="17"/>
    <n v="445.82"/>
    <n v="23.38"/>
    <n v="7578.94"/>
  </r>
  <r>
    <s v="TXN-100915"/>
    <x v="915"/>
    <x v="3"/>
    <x v="2"/>
    <n v="5"/>
    <n v="312.27"/>
    <n v="10.02"/>
    <n v="1561.35"/>
  </r>
  <r>
    <s v="TXN-100916"/>
    <x v="916"/>
    <x v="3"/>
    <x v="2"/>
    <n v="13"/>
    <n v="295.11"/>
    <n v="24.85"/>
    <n v="3836.4300000000003"/>
  </r>
  <r>
    <s v="TXN-100917"/>
    <x v="917"/>
    <x v="1"/>
    <x v="3"/>
    <n v="10"/>
    <n v="22.11"/>
    <n v="20.92"/>
    <n v="221.1"/>
  </r>
  <r>
    <s v="TXN-100918"/>
    <x v="918"/>
    <x v="1"/>
    <x v="0"/>
    <n v="9"/>
    <n v="389.71"/>
    <n v="15.05"/>
    <n v="3507.39"/>
  </r>
  <r>
    <s v="TXN-100919"/>
    <x v="919"/>
    <x v="1"/>
    <x v="2"/>
    <n v="17"/>
    <n v="78.72"/>
    <n v="33.9"/>
    <n v="1338.24"/>
  </r>
  <r>
    <s v="TXN-100920"/>
    <x v="920"/>
    <x v="2"/>
    <x v="2"/>
    <n v="1"/>
    <n v="379.32"/>
    <n v="47.79"/>
    <n v="379.32"/>
  </r>
  <r>
    <s v="TXN-100921"/>
    <x v="921"/>
    <x v="0"/>
    <x v="2"/>
    <n v="4"/>
    <n v="22.26"/>
    <n v="14.32"/>
    <n v="89.04"/>
  </r>
  <r>
    <s v="TXN-100922"/>
    <x v="922"/>
    <x v="2"/>
    <x v="2"/>
    <n v="4"/>
    <n v="296.17"/>
    <n v="37.03"/>
    <n v="1184.68"/>
  </r>
  <r>
    <s v="TXN-100923"/>
    <x v="923"/>
    <x v="0"/>
    <x v="3"/>
    <n v="18"/>
    <n v="204.42"/>
    <n v="38.409999999999997"/>
    <n v="3679.56"/>
  </r>
  <r>
    <s v="TXN-100924"/>
    <x v="924"/>
    <x v="2"/>
    <x v="3"/>
    <n v="9"/>
    <n v="102.73"/>
    <n v="27.42"/>
    <n v="924.57"/>
  </r>
  <r>
    <s v="TXN-100925"/>
    <x v="925"/>
    <x v="0"/>
    <x v="1"/>
    <n v="18"/>
    <n v="62.24"/>
    <n v="45.4"/>
    <n v="1120.32"/>
  </r>
  <r>
    <s v="TXN-100926"/>
    <x v="926"/>
    <x v="2"/>
    <x v="1"/>
    <n v="14"/>
    <n v="206.74"/>
    <n v="48.49"/>
    <n v="2894.36"/>
  </r>
  <r>
    <s v="TXN-100927"/>
    <x v="927"/>
    <x v="1"/>
    <x v="2"/>
    <n v="15"/>
    <n v="69.08"/>
    <n v="21.3"/>
    <n v="1036.2"/>
  </r>
  <r>
    <s v="TXN-100928"/>
    <x v="928"/>
    <x v="3"/>
    <x v="0"/>
    <n v="6"/>
    <n v="226.86"/>
    <n v="34.299999999999997"/>
    <n v="1361.16"/>
  </r>
  <r>
    <s v="TXN-100929"/>
    <x v="929"/>
    <x v="2"/>
    <x v="2"/>
    <n v="10"/>
    <n v="287.16000000000003"/>
    <n v="34.799999999999997"/>
    <n v="2871.6000000000004"/>
  </r>
  <r>
    <s v="TXN-100930"/>
    <x v="930"/>
    <x v="0"/>
    <x v="0"/>
    <n v="15"/>
    <n v="375"/>
    <n v="23.16"/>
    <n v="5625"/>
  </r>
  <r>
    <s v="TXN-100931"/>
    <x v="931"/>
    <x v="1"/>
    <x v="2"/>
    <n v="4"/>
    <n v="310.37"/>
    <n v="19.260000000000002"/>
    <n v="1241.48"/>
  </r>
  <r>
    <s v="TXN-100932"/>
    <x v="932"/>
    <x v="2"/>
    <x v="1"/>
    <n v="18"/>
    <n v="43.83"/>
    <n v="47.02"/>
    <n v="788.93999999999994"/>
  </r>
  <r>
    <s v="TXN-100933"/>
    <x v="933"/>
    <x v="2"/>
    <x v="1"/>
    <n v="18"/>
    <n v="149.08000000000001"/>
    <n v="40.549999999999997"/>
    <n v="2683.44"/>
  </r>
  <r>
    <s v="TXN-100934"/>
    <x v="934"/>
    <x v="1"/>
    <x v="0"/>
    <n v="17"/>
    <n v="140.63"/>
    <n v="10.15"/>
    <n v="2390.71"/>
  </r>
  <r>
    <s v="TXN-100935"/>
    <x v="935"/>
    <x v="2"/>
    <x v="2"/>
    <n v="12"/>
    <n v="413.08"/>
    <n v="10.39"/>
    <n v="4956.96"/>
  </r>
  <r>
    <s v="TXN-100936"/>
    <x v="936"/>
    <x v="3"/>
    <x v="0"/>
    <n v="7"/>
    <n v="392.55"/>
    <n v="46.51"/>
    <n v="2747.85"/>
  </r>
  <r>
    <s v="TXN-100937"/>
    <x v="937"/>
    <x v="2"/>
    <x v="1"/>
    <n v="16"/>
    <n v="176.33"/>
    <n v="8.66"/>
    <n v="2821.28"/>
  </r>
  <r>
    <s v="TXN-100938"/>
    <x v="938"/>
    <x v="3"/>
    <x v="2"/>
    <n v="11"/>
    <n v="46.42"/>
    <n v="35.979999999999997"/>
    <n v="510.62"/>
  </r>
  <r>
    <s v="TXN-100939"/>
    <x v="939"/>
    <x v="3"/>
    <x v="2"/>
    <n v="14"/>
    <n v="403.99"/>
    <n v="15.2"/>
    <n v="5655.8600000000006"/>
  </r>
  <r>
    <s v="TXN-100940"/>
    <x v="940"/>
    <x v="1"/>
    <x v="0"/>
    <n v="3"/>
    <n v="401.42"/>
    <n v="6.58"/>
    <n v="1204.26"/>
  </r>
  <r>
    <s v="TXN-100941"/>
    <x v="941"/>
    <x v="2"/>
    <x v="3"/>
    <n v="19"/>
    <n v="386.89"/>
    <n v="7.68"/>
    <n v="7350.91"/>
  </r>
  <r>
    <s v="TXN-100942"/>
    <x v="942"/>
    <x v="1"/>
    <x v="0"/>
    <n v="18"/>
    <n v="382.69"/>
    <n v="21.81"/>
    <n v="6888.42"/>
  </r>
  <r>
    <s v="TXN-100943"/>
    <x v="943"/>
    <x v="2"/>
    <x v="1"/>
    <n v="10"/>
    <n v="224.17"/>
    <n v="8.49"/>
    <n v="2241.6999999999998"/>
  </r>
  <r>
    <s v="TXN-100944"/>
    <x v="944"/>
    <x v="2"/>
    <x v="1"/>
    <n v="6"/>
    <n v="92.59"/>
    <n v="31.85"/>
    <n v="555.54"/>
  </r>
  <r>
    <s v="TXN-100945"/>
    <x v="945"/>
    <x v="0"/>
    <x v="1"/>
    <n v="13"/>
    <n v="222.97"/>
    <n v="34.130000000000003"/>
    <n v="2898.61"/>
  </r>
  <r>
    <s v="TXN-100946"/>
    <x v="946"/>
    <x v="2"/>
    <x v="1"/>
    <n v="10"/>
    <n v="230.4"/>
    <n v="21.81"/>
    <n v="2304"/>
  </r>
  <r>
    <s v="TXN-100947"/>
    <x v="947"/>
    <x v="1"/>
    <x v="1"/>
    <n v="18"/>
    <n v="228.38"/>
    <n v="38.43"/>
    <n v="4110.84"/>
  </r>
  <r>
    <s v="TXN-100948"/>
    <x v="948"/>
    <x v="3"/>
    <x v="3"/>
    <n v="16"/>
    <n v="249.6"/>
    <n v="27.05"/>
    <n v="3993.6"/>
  </r>
  <r>
    <s v="TXN-100949"/>
    <x v="949"/>
    <x v="2"/>
    <x v="2"/>
    <n v="6"/>
    <n v="127.45"/>
    <n v="24.36"/>
    <n v="764.7"/>
  </r>
  <r>
    <s v="TXN-100950"/>
    <x v="950"/>
    <x v="0"/>
    <x v="0"/>
    <n v="13"/>
    <n v="174.63"/>
    <n v="23.31"/>
    <n v="2270.19"/>
  </r>
  <r>
    <s v="TXN-100951"/>
    <x v="951"/>
    <x v="1"/>
    <x v="0"/>
    <n v="4"/>
    <n v="204.15"/>
    <n v="24.4"/>
    <n v="816.6"/>
  </r>
  <r>
    <s v="TXN-100952"/>
    <x v="952"/>
    <x v="2"/>
    <x v="1"/>
    <n v="14"/>
    <n v="72.47"/>
    <n v="48.55"/>
    <n v="1014.5799999999999"/>
  </r>
  <r>
    <s v="TXN-100953"/>
    <x v="953"/>
    <x v="1"/>
    <x v="0"/>
    <n v="1"/>
    <n v="213.36"/>
    <n v="35.659999999999997"/>
    <n v="213.36"/>
  </r>
  <r>
    <s v="TXN-100954"/>
    <x v="954"/>
    <x v="0"/>
    <x v="1"/>
    <n v="5"/>
    <n v="367.65"/>
    <n v="19.18"/>
    <n v="1838.25"/>
  </r>
  <r>
    <s v="TXN-100955"/>
    <x v="955"/>
    <x v="0"/>
    <x v="3"/>
    <n v="8"/>
    <n v="375.29"/>
    <n v="38.020000000000003"/>
    <n v="3002.32"/>
  </r>
  <r>
    <s v="TXN-100956"/>
    <x v="956"/>
    <x v="1"/>
    <x v="3"/>
    <n v="12"/>
    <n v="194.32"/>
    <n v="19.86"/>
    <n v="2331.84"/>
  </r>
  <r>
    <s v="TXN-100957"/>
    <x v="957"/>
    <x v="2"/>
    <x v="2"/>
    <n v="2"/>
    <n v="240.92"/>
    <n v="10.66"/>
    <n v="481.84"/>
  </r>
  <r>
    <s v="TXN-100958"/>
    <x v="958"/>
    <x v="3"/>
    <x v="3"/>
    <n v="12"/>
    <n v="30.12"/>
    <n v="26.39"/>
    <n v="361.44"/>
  </r>
  <r>
    <s v="TXN-100959"/>
    <x v="959"/>
    <x v="0"/>
    <x v="3"/>
    <n v="5"/>
    <n v="308.54000000000002"/>
    <n v="38.799999999999997"/>
    <n v="1542.7"/>
  </r>
  <r>
    <s v="TXN-100960"/>
    <x v="960"/>
    <x v="2"/>
    <x v="2"/>
    <n v="5"/>
    <n v="191.3"/>
    <n v="21.99"/>
    <n v="956.5"/>
  </r>
  <r>
    <s v="TXN-100961"/>
    <x v="961"/>
    <x v="2"/>
    <x v="0"/>
    <n v="13"/>
    <n v="209.06"/>
    <n v="44.11"/>
    <n v="2717.78"/>
  </r>
  <r>
    <s v="TXN-100962"/>
    <x v="962"/>
    <x v="3"/>
    <x v="1"/>
    <n v="9"/>
    <n v="395.11"/>
    <n v="22.41"/>
    <n v="3555.9900000000002"/>
  </r>
  <r>
    <s v="TXN-100963"/>
    <x v="963"/>
    <x v="0"/>
    <x v="1"/>
    <n v="10"/>
    <n v="216.17"/>
    <n v="20.74"/>
    <n v="2161.6999999999998"/>
  </r>
  <r>
    <s v="TXN-100964"/>
    <x v="964"/>
    <x v="0"/>
    <x v="0"/>
    <n v="1"/>
    <n v="24.71"/>
    <n v="49.92"/>
    <n v="24.71"/>
  </r>
  <r>
    <s v="TXN-100965"/>
    <x v="965"/>
    <x v="2"/>
    <x v="2"/>
    <n v="3"/>
    <n v="114.34"/>
    <n v="26.71"/>
    <n v="343.02"/>
  </r>
  <r>
    <s v="TXN-100966"/>
    <x v="966"/>
    <x v="2"/>
    <x v="0"/>
    <n v="18"/>
    <n v="222.16"/>
    <n v="41.23"/>
    <n v="3998.88"/>
  </r>
  <r>
    <s v="TXN-100967"/>
    <x v="967"/>
    <x v="3"/>
    <x v="3"/>
    <n v="12"/>
    <n v="199.9"/>
    <n v="41.22"/>
    <n v="2398.8000000000002"/>
  </r>
  <r>
    <s v="TXN-100968"/>
    <x v="968"/>
    <x v="3"/>
    <x v="2"/>
    <n v="3"/>
    <n v="389.33"/>
    <n v="46.69"/>
    <n v="1167.99"/>
  </r>
  <r>
    <s v="TXN-100969"/>
    <x v="969"/>
    <x v="0"/>
    <x v="2"/>
    <n v="9"/>
    <n v="251.06"/>
    <n v="8.82"/>
    <n v="2259.54"/>
  </r>
  <r>
    <s v="TXN-100970"/>
    <x v="970"/>
    <x v="1"/>
    <x v="2"/>
    <n v="2"/>
    <n v="315.14999999999998"/>
    <n v="17.2"/>
    <n v="630.29999999999995"/>
  </r>
  <r>
    <s v="TXN-100971"/>
    <x v="971"/>
    <x v="0"/>
    <x v="1"/>
    <n v="3"/>
    <n v="219.42"/>
    <n v="39.549999999999997"/>
    <n v="658.26"/>
  </r>
  <r>
    <s v="TXN-100972"/>
    <x v="972"/>
    <x v="2"/>
    <x v="0"/>
    <n v="14"/>
    <n v="206.53"/>
    <n v="30.32"/>
    <n v="2891.42"/>
  </r>
  <r>
    <s v="TXN-100973"/>
    <x v="973"/>
    <x v="0"/>
    <x v="2"/>
    <n v="4"/>
    <n v="209.41"/>
    <n v="30.18"/>
    <n v="837.64"/>
  </r>
  <r>
    <s v="TXN-100974"/>
    <x v="974"/>
    <x v="1"/>
    <x v="2"/>
    <n v="19"/>
    <n v="194.05"/>
    <n v="12.48"/>
    <n v="3686.9500000000003"/>
  </r>
  <r>
    <s v="TXN-100975"/>
    <x v="975"/>
    <x v="3"/>
    <x v="2"/>
    <n v="13"/>
    <n v="249.51"/>
    <n v="17.649999999999999"/>
    <n v="3243.63"/>
  </r>
  <r>
    <s v="TXN-100976"/>
    <x v="976"/>
    <x v="1"/>
    <x v="0"/>
    <n v="7"/>
    <n v="124.32"/>
    <n v="28.46"/>
    <n v="870.24"/>
  </r>
  <r>
    <s v="TXN-100977"/>
    <x v="977"/>
    <x v="1"/>
    <x v="1"/>
    <n v="12"/>
    <n v="402.66"/>
    <n v="17.47"/>
    <n v="4831.92"/>
  </r>
  <r>
    <s v="TXN-100978"/>
    <x v="978"/>
    <x v="1"/>
    <x v="3"/>
    <n v="3"/>
    <n v="160.22999999999999"/>
    <n v="14.46"/>
    <n v="480.68999999999994"/>
  </r>
  <r>
    <s v="TXN-100979"/>
    <x v="979"/>
    <x v="3"/>
    <x v="1"/>
    <n v="9"/>
    <n v="79.599999999999994"/>
    <n v="8.9499999999999993"/>
    <n v="716.4"/>
  </r>
  <r>
    <s v="TXN-100980"/>
    <x v="980"/>
    <x v="1"/>
    <x v="2"/>
    <n v="2"/>
    <n v="57.45"/>
    <n v="12.01"/>
    <n v="114.9"/>
  </r>
  <r>
    <s v="TXN-100981"/>
    <x v="981"/>
    <x v="1"/>
    <x v="1"/>
    <n v="9"/>
    <n v="21.33"/>
    <n v="39.6"/>
    <n v="191.96999999999997"/>
  </r>
  <r>
    <s v="TXN-100982"/>
    <x v="982"/>
    <x v="1"/>
    <x v="1"/>
    <n v="12"/>
    <n v="199.23"/>
    <n v="37.35"/>
    <n v="2390.7599999999998"/>
  </r>
  <r>
    <s v="TXN-100983"/>
    <x v="983"/>
    <x v="2"/>
    <x v="3"/>
    <n v="12"/>
    <n v="97.02"/>
    <n v="7.06"/>
    <n v="1164.24"/>
  </r>
  <r>
    <s v="TXN-100984"/>
    <x v="984"/>
    <x v="1"/>
    <x v="0"/>
    <n v="15"/>
    <n v="24.91"/>
    <n v="14.15"/>
    <n v="373.65"/>
  </r>
  <r>
    <s v="TXN-100985"/>
    <x v="985"/>
    <x v="3"/>
    <x v="0"/>
    <n v="2"/>
    <n v="241.45"/>
    <n v="30.22"/>
    <n v="482.9"/>
  </r>
  <r>
    <s v="TXN-100986"/>
    <x v="986"/>
    <x v="1"/>
    <x v="1"/>
    <n v="18"/>
    <n v="310.95"/>
    <n v="19.52"/>
    <n v="5597.0999999999995"/>
  </r>
  <r>
    <s v="TXN-100987"/>
    <x v="987"/>
    <x v="1"/>
    <x v="1"/>
    <n v="13"/>
    <n v="52.76"/>
    <n v="42.05"/>
    <n v="685.88"/>
  </r>
  <r>
    <s v="TXN-100988"/>
    <x v="988"/>
    <x v="3"/>
    <x v="0"/>
    <n v="14"/>
    <n v="215.77"/>
    <n v="40.32"/>
    <n v="3020.78"/>
  </r>
  <r>
    <s v="TXN-100989"/>
    <x v="989"/>
    <x v="1"/>
    <x v="0"/>
    <n v="5"/>
    <n v="338.61"/>
    <n v="45.12"/>
    <n v="1693.0500000000002"/>
  </r>
  <r>
    <s v="TXN-100990"/>
    <x v="990"/>
    <x v="3"/>
    <x v="3"/>
    <n v="10"/>
    <n v="443.83"/>
    <n v="30.33"/>
    <n v="4438.3"/>
  </r>
  <r>
    <s v="TXN-100991"/>
    <x v="991"/>
    <x v="1"/>
    <x v="2"/>
    <n v="12"/>
    <n v="305.39"/>
    <n v="20.84"/>
    <n v="3664.68"/>
  </r>
  <r>
    <s v="TXN-100992"/>
    <x v="992"/>
    <x v="3"/>
    <x v="1"/>
    <n v="10"/>
    <n v="121.88"/>
    <n v="32.270000000000003"/>
    <n v="1218.8"/>
  </r>
  <r>
    <s v="TXN-100993"/>
    <x v="993"/>
    <x v="1"/>
    <x v="0"/>
    <n v="11"/>
    <n v="326.83999999999997"/>
    <n v="9.01"/>
    <n v="3595.24"/>
  </r>
  <r>
    <s v="TXN-100994"/>
    <x v="994"/>
    <x v="1"/>
    <x v="1"/>
    <n v="2"/>
    <n v="275.3"/>
    <n v="5.43"/>
    <n v="550.6"/>
  </r>
  <r>
    <s v="TXN-100995"/>
    <x v="995"/>
    <x v="2"/>
    <x v="1"/>
    <n v="5"/>
    <n v="107.53"/>
    <n v="5.77"/>
    <n v="537.65"/>
  </r>
  <r>
    <s v="TXN-100996"/>
    <x v="996"/>
    <x v="2"/>
    <x v="0"/>
    <n v="7"/>
    <n v="385.31"/>
    <n v="23.34"/>
    <n v="2697.17"/>
  </r>
  <r>
    <s v="TXN-100997"/>
    <x v="997"/>
    <x v="1"/>
    <x v="3"/>
    <n v="6"/>
    <n v="201.21"/>
    <n v="15.26"/>
    <n v="1207.26"/>
  </r>
  <r>
    <s v="TXN-100998"/>
    <x v="998"/>
    <x v="1"/>
    <x v="1"/>
    <n v="3"/>
    <n v="433.48"/>
    <n v="12.08"/>
    <n v="1300.44"/>
  </r>
  <r>
    <s v="TXN-100999"/>
    <x v="999"/>
    <x v="0"/>
    <x v="3"/>
    <n v="13"/>
    <n v="329.6"/>
    <n v="32.69"/>
    <n v="4284.8"/>
  </r>
  <r>
    <s v="TXN-101000"/>
    <x v="1000"/>
    <x v="3"/>
    <x v="0"/>
    <n v="3"/>
    <n v="295.56"/>
    <n v="49.78"/>
    <n v="886.68000000000006"/>
  </r>
  <r>
    <s v="TXN-101001"/>
    <x v="1001"/>
    <x v="0"/>
    <x v="2"/>
    <n v="6"/>
    <n v="331.97"/>
    <n v="13"/>
    <n v="1991.8200000000002"/>
  </r>
  <r>
    <s v="TXN-101002"/>
    <x v="1002"/>
    <x v="2"/>
    <x v="2"/>
    <n v="11"/>
    <n v="223.23"/>
    <n v="29.59"/>
    <n v="2455.5299999999997"/>
  </r>
  <r>
    <s v="TXN-101003"/>
    <x v="1003"/>
    <x v="2"/>
    <x v="1"/>
    <n v="17"/>
    <n v="235.02"/>
    <n v="10.39"/>
    <n v="3995.34"/>
  </r>
  <r>
    <s v="TXN-101004"/>
    <x v="1004"/>
    <x v="2"/>
    <x v="0"/>
    <n v="10"/>
    <n v="385.35"/>
    <n v="47.04"/>
    <n v="3853.5"/>
  </r>
  <r>
    <s v="TXN-101005"/>
    <x v="1005"/>
    <x v="2"/>
    <x v="3"/>
    <n v="12"/>
    <n v="311.36"/>
    <n v="18.13"/>
    <n v="3736.32"/>
  </r>
  <r>
    <s v="TXN-101006"/>
    <x v="1006"/>
    <x v="1"/>
    <x v="1"/>
    <n v="17"/>
    <n v="405.35"/>
    <n v="44.53"/>
    <n v="6890.9500000000007"/>
  </r>
  <r>
    <s v="TXN-101007"/>
    <x v="1007"/>
    <x v="2"/>
    <x v="0"/>
    <n v="4"/>
    <n v="402.56"/>
    <n v="17.739999999999998"/>
    <n v="1610.24"/>
  </r>
  <r>
    <s v="TXN-101008"/>
    <x v="1008"/>
    <x v="1"/>
    <x v="0"/>
    <n v="2"/>
    <n v="439.78"/>
    <n v="41.27"/>
    <n v="879.56"/>
  </r>
  <r>
    <s v="TXN-101009"/>
    <x v="1009"/>
    <x v="1"/>
    <x v="3"/>
    <n v="11"/>
    <n v="319.74"/>
    <n v="14.42"/>
    <n v="3517.1400000000003"/>
  </r>
  <r>
    <s v="TXN-101010"/>
    <x v="1010"/>
    <x v="2"/>
    <x v="1"/>
    <n v="7"/>
    <n v="233.75"/>
    <n v="18.18"/>
    <n v="1636.25"/>
  </r>
  <r>
    <s v="TXN-101011"/>
    <x v="1011"/>
    <x v="2"/>
    <x v="0"/>
    <n v="2"/>
    <n v="87.76"/>
    <n v="13.66"/>
    <n v="175.52"/>
  </r>
  <r>
    <s v="TXN-101012"/>
    <x v="1012"/>
    <x v="3"/>
    <x v="0"/>
    <n v="18"/>
    <n v="321.99"/>
    <n v="16.89"/>
    <n v="5795.82"/>
  </r>
  <r>
    <s v="TXN-101013"/>
    <x v="1013"/>
    <x v="0"/>
    <x v="0"/>
    <n v="4"/>
    <n v="142.19"/>
    <n v="42.57"/>
    <n v="568.76"/>
  </r>
  <r>
    <s v="TXN-101014"/>
    <x v="1014"/>
    <x v="2"/>
    <x v="3"/>
    <n v="8"/>
    <n v="138.44"/>
    <n v="33.76"/>
    <n v="1107.52"/>
  </r>
  <r>
    <s v="TXN-101015"/>
    <x v="1015"/>
    <x v="3"/>
    <x v="1"/>
    <n v="14"/>
    <n v="119.04"/>
    <n v="23.26"/>
    <n v="1666.5600000000002"/>
  </r>
  <r>
    <s v="TXN-101016"/>
    <x v="1016"/>
    <x v="3"/>
    <x v="1"/>
    <n v="12"/>
    <n v="395.74"/>
    <n v="48.72"/>
    <n v="4748.88"/>
  </r>
  <r>
    <s v="TXN-101017"/>
    <x v="1017"/>
    <x v="0"/>
    <x v="1"/>
    <n v="18"/>
    <n v="392.63"/>
    <n v="25.92"/>
    <n v="7067.34"/>
  </r>
  <r>
    <s v="TXN-101018"/>
    <x v="1018"/>
    <x v="1"/>
    <x v="1"/>
    <n v="11"/>
    <n v="289.66000000000003"/>
    <n v="48.64"/>
    <n v="3186.26"/>
  </r>
  <r>
    <s v="TXN-101019"/>
    <x v="1019"/>
    <x v="2"/>
    <x v="2"/>
    <n v="8"/>
    <n v="221.01"/>
    <n v="13.85"/>
    <n v="1768.08"/>
  </r>
  <r>
    <s v="TXN-101020"/>
    <x v="1020"/>
    <x v="0"/>
    <x v="2"/>
    <n v="2"/>
    <n v="307.52999999999997"/>
    <n v="45.71"/>
    <n v="615.05999999999995"/>
  </r>
  <r>
    <s v="TXN-101021"/>
    <x v="1021"/>
    <x v="2"/>
    <x v="1"/>
    <n v="15"/>
    <n v="279.33999999999997"/>
    <n v="5.62"/>
    <n v="4190.0999999999995"/>
  </r>
  <r>
    <s v="TXN-101022"/>
    <x v="1022"/>
    <x v="3"/>
    <x v="3"/>
    <n v="9"/>
    <n v="196.14"/>
    <n v="29.54"/>
    <n v="1765.2599999999998"/>
  </r>
  <r>
    <s v="TXN-101023"/>
    <x v="1023"/>
    <x v="3"/>
    <x v="2"/>
    <n v="19"/>
    <n v="180.45"/>
    <n v="24.04"/>
    <n v="3428.5499999999997"/>
  </r>
  <r>
    <s v="TXN-101024"/>
    <x v="1024"/>
    <x v="1"/>
    <x v="0"/>
    <n v="8"/>
    <n v="181.82"/>
    <n v="28.63"/>
    <n v="1454.56"/>
  </r>
  <r>
    <s v="TXN-101025"/>
    <x v="1025"/>
    <x v="3"/>
    <x v="2"/>
    <n v="19"/>
    <n v="271.48"/>
    <n v="29.91"/>
    <n v="5158.1200000000008"/>
  </r>
  <r>
    <s v="TXN-101026"/>
    <x v="1026"/>
    <x v="3"/>
    <x v="0"/>
    <n v="5"/>
    <n v="296.91000000000003"/>
    <n v="22.51"/>
    <n v="1484.5500000000002"/>
  </r>
  <r>
    <s v="TXN-101027"/>
    <x v="1027"/>
    <x v="0"/>
    <x v="1"/>
    <n v="11"/>
    <n v="211.78"/>
    <n v="49.92"/>
    <n v="2329.58"/>
  </r>
  <r>
    <s v="TXN-101028"/>
    <x v="1028"/>
    <x v="2"/>
    <x v="2"/>
    <n v="15"/>
    <n v="436.4"/>
    <n v="48.94"/>
    <n v="6546"/>
  </r>
  <r>
    <s v="TXN-101029"/>
    <x v="1029"/>
    <x v="2"/>
    <x v="3"/>
    <n v="8"/>
    <n v="51.93"/>
    <n v="48.28"/>
    <n v="415.44"/>
  </r>
  <r>
    <s v="TXN-101030"/>
    <x v="1030"/>
    <x v="0"/>
    <x v="2"/>
    <n v="19"/>
    <n v="166.29"/>
    <n v="49.06"/>
    <n v="3159.5099999999998"/>
  </r>
  <r>
    <s v="TXN-101031"/>
    <x v="1031"/>
    <x v="1"/>
    <x v="2"/>
    <n v="8"/>
    <n v="197.59"/>
    <n v="40.69"/>
    <n v="1580.72"/>
  </r>
  <r>
    <s v="TXN-101032"/>
    <x v="1032"/>
    <x v="2"/>
    <x v="2"/>
    <n v="19"/>
    <n v="22.85"/>
    <n v="49.49"/>
    <n v="434.15000000000003"/>
  </r>
  <r>
    <s v="TXN-101033"/>
    <x v="1033"/>
    <x v="3"/>
    <x v="1"/>
    <n v="18"/>
    <n v="174.07"/>
    <n v="45.16"/>
    <n v="3133.2599999999998"/>
  </r>
  <r>
    <s v="TXN-101034"/>
    <x v="1034"/>
    <x v="2"/>
    <x v="3"/>
    <n v="10"/>
    <n v="134.43"/>
    <n v="23.72"/>
    <n v="1344.3000000000002"/>
  </r>
  <r>
    <s v="TXN-101035"/>
    <x v="1035"/>
    <x v="3"/>
    <x v="2"/>
    <n v="7"/>
    <n v="235.37"/>
    <n v="40.31"/>
    <n v="1647.5900000000001"/>
  </r>
  <r>
    <s v="TXN-101036"/>
    <x v="1036"/>
    <x v="1"/>
    <x v="3"/>
    <n v="9"/>
    <n v="161.66999999999999"/>
    <n v="46.04"/>
    <n v="1455.03"/>
  </r>
  <r>
    <s v="TXN-101037"/>
    <x v="1037"/>
    <x v="0"/>
    <x v="1"/>
    <n v="1"/>
    <n v="331.03"/>
    <n v="37.07"/>
    <n v="331.03"/>
  </r>
  <r>
    <s v="TXN-101038"/>
    <x v="1038"/>
    <x v="2"/>
    <x v="0"/>
    <n v="19"/>
    <n v="237.07"/>
    <n v="24.03"/>
    <n v="4504.33"/>
  </r>
  <r>
    <s v="TXN-101039"/>
    <x v="1039"/>
    <x v="0"/>
    <x v="2"/>
    <n v="5"/>
    <n v="71.88"/>
    <n v="7.96"/>
    <n v="359.4"/>
  </r>
  <r>
    <s v="TXN-101040"/>
    <x v="1040"/>
    <x v="2"/>
    <x v="3"/>
    <n v="19"/>
    <n v="341.4"/>
    <n v="41.44"/>
    <n v="6486.5999999999995"/>
  </r>
  <r>
    <s v="TXN-101041"/>
    <x v="1041"/>
    <x v="3"/>
    <x v="3"/>
    <n v="1"/>
    <n v="58.61"/>
    <n v="47.87"/>
    <n v="58.61"/>
  </r>
  <r>
    <s v="TXN-101042"/>
    <x v="1042"/>
    <x v="0"/>
    <x v="1"/>
    <n v="15"/>
    <n v="380.07"/>
    <n v="21.31"/>
    <n v="5701.05"/>
  </r>
  <r>
    <s v="TXN-101043"/>
    <x v="1043"/>
    <x v="2"/>
    <x v="2"/>
    <n v="16"/>
    <n v="420.2"/>
    <n v="11.84"/>
    <n v="6723.2"/>
  </r>
  <r>
    <s v="TXN-101044"/>
    <x v="1044"/>
    <x v="3"/>
    <x v="0"/>
    <n v="7"/>
    <n v="155.6"/>
    <n v="19.690000000000001"/>
    <n v="1089.2"/>
  </r>
  <r>
    <s v="TXN-101045"/>
    <x v="1045"/>
    <x v="0"/>
    <x v="3"/>
    <n v="12"/>
    <n v="417.91"/>
    <n v="31.22"/>
    <n v="5014.92"/>
  </r>
  <r>
    <s v="TXN-101046"/>
    <x v="1046"/>
    <x v="0"/>
    <x v="2"/>
    <n v="8"/>
    <n v="360.06"/>
    <n v="19.260000000000002"/>
    <n v="2880.48"/>
  </r>
  <r>
    <s v="TXN-101047"/>
    <x v="1047"/>
    <x v="2"/>
    <x v="0"/>
    <n v="5"/>
    <n v="416.3"/>
    <n v="32.479999999999997"/>
    <n v="2081.5"/>
  </r>
  <r>
    <s v="TXN-101048"/>
    <x v="1048"/>
    <x v="2"/>
    <x v="3"/>
    <n v="10"/>
    <n v="304.99"/>
    <n v="48.51"/>
    <n v="3049.9"/>
  </r>
  <r>
    <s v="TXN-101049"/>
    <x v="1049"/>
    <x v="2"/>
    <x v="3"/>
    <n v="5"/>
    <n v="117.89"/>
    <n v="35.18"/>
    <n v="589.45000000000005"/>
  </r>
  <r>
    <s v="TXN-101050"/>
    <x v="1050"/>
    <x v="3"/>
    <x v="0"/>
    <n v="17"/>
    <n v="404.17"/>
    <n v="21.32"/>
    <n v="6870.89"/>
  </r>
  <r>
    <s v="TXN-101051"/>
    <x v="1051"/>
    <x v="2"/>
    <x v="0"/>
    <n v="5"/>
    <n v="95.56"/>
    <n v="47.11"/>
    <n v="477.8"/>
  </r>
  <r>
    <s v="TXN-101052"/>
    <x v="1052"/>
    <x v="0"/>
    <x v="1"/>
    <n v="15"/>
    <n v="108.07"/>
    <n v="30.45"/>
    <n v="1621.05"/>
  </r>
  <r>
    <s v="TXN-101053"/>
    <x v="1053"/>
    <x v="0"/>
    <x v="2"/>
    <n v="13"/>
    <n v="133.28"/>
    <n v="10.78"/>
    <n v="1732.64"/>
  </r>
  <r>
    <s v="TXN-101054"/>
    <x v="1054"/>
    <x v="2"/>
    <x v="2"/>
    <n v="1"/>
    <n v="147.69999999999999"/>
    <n v="27.45"/>
    <n v="147.69999999999999"/>
  </r>
  <r>
    <s v="TXN-101055"/>
    <x v="1055"/>
    <x v="2"/>
    <x v="1"/>
    <n v="11"/>
    <n v="239.04"/>
    <n v="34.409999999999997"/>
    <n v="2629.44"/>
  </r>
  <r>
    <s v="TXN-101056"/>
    <x v="1056"/>
    <x v="1"/>
    <x v="3"/>
    <n v="1"/>
    <n v="325.5"/>
    <n v="42.72"/>
    <n v="325.5"/>
  </r>
  <r>
    <s v="TXN-101057"/>
    <x v="1057"/>
    <x v="0"/>
    <x v="0"/>
    <n v="11"/>
    <n v="417.94"/>
    <n v="47.14"/>
    <n v="4597.34"/>
  </r>
  <r>
    <s v="TXN-101058"/>
    <x v="1058"/>
    <x v="3"/>
    <x v="0"/>
    <n v="18"/>
    <n v="53.93"/>
    <n v="19.28"/>
    <n v="970.74"/>
  </r>
  <r>
    <s v="TXN-101059"/>
    <x v="1059"/>
    <x v="1"/>
    <x v="0"/>
    <n v="18"/>
    <n v="430.17"/>
    <n v="12"/>
    <n v="7743.06"/>
  </r>
  <r>
    <s v="TXN-101060"/>
    <x v="1060"/>
    <x v="2"/>
    <x v="3"/>
    <n v="16"/>
    <n v="415.81"/>
    <n v="8.32"/>
    <n v="6652.96"/>
  </r>
  <r>
    <s v="TXN-101061"/>
    <x v="1061"/>
    <x v="2"/>
    <x v="0"/>
    <n v="13"/>
    <n v="38.96"/>
    <n v="38.229999999999997"/>
    <n v="506.48"/>
  </r>
  <r>
    <s v="TXN-101062"/>
    <x v="1062"/>
    <x v="0"/>
    <x v="0"/>
    <n v="7"/>
    <n v="172.06"/>
    <n v="40.78"/>
    <n v="1204.42"/>
  </r>
  <r>
    <s v="TXN-101063"/>
    <x v="1063"/>
    <x v="2"/>
    <x v="1"/>
    <n v="1"/>
    <n v="368.81"/>
    <n v="23.42"/>
    <n v="368.81"/>
  </r>
  <r>
    <s v="TXN-101064"/>
    <x v="1064"/>
    <x v="3"/>
    <x v="3"/>
    <n v="16"/>
    <n v="281.23"/>
    <n v="22.82"/>
    <n v="4499.68"/>
  </r>
  <r>
    <s v="TXN-101065"/>
    <x v="1065"/>
    <x v="0"/>
    <x v="2"/>
    <n v="1"/>
    <n v="354.02"/>
    <n v="47.94"/>
    <n v="354.02"/>
  </r>
  <r>
    <s v="TXN-101066"/>
    <x v="1066"/>
    <x v="2"/>
    <x v="1"/>
    <n v="17"/>
    <n v="327.92"/>
    <n v="46.25"/>
    <n v="5574.64"/>
  </r>
  <r>
    <s v="TXN-101067"/>
    <x v="1067"/>
    <x v="0"/>
    <x v="1"/>
    <n v="6"/>
    <n v="231.35"/>
    <n v="15.5"/>
    <n v="1388.1"/>
  </r>
  <r>
    <s v="TXN-101068"/>
    <x v="1068"/>
    <x v="2"/>
    <x v="2"/>
    <n v="2"/>
    <n v="33.409999999999997"/>
    <n v="40.14"/>
    <n v="66.819999999999993"/>
  </r>
  <r>
    <s v="TXN-101069"/>
    <x v="1069"/>
    <x v="2"/>
    <x v="1"/>
    <n v="17"/>
    <n v="269.36"/>
    <n v="33.020000000000003"/>
    <n v="4579.12"/>
  </r>
  <r>
    <s v="TXN-101070"/>
    <x v="1070"/>
    <x v="2"/>
    <x v="3"/>
    <n v="6"/>
    <n v="36.6"/>
    <n v="11.94"/>
    <n v="219.60000000000002"/>
  </r>
  <r>
    <s v="TXN-101071"/>
    <x v="1071"/>
    <x v="3"/>
    <x v="0"/>
    <n v="14"/>
    <n v="277.82"/>
    <n v="21.05"/>
    <n v="3889.48"/>
  </r>
  <r>
    <s v="TXN-101072"/>
    <x v="1072"/>
    <x v="3"/>
    <x v="3"/>
    <n v="18"/>
    <n v="363.28"/>
    <n v="12.99"/>
    <n v="6539.0399999999991"/>
  </r>
  <r>
    <s v="TXN-101073"/>
    <x v="1073"/>
    <x v="0"/>
    <x v="2"/>
    <n v="6"/>
    <n v="269.68"/>
    <n v="18.28"/>
    <n v="1618.08"/>
  </r>
  <r>
    <s v="TXN-101074"/>
    <x v="1074"/>
    <x v="2"/>
    <x v="2"/>
    <n v="10"/>
    <n v="448.71"/>
    <n v="32.69"/>
    <n v="4487.0999999999995"/>
  </r>
  <r>
    <s v="TXN-101075"/>
    <x v="1075"/>
    <x v="2"/>
    <x v="1"/>
    <n v="18"/>
    <n v="213.57"/>
    <n v="21.89"/>
    <n v="3844.2599999999998"/>
  </r>
  <r>
    <s v="TXN-101076"/>
    <x v="1076"/>
    <x v="3"/>
    <x v="3"/>
    <n v="9"/>
    <n v="340.87"/>
    <n v="22.73"/>
    <n v="3067.83"/>
  </r>
  <r>
    <s v="TXN-101077"/>
    <x v="1077"/>
    <x v="2"/>
    <x v="3"/>
    <n v="8"/>
    <n v="305.39999999999998"/>
    <n v="29.28"/>
    <n v="2443.1999999999998"/>
  </r>
  <r>
    <s v="TXN-101078"/>
    <x v="1078"/>
    <x v="3"/>
    <x v="2"/>
    <n v="10"/>
    <n v="446.28"/>
    <n v="8.93"/>
    <n v="4462.7999999999993"/>
  </r>
  <r>
    <s v="TXN-101079"/>
    <x v="1079"/>
    <x v="2"/>
    <x v="3"/>
    <n v="17"/>
    <n v="325.39"/>
    <n v="38.25"/>
    <n v="5531.63"/>
  </r>
  <r>
    <s v="TXN-101080"/>
    <x v="1080"/>
    <x v="0"/>
    <x v="2"/>
    <n v="6"/>
    <n v="86.77"/>
    <n v="23.08"/>
    <n v="520.62"/>
  </r>
  <r>
    <s v="TXN-101081"/>
    <x v="1081"/>
    <x v="2"/>
    <x v="3"/>
    <n v="14"/>
    <n v="430.67"/>
    <n v="26.62"/>
    <n v="6029.38"/>
  </r>
  <r>
    <s v="TXN-101082"/>
    <x v="1082"/>
    <x v="2"/>
    <x v="3"/>
    <n v="6"/>
    <n v="305.64999999999998"/>
    <n v="48.84"/>
    <n v="1833.8999999999999"/>
  </r>
  <r>
    <s v="TXN-101083"/>
    <x v="1083"/>
    <x v="1"/>
    <x v="3"/>
    <n v="7"/>
    <n v="41.28"/>
    <n v="20.5"/>
    <n v="288.96000000000004"/>
  </r>
  <r>
    <s v="TXN-101084"/>
    <x v="1084"/>
    <x v="3"/>
    <x v="2"/>
    <n v="12"/>
    <n v="301.20999999999998"/>
    <n v="34.17"/>
    <n v="3614.5199999999995"/>
  </r>
  <r>
    <s v="TXN-101085"/>
    <x v="1085"/>
    <x v="2"/>
    <x v="1"/>
    <n v="3"/>
    <n v="399.22"/>
    <n v="22.66"/>
    <n v="1197.6600000000001"/>
  </r>
  <r>
    <s v="TXN-101086"/>
    <x v="1086"/>
    <x v="2"/>
    <x v="3"/>
    <n v="14"/>
    <n v="266.22000000000003"/>
    <n v="45.24"/>
    <n v="3727.0800000000004"/>
  </r>
  <r>
    <s v="TXN-101087"/>
    <x v="1087"/>
    <x v="1"/>
    <x v="2"/>
    <n v="19"/>
    <n v="169.32"/>
    <n v="43.1"/>
    <n v="3217.08"/>
  </r>
  <r>
    <s v="TXN-101088"/>
    <x v="1088"/>
    <x v="1"/>
    <x v="2"/>
    <n v="16"/>
    <n v="372.19"/>
    <n v="15.87"/>
    <n v="5955.04"/>
  </r>
  <r>
    <s v="TXN-101089"/>
    <x v="1089"/>
    <x v="3"/>
    <x v="3"/>
    <n v="7"/>
    <n v="355.5"/>
    <n v="36.130000000000003"/>
    <n v="2488.5"/>
  </r>
  <r>
    <s v="TXN-101090"/>
    <x v="1090"/>
    <x v="1"/>
    <x v="3"/>
    <n v="8"/>
    <n v="251.95"/>
    <n v="7.93"/>
    <n v="2015.6"/>
  </r>
  <r>
    <s v="TXN-101091"/>
    <x v="1091"/>
    <x v="0"/>
    <x v="1"/>
    <n v="18"/>
    <n v="82.57"/>
    <n v="48.34"/>
    <n v="1486.2599999999998"/>
  </r>
  <r>
    <s v="TXN-101092"/>
    <x v="1092"/>
    <x v="1"/>
    <x v="2"/>
    <n v="13"/>
    <n v="124.55"/>
    <n v="20.7"/>
    <n v="1619.1499999999999"/>
  </r>
  <r>
    <s v="TXN-101093"/>
    <x v="1093"/>
    <x v="0"/>
    <x v="2"/>
    <n v="9"/>
    <n v="336.37"/>
    <n v="42.43"/>
    <n v="3027.33"/>
  </r>
  <r>
    <s v="TXN-101094"/>
    <x v="1094"/>
    <x v="3"/>
    <x v="0"/>
    <n v="10"/>
    <n v="365.74"/>
    <n v="19.329999999999998"/>
    <n v="3657.4"/>
  </r>
  <r>
    <s v="TXN-101095"/>
    <x v="1095"/>
    <x v="3"/>
    <x v="2"/>
    <n v="9"/>
    <n v="136.84"/>
    <n v="33.47"/>
    <n v="1231.56"/>
  </r>
  <r>
    <s v="TXN-101096"/>
    <x v="1096"/>
    <x v="3"/>
    <x v="1"/>
    <n v="15"/>
    <n v="175.39"/>
    <n v="49.26"/>
    <n v="2630.85"/>
  </r>
  <r>
    <s v="TXN-101097"/>
    <x v="1097"/>
    <x v="3"/>
    <x v="0"/>
    <n v="2"/>
    <n v="49.23"/>
    <n v="44.45"/>
    <n v="98.46"/>
  </r>
  <r>
    <s v="TXN-101098"/>
    <x v="1098"/>
    <x v="3"/>
    <x v="0"/>
    <n v="13"/>
    <n v="325.5"/>
    <n v="12.22"/>
    <n v="4231.5"/>
  </r>
  <r>
    <s v="TXN-101099"/>
    <x v="1099"/>
    <x v="0"/>
    <x v="0"/>
    <n v="2"/>
    <n v="17.05"/>
    <n v="29.64"/>
    <n v="34.1"/>
  </r>
  <r>
    <s v="TXN-101100"/>
    <x v="1100"/>
    <x v="0"/>
    <x v="3"/>
    <n v="19"/>
    <n v="35.72"/>
    <n v="20.68"/>
    <n v="678.68"/>
  </r>
  <r>
    <s v="TXN-101101"/>
    <x v="1101"/>
    <x v="3"/>
    <x v="3"/>
    <n v="2"/>
    <n v="17.39"/>
    <n v="24.55"/>
    <n v="34.78"/>
  </r>
  <r>
    <s v="TXN-101102"/>
    <x v="1102"/>
    <x v="1"/>
    <x v="2"/>
    <n v="3"/>
    <n v="295.89"/>
    <n v="20.079999999999998"/>
    <n v="887.67"/>
  </r>
  <r>
    <s v="TXN-101103"/>
    <x v="1103"/>
    <x v="2"/>
    <x v="0"/>
    <n v="6"/>
    <n v="196.85"/>
    <n v="20.12"/>
    <n v="1181.0999999999999"/>
  </r>
  <r>
    <s v="TXN-101104"/>
    <x v="1104"/>
    <x v="3"/>
    <x v="1"/>
    <n v="3"/>
    <n v="144.78"/>
    <n v="29.41"/>
    <n v="434.34000000000003"/>
  </r>
  <r>
    <s v="TXN-101105"/>
    <x v="1105"/>
    <x v="1"/>
    <x v="3"/>
    <n v="10"/>
    <n v="412.07"/>
    <n v="13.64"/>
    <n v="4120.7"/>
  </r>
  <r>
    <s v="TXN-101106"/>
    <x v="1106"/>
    <x v="2"/>
    <x v="1"/>
    <n v="6"/>
    <n v="99.27"/>
    <n v="29.18"/>
    <n v="595.62"/>
  </r>
  <r>
    <s v="TXN-101107"/>
    <x v="1107"/>
    <x v="3"/>
    <x v="1"/>
    <n v="16"/>
    <n v="184.68"/>
    <n v="17.55"/>
    <n v="2954.88"/>
  </r>
  <r>
    <s v="TXN-101108"/>
    <x v="1108"/>
    <x v="3"/>
    <x v="3"/>
    <n v="17"/>
    <n v="424.07"/>
    <n v="18"/>
    <n v="7209.19"/>
  </r>
  <r>
    <s v="TXN-101109"/>
    <x v="1109"/>
    <x v="0"/>
    <x v="3"/>
    <n v="19"/>
    <n v="201.08"/>
    <n v="38.24"/>
    <n v="3820.5200000000004"/>
  </r>
  <r>
    <s v="TXN-101110"/>
    <x v="1110"/>
    <x v="2"/>
    <x v="3"/>
    <n v="3"/>
    <n v="256.51"/>
    <n v="6.33"/>
    <n v="769.53"/>
  </r>
  <r>
    <s v="TXN-101111"/>
    <x v="1111"/>
    <x v="2"/>
    <x v="3"/>
    <n v="18"/>
    <n v="50.41"/>
    <n v="22.14"/>
    <n v="907.37999999999988"/>
  </r>
  <r>
    <s v="TXN-101112"/>
    <x v="1112"/>
    <x v="1"/>
    <x v="0"/>
    <n v="7"/>
    <n v="358.83"/>
    <n v="23.34"/>
    <n v="2511.81"/>
  </r>
  <r>
    <s v="TXN-101113"/>
    <x v="1113"/>
    <x v="0"/>
    <x v="0"/>
    <n v="9"/>
    <n v="199.19"/>
    <n v="26.83"/>
    <n v="1792.71"/>
  </r>
  <r>
    <s v="TXN-101114"/>
    <x v="1114"/>
    <x v="0"/>
    <x v="0"/>
    <n v="12"/>
    <n v="363.32"/>
    <n v="35.11"/>
    <n v="4359.84"/>
  </r>
  <r>
    <s v="TXN-101115"/>
    <x v="1115"/>
    <x v="0"/>
    <x v="0"/>
    <n v="5"/>
    <n v="125.78"/>
    <n v="21.64"/>
    <n v="628.9"/>
  </r>
  <r>
    <s v="TXN-101116"/>
    <x v="1116"/>
    <x v="0"/>
    <x v="2"/>
    <n v="3"/>
    <n v="199.07"/>
    <n v="14.59"/>
    <n v="597.21"/>
  </r>
  <r>
    <s v="TXN-101117"/>
    <x v="1117"/>
    <x v="2"/>
    <x v="0"/>
    <n v="11"/>
    <n v="357.26"/>
    <n v="44.82"/>
    <n v="3929.8599999999997"/>
  </r>
  <r>
    <s v="TXN-101118"/>
    <x v="1118"/>
    <x v="2"/>
    <x v="3"/>
    <n v="4"/>
    <n v="438.65"/>
    <n v="49.15"/>
    <n v="1754.6"/>
  </r>
  <r>
    <s v="TXN-101119"/>
    <x v="1119"/>
    <x v="3"/>
    <x v="1"/>
    <n v="5"/>
    <n v="41.41"/>
    <n v="5.9"/>
    <n v="207.04999999999998"/>
  </r>
  <r>
    <s v="TXN-101120"/>
    <x v="1120"/>
    <x v="3"/>
    <x v="0"/>
    <n v="1"/>
    <n v="368.51"/>
    <n v="29.59"/>
    <n v="368.51"/>
  </r>
  <r>
    <s v="TXN-101121"/>
    <x v="1121"/>
    <x v="0"/>
    <x v="2"/>
    <n v="18"/>
    <n v="146.15"/>
    <n v="20.38"/>
    <n v="2630.7000000000003"/>
  </r>
  <r>
    <s v="TXN-101122"/>
    <x v="1122"/>
    <x v="0"/>
    <x v="3"/>
    <n v="12"/>
    <n v="254.8"/>
    <n v="17.46"/>
    <n v="3057.6000000000004"/>
  </r>
  <r>
    <s v="TXN-101123"/>
    <x v="1123"/>
    <x v="0"/>
    <x v="1"/>
    <n v="13"/>
    <n v="141.55000000000001"/>
    <n v="20.11"/>
    <n v="1840.15"/>
  </r>
  <r>
    <s v="TXN-101124"/>
    <x v="1124"/>
    <x v="3"/>
    <x v="1"/>
    <n v="9"/>
    <n v="282.04000000000002"/>
    <n v="33.75"/>
    <n v="2538.36"/>
  </r>
  <r>
    <s v="TXN-101125"/>
    <x v="1125"/>
    <x v="1"/>
    <x v="0"/>
    <n v="2"/>
    <n v="169.23"/>
    <n v="13.58"/>
    <n v="338.46"/>
  </r>
  <r>
    <s v="TXN-101126"/>
    <x v="1126"/>
    <x v="1"/>
    <x v="1"/>
    <n v="5"/>
    <n v="160.46"/>
    <n v="46.08"/>
    <n v="802.30000000000007"/>
  </r>
  <r>
    <s v="TXN-101127"/>
    <x v="1127"/>
    <x v="3"/>
    <x v="0"/>
    <n v="13"/>
    <n v="31.98"/>
    <n v="25.98"/>
    <n v="415.74"/>
  </r>
  <r>
    <s v="TXN-101128"/>
    <x v="1128"/>
    <x v="3"/>
    <x v="0"/>
    <n v="16"/>
    <n v="79.349999999999994"/>
    <n v="19.649999999999999"/>
    <n v="1269.5999999999999"/>
  </r>
  <r>
    <s v="TXN-101129"/>
    <x v="1129"/>
    <x v="3"/>
    <x v="3"/>
    <n v="16"/>
    <n v="413.97"/>
    <n v="39.450000000000003"/>
    <n v="6623.52"/>
  </r>
  <r>
    <s v="TXN-101130"/>
    <x v="1130"/>
    <x v="3"/>
    <x v="3"/>
    <n v="3"/>
    <n v="449.25"/>
    <n v="5.74"/>
    <n v="1347.75"/>
  </r>
  <r>
    <s v="TXN-101131"/>
    <x v="1131"/>
    <x v="3"/>
    <x v="2"/>
    <n v="4"/>
    <n v="354.64"/>
    <n v="24.43"/>
    <n v="1418.56"/>
  </r>
  <r>
    <s v="TXN-101132"/>
    <x v="1132"/>
    <x v="3"/>
    <x v="3"/>
    <n v="11"/>
    <n v="140.12"/>
    <n v="20.99"/>
    <n v="1541.3200000000002"/>
  </r>
  <r>
    <s v="TXN-101133"/>
    <x v="1133"/>
    <x v="0"/>
    <x v="3"/>
    <n v="14"/>
    <n v="190.36"/>
    <n v="20.22"/>
    <n v="2665.04"/>
  </r>
  <r>
    <s v="TXN-101134"/>
    <x v="1134"/>
    <x v="0"/>
    <x v="0"/>
    <n v="3"/>
    <n v="336.81"/>
    <n v="20.170000000000002"/>
    <n v="1010.4300000000001"/>
  </r>
  <r>
    <s v="TXN-101135"/>
    <x v="1135"/>
    <x v="0"/>
    <x v="3"/>
    <n v="16"/>
    <n v="436.32"/>
    <n v="6.41"/>
    <n v="6981.12"/>
  </r>
  <r>
    <s v="TXN-101136"/>
    <x v="1136"/>
    <x v="0"/>
    <x v="0"/>
    <n v="15"/>
    <n v="213.4"/>
    <n v="11.85"/>
    <n v="3201"/>
  </r>
  <r>
    <s v="TXN-101137"/>
    <x v="1137"/>
    <x v="3"/>
    <x v="0"/>
    <n v="10"/>
    <n v="375.93"/>
    <n v="11.38"/>
    <n v="3759.3"/>
  </r>
  <r>
    <s v="TXN-101138"/>
    <x v="1138"/>
    <x v="1"/>
    <x v="3"/>
    <n v="9"/>
    <n v="439.17"/>
    <n v="49.49"/>
    <n v="3952.53"/>
  </r>
  <r>
    <s v="TXN-101139"/>
    <x v="1139"/>
    <x v="2"/>
    <x v="2"/>
    <n v="11"/>
    <n v="395.02"/>
    <n v="6"/>
    <n v="4345.2199999999993"/>
  </r>
  <r>
    <s v="TXN-101140"/>
    <x v="1140"/>
    <x v="3"/>
    <x v="2"/>
    <n v="16"/>
    <n v="114.2"/>
    <n v="12.52"/>
    <n v="1827.2"/>
  </r>
  <r>
    <s v="TXN-101141"/>
    <x v="1141"/>
    <x v="2"/>
    <x v="1"/>
    <n v="10"/>
    <n v="18.989999999999998"/>
    <n v="48.84"/>
    <n v="189.89999999999998"/>
  </r>
  <r>
    <s v="TXN-101142"/>
    <x v="1142"/>
    <x v="1"/>
    <x v="1"/>
    <n v="17"/>
    <n v="229.31"/>
    <n v="33.270000000000003"/>
    <n v="3898.27"/>
  </r>
  <r>
    <s v="TXN-101143"/>
    <x v="1143"/>
    <x v="0"/>
    <x v="3"/>
    <n v="19"/>
    <n v="246.38"/>
    <n v="25.28"/>
    <n v="4681.22"/>
  </r>
  <r>
    <s v="TXN-101144"/>
    <x v="1144"/>
    <x v="1"/>
    <x v="2"/>
    <n v="2"/>
    <n v="102.94"/>
    <n v="8.5399999999999991"/>
    <n v="205.88"/>
  </r>
  <r>
    <s v="TXN-101145"/>
    <x v="1145"/>
    <x v="3"/>
    <x v="0"/>
    <n v="2"/>
    <n v="139.19"/>
    <n v="35.130000000000003"/>
    <n v="278.38"/>
  </r>
  <r>
    <s v="TXN-101146"/>
    <x v="1146"/>
    <x v="0"/>
    <x v="1"/>
    <n v="6"/>
    <n v="347.96"/>
    <n v="11.2"/>
    <n v="2087.7599999999998"/>
  </r>
  <r>
    <s v="TXN-101147"/>
    <x v="1147"/>
    <x v="3"/>
    <x v="0"/>
    <n v="19"/>
    <n v="219.87"/>
    <n v="35.200000000000003"/>
    <n v="4177.53"/>
  </r>
  <r>
    <s v="TXN-101148"/>
    <x v="1148"/>
    <x v="0"/>
    <x v="1"/>
    <n v="8"/>
    <n v="153.38999999999999"/>
    <n v="49.06"/>
    <n v="1227.1199999999999"/>
  </r>
  <r>
    <s v="TXN-101149"/>
    <x v="1149"/>
    <x v="2"/>
    <x v="3"/>
    <n v="3"/>
    <n v="286.02999999999997"/>
    <n v="28.94"/>
    <n v="858.08999999999992"/>
  </r>
  <r>
    <s v="TXN-101150"/>
    <x v="1150"/>
    <x v="2"/>
    <x v="2"/>
    <n v="14"/>
    <n v="299.12"/>
    <n v="14.63"/>
    <n v="4187.68"/>
  </r>
  <r>
    <s v="TXN-101151"/>
    <x v="1151"/>
    <x v="2"/>
    <x v="1"/>
    <n v="16"/>
    <n v="349.8"/>
    <n v="33.14"/>
    <n v="5596.8"/>
  </r>
  <r>
    <s v="TXN-101152"/>
    <x v="1152"/>
    <x v="1"/>
    <x v="2"/>
    <n v="1"/>
    <n v="83.59"/>
    <n v="28.08"/>
    <n v="83.59"/>
  </r>
  <r>
    <s v="TXN-101153"/>
    <x v="1153"/>
    <x v="3"/>
    <x v="0"/>
    <n v="3"/>
    <n v="337.69"/>
    <n v="28.99"/>
    <n v="1013.0699999999999"/>
  </r>
  <r>
    <s v="TXN-101154"/>
    <x v="1154"/>
    <x v="1"/>
    <x v="3"/>
    <n v="18"/>
    <n v="275.95"/>
    <n v="26.51"/>
    <n v="4967.0999999999995"/>
  </r>
  <r>
    <s v="TXN-101155"/>
    <x v="1155"/>
    <x v="2"/>
    <x v="2"/>
    <n v="9"/>
    <n v="40.51"/>
    <n v="35.32"/>
    <n v="364.59"/>
  </r>
  <r>
    <s v="TXN-101156"/>
    <x v="1156"/>
    <x v="3"/>
    <x v="3"/>
    <n v="6"/>
    <n v="353.3"/>
    <n v="30.74"/>
    <n v="2119.8000000000002"/>
  </r>
  <r>
    <s v="TXN-101157"/>
    <x v="1157"/>
    <x v="2"/>
    <x v="2"/>
    <n v="1"/>
    <n v="181.95"/>
    <n v="49.41"/>
    <n v="181.95"/>
  </r>
  <r>
    <s v="TXN-101158"/>
    <x v="1158"/>
    <x v="1"/>
    <x v="0"/>
    <n v="10"/>
    <n v="159.05000000000001"/>
    <n v="42.16"/>
    <n v="1590.5"/>
  </r>
  <r>
    <s v="TXN-101159"/>
    <x v="1159"/>
    <x v="1"/>
    <x v="0"/>
    <n v="6"/>
    <n v="210.19"/>
    <n v="16.91"/>
    <n v="1261.1399999999999"/>
  </r>
  <r>
    <s v="TXN-101160"/>
    <x v="1160"/>
    <x v="1"/>
    <x v="3"/>
    <n v="12"/>
    <n v="165.91"/>
    <n v="37.659999999999997"/>
    <n v="1990.92"/>
  </r>
  <r>
    <s v="TXN-101161"/>
    <x v="1161"/>
    <x v="2"/>
    <x v="0"/>
    <n v="4"/>
    <n v="162.49"/>
    <n v="14.64"/>
    <n v="649.96"/>
  </r>
  <r>
    <s v="TXN-101162"/>
    <x v="1162"/>
    <x v="3"/>
    <x v="1"/>
    <n v="13"/>
    <n v="366.61"/>
    <n v="40.21"/>
    <n v="4765.93"/>
  </r>
  <r>
    <s v="TXN-101163"/>
    <x v="1163"/>
    <x v="3"/>
    <x v="2"/>
    <n v="17"/>
    <n v="69.599999999999994"/>
    <n v="11.64"/>
    <n v="1183.1999999999998"/>
  </r>
  <r>
    <s v="TXN-101164"/>
    <x v="1164"/>
    <x v="2"/>
    <x v="0"/>
    <n v="8"/>
    <n v="437.23"/>
    <n v="26.31"/>
    <n v="3497.84"/>
  </r>
  <r>
    <s v="TXN-101165"/>
    <x v="1165"/>
    <x v="3"/>
    <x v="1"/>
    <n v="3"/>
    <n v="256.62"/>
    <n v="40.58"/>
    <n v="769.86"/>
  </r>
  <r>
    <s v="TXN-101166"/>
    <x v="1166"/>
    <x v="2"/>
    <x v="3"/>
    <n v="12"/>
    <n v="94.98"/>
    <n v="17.61"/>
    <n v="1139.76"/>
  </r>
  <r>
    <s v="TXN-101167"/>
    <x v="1167"/>
    <x v="3"/>
    <x v="1"/>
    <n v="7"/>
    <n v="72.510000000000005"/>
    <n v="42.67"/>
    <n v="507.57000000000005"/>
  </r>
  <r>
    <s v="TXN-101168"/>
    <x v="1168"/>
    <x v="0"/>
    <x v="3"/>
    <n v="12"/>
    <n v="272.51"/>
    <n v="33.99"/>
    <n v="3270.12"/>
  </r>
  <r>
    <s v="TXN-101169"/>
    <x v="1169"/>
    <x v="0"/>
    <x v="3"/>
    <n v="2"/>
    <n v="290.54000000000002"/>
    <n v="22.89"/>
    <n v="581.08000000000004"/>
  </r>
  <r>
    <s v="TXN-101170"/>
    <x v="1170"/>
    <x v="1"/>
    <x v="2"/>
    <n v="14"/>
    <n v="38.54"/>
    <n v="24.05"/>
    <n v="539.55999999999995"/>
  </r>
  <r>
    <s v="TXN-101171"/>
    <x v="1171"/>
    <x v="0"/>
    <x v="2"/>
    <n v="5"/>
    <n v="121.08"/>
    <n v="46.67"/>
    <n v="605.4"/>
  </r>
  <r>
    <s v="TXN-101172"/>
    <x v="1172"/>
    <x v="0"/>
    <x v="1"/>
    <n v="9"/>
    <n v="361.13"/>
    <n v="14.8"/>
    <n v="3250.17"/>
  </r>
  <r>
    <s v="TXN-101173"/>
    <x v="1173"/>
    <x v="0"/>
    <x v="2"/>
    <n v="11"/>
    <n v="37.06"/>
    <n v="36.200000000000003"/>
    <n v="407.66"/>
  </r>
  <r>
    <s v="TXN-101174"/>
    <x v="1174"/>
    <x v="2"/>
    <x v="2"/>
    <n v="5"/>
    <n v="387.04"/>
    <n v="36.83"/>
    <n v="1935.2"/>
  </r>
  <r>
    <s v="TXN-101175"/>
    <x v="1175"/>
    <x v="0"/>
    <x v="2"/>
    <n v="3"/>
    <n v="301.47000000000003"/>
    <n v="46.51"/>
    <n v="904.41000000000008"/>
  </r>
  <r>
    <s v="TXN-101176"/>
    <x v="1176"/>
    <x v="0"/>
    <x v="1"/>
    <n v="17"/>
    <n v="204.26"/>
    <n v="37.090000000000003"/>
    <n v="3472.42"/>
  </r>
  <r>
    <s v="TXN-101177"/>
    <x v="1177"/>
    <x v="1"/>
    <x v="0"/>
    <n v="2"/>
    <n v="166.03"/>
    <n v="31.3"/>
    <n v="332.06"/>
  </r>
  <r>
    <s v="TXN-101178"/>
    <x v="1178"/>
    <x v="0"/>
    <x v="2"/>
    <n v="1"/>
    <n v="23.86"/>
    <n v="45.61"/>
    <n v="23.86"/>
  </r>
  <r>
    <s v="TXN-101179"/>
    <x v="1179"/>
    <x v="0"/>
    <x v="2"/>
    <n v="7"/>
    <n v="374.06"/>
    <n v="42.31"/>
    <n v="2618.42"/>
  </r>
  <r>
    <s v="TXN-101180"/>
    <x v="1180"/>
    <x v="3"/>
    <x v="1"/>
    <n v="14"/>
    <n v="77.510000000000005"/>
    <n v="37.25"/>
    <n v="1085.1400000000001"/>
  </r>
  <r>
    <s v="TXN-101181"/>
    <x v="1181"/>
    <x v="1"/>
    <x v="0"/>
    <n v="5"/>
    <n v="150"/>
    <n v="6.47"/>
    <n v="750"/>
  </r>
  <r>
    <s v="TXN-101182"/>
    <x v="1182"/>
    <x v="1"/>
    <x v="2"/>
    <n v="19"/>
    <n v="262.77999999999997"/>
    <n v="21.81"/>
    <n v="4992.82"/>
  </r>
  <r>
    <s v="TXN-101183"/>
    <x v="1183"/>
    <x v="1"/>
    <x v="3"/>
    <n v="11"/>
    <n v="122.38"/>
    <n v="33.44"/>
    <n v="1346.1799999999998"/>
  </r>
  <r>
    <s v="TXN-101184"/>
    <x v="1184"/>
    <x v="1"/>
    <x v="1"/>
    <n v="2"/>
    <n v="231.51"/>
    <n v="28.5"/>
    <n v="463.02"/>
  </r>
  <r>
    <s v="TXN-101185"/>
    <x v="1185"/>
    <x v="1"/>
    <x v="2"/>
    <n v="8"/>
    <n v="367.16"/>
    <n v="19.37"/>
    <n v="2937.28"/>
  </r>
  <r>
    <s v="TXN-101186"/>
    <x v="1186"/>
    <x v="1"/>
    <x v="2"/>
    <n v="9"/>
    <n v="219.95"/>
    <n v="11.5"/>
    <n v="1979.55"/>
  </r>
  <r>
    <s v="TXN-101187"/>
    <x v="1187"/>
    <x v="2"/>
    <x v="3"/>
    <n v="3"/>
    <n v="427.83"/>
    <n v="29.88"/>
    <n v="1283.49"/>
  </r>
  <r>
    <s v="TXN-101188"/>
    <x v="1188"/>
    <x v="0"/>
    <x v="3"/>
    <n v="2"/>
    <n v="383.74"/>
    <n v="17.87"/>
    <n v="767.48"/>
  </r>
  <r>
    <s v="TXN-101189"/>
    <x v="1189"/>
    <x v="1"/>
    <x v="1"/>
    <n v="7"/>
    <n v="160.21"/>
    <n v="15.49"/>
    <n v="1121.47"/>
  </r>
  <r>
    <s v="TXN-101190"/>
    <x v="1190"/>
    <x v="0"/>
    <x v="1"/>
    <n v="5"/>
    <n v="189.28"/>
    <n v="22.95"/>
    <n v="946.4"/>
  </r>
  <r>
    <s v="TXN-101191"/>
    <x v="1191"/>
    <x v="0"/>
    <x v="3"/>
    <n v="5"/>
    <n v="199.44"/>
    <n v="40.35"/>
    <n v="997.2"/>
  </r>
  <r>
    <s v="TXN-101192"/>
    <x v="1192"/>
    <x v="2"/>
    <x v="1"/>
    <n v="13"/>
    <n v="287.57"/>
    <n v="26.95"/>
    <n v="3738.41"/>
  </r>
  <r>
    <s v="TXN-101193"/>
    <x v="1193"/>
    <x v="1"/>
    <x v="3"/>
    <n v="6"/>
    <n v="140.11000000000001"/>
    <n v="14.74"/>
    <n v="840.66000000000008"/>
  </r>
  <r>
    <s v="TXN-101194"/>
    <x v="1194"/>
    <x v="3"/>
    <x v="2"/>
    <n v="18"/>
    <n v="436.64"/>
    <n v="10.26"/>
    <n v="7859.5199999999995"/>
  </r>
  <r>
    <s v="TXN-101195"/>
    <x v="1195"/>
    <x v="2"/>
    <x v="3"/>
    <n v="2"/>
    <n v="279.97000000000003"/>
    <n v="27.45"/>
    <n v="559.94000000000005"/>
  </r>
  <r>
    <s v="TXN-101196"/>
    <x v="1196"/>
    <x v="3"/>
    <x v="3"/>
    <n v="6"/>
    <n v="189.04"/>
    <n v="40.75"/>
    <n v="1134.24"/>
  </r>
  <r>
    <s v="TXN-101197"/>
    <x v="1197"/>
    <x v="0"/>
    <x v="0"/>
    <n v="9"/>
    <n v="295.76"/>
    <n v="34.380000000000003"/>
    <n v="2661.84"/>
  </r>
  <r>
    <s v="TXN-101198"/>
    <x v="1198"/>
    <x v="0"/>
    <x v="3"/>
    <n v="3"/>
    <n v="187.3"/>
    <n v="15.45"/>
    <n v="561.90000000000009"/>
  </r>
  <r>
    <s v="TXN-101199"/>
    <x v="1199"/>
    <x v="2"/>
    <x v="3"/>
    <n v="1"/>
    <n v="370.83"/>
    <n v="24.65"/>
    <n v="370.83"/>
  </r>
  <r>
    <s v="TXN-101200"/>
    <x v="1200"/>
    <x v="2"/>
    <x v="0"/>
    <n v="1"/>
    <n v="262.23"/>
    <n v="43.49"/>
    <n v="262.23"/>
  </r>
  <r>
    <s v="TXN-101201"/>
    <x v="1201"/>
    <x v="3"/>
    <x v="1"/>
    <n v="19"/>
    <n v="33.74"/>
    <n v="12.99"/>
    <n v="641.06000000000006"/>
  </r>
  <r>
    <s v="TXN-101202"/>
    <x v="1202"/>
    <x v="1"/>
    <x v="0"/>
    <n v="5"/>
    <n v="92.3"/>
    <n v="28.94"/>
    <n v="461.5"/>
  </r>
  <r>
    <s v="TXN-101203"/>
    <x v="1203"/>
    <x v="3"/>
    <x v="2"/>
    <n v="13"/>
    <n v="391.34"/>
    <n v="21.03"/>
    <n v="5087.42"/>
  </r>
  <r>
    <s v="TXN-101204"/>
    <x v="1204"/>
    <x v="2"/>
    <x v="0"/>
    <n v="19"/>
    <n v="260.08"/>
    <n v="10.59"/>
    <n v="4941.5199999999995"/>
  </r>
  <r>
    <s v="TXN-101205"/>
    <x v="1205"/>
    <x v="3"/>
    <x v="2"/>
    <n v="12"/>
    <n v="428.42"/>
    <n v="7.25"/>
    <n v="5141.04"/>
  </r>
  <r>
    <s v="TXN-101206"/>
    <x v="1206"/>
    <x v="2"/>
    <x v="1"/>
    <n v="16"/>
    <n v="46.97"/>
    <n v="30.01"/>
    <n v="751.52"/>
  </r>
  <r>
    <s v="TXN-101207"/>
    <x v="1207"/>
    <x v="3"/>
    <x v="0"/>
    <n v="19"/>
    <n v="143.79"/>
    <n v="5.93"/>
    <n v="2732.0099999999998"/>
  </r>
  <r>
    <s v="TXN-101208"/>
    <x v="1208"/>
    <x v="2"/>
    <x v="0"/>
    <n v="3"/>
    <n v="99.59"/>
    <n v="9.66"/>
    <n v="298.77"/>
  </r>
  <r>
    <s v="TXN-101209"/>
    <x v="1209"/>
    <x v="2"/>
    <x v="1"/>
    <n v="12"/>
    <n v="256.14"/>
    <n v="20.64"/>
    <n v="3073.68"/>
  </r>
  <r>
    <s v="TXN-101210"/>
    <x v="1210"/>
    <x v="2"/>
    <x v="2"/>
    <n v="5"/>
    <n v="181.82"/>
    <n v="6.96"/>
    <n v="909.09999999999991"/>
  </r>
  <r>
    <s v="TXN-101211"/>
    <x v="1211"/>
    <x v="1"/>
    <x v="0"/>
    <n v="2"/>
    <n v="83.84"/>
    <n v="23.02"/>
    <n v="167.68"/>
  </r>
  <r>
    <s v="TXN-101212"/>
    <x v="1212"/>
    <x v="3"/>
    <x v="2"/>
    <n v="7"/>
    <n v="294.77999999999997"/>
    <n v="10.87"/>
    <n v="2063.46"/>
  </r>
  <r>
    <s v="TXN-101213"/>
    <x v="1213"/>
    <x v="3"/>
    <x v="0"/>
    <n v="13"/>
    <n v="248.52"/>
    <n v="20.74"/>
    <n v="3230.76"/>
  </r>
  <r>
    <s v="TXN-101214"/>
    <x v="1214"/>
    <x v="3"/>
    <x v="3"/>
    <n v="15"/>
    <n v="134.87"/>
    <n v="40.6"/>
    <n v="2023.0500000000002"/>
  </r>
  <r>
    <s v="TXN-101215"/>
    <x v="1215"/>
    <x v="2"/>
    <x v="0"/>
    <n v="3"/>
    <n v="223.96"/>
    <n v="33.19"/>
    <n v="671.88"/>
  </r>
  <r>
    <s v="TXN-101216"/>
    <x v="1216"/>
    <x v="3"/>
    <x v="1"/>
    <n v="5"/>
    <n v="339.52"/>
    <n v="25.04"/>
    <n v="1697.6"/>
  </r>
  <r>
    <s v="TXN-101217"/>
    <x v="1217"/>
    <x v="3"/>
    <x v="1"/>
    <n v="8"/>
    <n v="104.69"/>
    <n v="9.1300000000000008"/>
    <n v="837.52"/>
  </r>
  <r>
    <s v="TXN-101218"/>
    <x v="1218"/>
    <x v="2"/>
    <x v="2"/>
    <n v="1"/>
    <n v="142.77000000000001"/>
    <n v="32.86"/>
    <n v="142.77000000000001"/>
  </r>
  <r>
    <s v="TXN-101219"/>
    <x v="1219"/>
    <x v="0"/>
    <x v="0"/>
    <n v="8"/>
    <n v="165.89"/>
    <n v="12.37"/>
    <n v="1327.12"/>
  </r>
  <r>
    <s v="TXN-101220"/>
    <x v="1220"/>
    <x v="2"/>
    <x v="2"/>
    <n v="18"/>
    <n v="339.95"/>
    <n v="8.4499999999999993"/>
    <n v="6119.0999999999995"/>
  </r>
  <r>
    <s v="TXN-101221"/>
    <x v="1221"/>
    <x v="3"/>
    <x v="2"/>
    <n v="16"/>
    <n v="383.49"/>
    <n v="34.880000000000003"/>
    <n v="6135.84"/>
  </r>
  <r>
    <s v="TXN-101222"/>
    <x v="1222"/>
    <x v="2"/>
    <x v="3"/>
    <n v="18"/>
    <n v="179.04"/>
    <n v="46.04"/>
    <n v="3222.72"/>
  </r>
  <r>
    <s v="TXN-101223"/>
    <x v="1223"/>
    <x v="0"/>
    <x v="3"/>
    <n v="12"/>
    <n v="144.38"/>
    <n v="25.73"/>
    <n v="1732.56"/>
  </r>
  <r>
    <s v="TXN-101224"/>
    <x v="1224"/>
    <x v="2"/>
    <x v="1"/>
    <n v="13"/>
    <n v="401.96"/>
    <n v="6.84"/>
    <n v="5225.4799999999996"/>
  </r>
  <r>
    <s v="TXN-101225"/>
    <x v="1225"/>
    <x v="3"/>
    <x v="2"/>
    <n v="13"/>
    <n v="449.72"/>
    <n v="44.61"/>
    <n v="5846.3600000000006"/>
  </r>
  <r>
    <s v="TXN-101226"/>
    <x v="1226"/>
    <x v="0"/>
    <x v="1"/>
    <n v="10"/>
    <n v="306.77"/>
    <n v="8.01"/>
    <n v="3067.7"/>
  </r>
  <r>
    <s v="TXN-101227"/>
    <x v="1227"/>
    <x v="1"/>
    <x v="0"/>
    <n v="7"/>
    <n v="445.65"/>
    <n v="44.04"/>
    <n v="3119.5499999999997"/>
  </r>
  <r>
    <s v="TXN-101228"/>
    <x v="1228"/>
    <x v="3"/>
    <x v="2"/>
    <n v="14"/>
    <n v="302.26"/>
    <n v="22.63"/>
    <n v="4231.6399999999994"/>
  </r>
  <r>
    <s v="TXN-101229"/>
    <x v="1229"/>
    <x v="0"/>
    <x v="2"/>
    <n v="16"/>
    <n v="334.19"/>
    <n v="21.44"/>
    <n v="5347.04"/>
  </r>
  <r>
    <s v="TXN-101230"/>
    <x v="1230"/>
    <x v="0"/>
    <x v="0"/>
    <n v="15"/>
    <n v="184.37"/>
    <n v="29.43"/>
    <n v="2765.55"/>
  </r>
  <r>
    <s v="TXN-101231"/>
    <x v="1231"/>
    <x v="1"/>
    <x v="0"/>
    <n v="12"/>
    <n v="203.62"/>
    <n v="48.07"/>
    <n v="2443.44"/>
  </r>
  <r>
    <s v="TXN-101232"/>
    <x v="1232"/>
    <x v="2"/>
    <x v="1"/>
    <n v="9"/>
    <n v="78.13"/>
    <n v="45.44"/>
    <n v="703.17"/>
  </r>
  <r>
    <s v="TXN-101233"/>
    <x v="1233"/>
    <x v="2"/>
    <x v="1"/>
    <n v="8"/>
    <n v="372.98"/>
    <n v="26.16"/>
    <n v="2983.84"/>
  </r>
  <r>
    <s v="TXN-101234"/>
    <x v="1234"/>
    <x v="3"/>
    <x v="0"/>
    <n v="18"/>
    <n v="420.05"/>
    <n v="36.31"/>
    <n v="7560.9000000000005"/>
  </r>
  <r>
    <s v="TXN-101235"/>
    <x v="1235"/>
    <x v="1"/>
    <x v="1"/>
    <n v="18"/>
    <n v="286.38"/>
    <n v="31.12"/>
    <n v="5154.84"/>
  </r>
  <r>
    <s v="TXN-101236"/>
    <x v="1236"/>
    <x v="2"/>
    <x v="0"/>
    <n v="13"/>
    <n v="164.81"/>
    <n v="36.21"/>
    <n v="2142.5300000000002"/>
  </r>
  <r>
    <s v="TXN-101237"/>
    <x v="1237"/>
    <x v="1"/>
    <x v="2"/>
    <n v="18"/>
    <n v="82.42"/>
    <n v="42.32"/>
    <n v="1483.56"/>
  </r>
  <r>
    <s v="TXN-101238"/>
    <x v="1238"/>
    <x v="2"/>
    <x v="2"/>
    <n v="15"/>
    <n v="130.71"/>
    <n v="6.55"/>
    <n v="1960.65"/>
  </r>
  <r>
    <s v="TXN-101239"/>
    <x v="1239"/>
    <x v="0"/>
    <x v="3"/>
    <n v="4"/>
    <n v="126.48"/>
    <n v="19.66"/>
    <n v="505.92"/>
  </r>
  <r>
    <s v="TXN-101240"/>
    <x v="1240"/>
    <x v="2"/>
    <x v="2"/>
    <n v="17"/>
    <n v="282.08"/>
    <n v="48.17"/>
    <n v="4795.3599999999997"/>
  </r>
  <r>
    <s v="TXN-101241"/>
    <x v="1241"/>
    <x v="1"/>
    <x v="0"/>
    <n v="5"/>
    <n v="426.12"/>
    <n v="47.72"/>
    <n v="2130.6"/>
  </r>
  <r>
    <s v="TXN-101242"/>
    <x v="1242"/>
    <x v="0"/>
    <x v="1"/>
    <n v="16"/>
    <n v="36.47"/>
    <n v="5.5"/>
    <n v="583.52"/>
  </r>
  <r>
    <s v="TXN-101243"/>
    <x v="1243"/>
    <x v="0"/>
    <x v="3"/>
    <n v="9"/>
    <n v="15.94"/>
    <n v="14.06"/>
    <n v="143.46"/>
  </r>
  <r>
    <s v="TXN-101244"/>
    <x v="1244"/>
    <x v="0"/>
    <x v="1"/>
    <n v="10"/>
    <n v="276.27999999999997"/>
    <n v="49.72"/>
    <n v="2762.7999999999997"/>
  </r>
  <r>
    <s v="TXN-101245"/>
    <x v="1245"/>
    <x v="1"/>
    <x v="0"/>
    <n v="18"/>
    <n v="138.91999999999999"/>
    <n v="27.18"/>
    <n v="2500.56"/>
  </r>
  <r>
    <s v="TXN-101246"/>
    <x v="1246"/>
    <x v="3"/>
    <x v="2"/>
    <n v="17"/>
    <n v="398.1"/>
    <n v="30.78"/>
    <n v="6767.7000000000007"/>
  </r>
  <r>
    <s v="TXN-101247"/>
    <x v="1247"/>
    <x v="3"/>
    <x v="3"/>
    <n v="18"/>
    <n v="157.69"/>
    <n v="12.49"/>
    <n v="2838.42"/>
  </r>
  <r>
    <s v="TXN-101248"/>
    <x v="1248"/>
    <x v="3"/>
    <x v="0"/>
    <n v="7"/>
    <n v="141.38999999999999"/>
    <n v="45.25"/>
    <n v="989.7299999999999"/>
  </r>
  <r>
    <s v="TXN-101249"/>
    <x v="1249"/>
    <x v="1"/>
    <x v="3"/>
    <n v="4"/>
    <n v="132.6"/>
    <n v="15.41"/>
    <n v="530.4"/>
  </r>
  <r>
    <s v="TXN-101250"/>
    <x v="1250"/>
    <x v="0"/>
    <x v="3"/>
    <n v="5"/>
    <n v="78.44"/>
    <n v="13.53"/>
    <n v="392.2"/>
  </r>
  <r>
    <s v="TXN-101251"/>
    <x v="1251"/>
    <x v="3"/>
    <x v="2"/>
    <n v="16"/>
    <n v="268.17"/>
    <n v="15.27"/>
    <n v="4290.72"/>
  </r>
  <r>
    <s v="TXN-101252"/>
    <x v="1252"/>
    <x v="1"/>
    <x v="0"/>
    <n v="3"/>
    <n v="88.59"/>
    <n v="46.38"/>
    <n v="265.77"/>
  </r>
  <r>
    <s v="TXN-101253"/>
    <x v="1253"/>
    <x v="3"/>
    <x v="1"/>
    <n v="18"/>
    <n v="200"/>
    <n v="36.630000000000003"/>
    <n v="3600"/>
  </r>
  <r>
    <s v="TXN-101254"/>
    <x v="1254"/>
    <x v="2"/>
    <x v="3"/>
    <n v="14"/>
    <n v="215.79"/>
    <n v="39.590000000000003"/>
    <n v="3021.06"/>
  </r>
  <r>
    <s v="TXN-101255"/>
    <x v="1255"/>
    <x v="3"/>
    <x v="3"/>
    <n v="15"/>
    <n v="24.4"/>
    <n v="21.97"/>
    <n v="366"/>
  </r>
  <r>
    <s v="TXN-101256"/>
    <x v="1256"/>
    <x v="3"/>
    <x v="1"/>
    <n v="17"/>
    <n v="22.8"/>
    <n v="45.91"/>
    <n v="387.6"/>
  </r>
  <r>
    <s v="TXN-101257"/>
    <x v="1257"/>
    <x v="0"/>
    <x v="0"/>
    <n v="1"/>
    <n v="241.53"/>
    <n v="40.520000000000003"/>
    <n v="241.53"/>
  </r>
  <r>
    <s v="TXN-101258"/>
    <x v="1258"/>
    <x v="1"/>
    <x v="3"/>
    <n v="17"/>
    <n v="317.93"/>
    <n v="38.78"/>
    <n v="5404.81"/>
  </r>
  <r>
    <s v="TXN-101259"/>
    <x v="1259"/>
    <x v="0"/>
    <x v="3"/>
    <n v="11"/>
    <n v="424.86"/>
    <n v="48.69"/>
    <n v="4673.46"/>
  </r>
  <r>
    <s v="TXN-101260"/>
    <x v="1260"/>
    <x v="0"/>
    <x v="3"/>
    <n v="17"/>
    <n v="93.33"/>
    <n v="21.48"/>
    <n v="1586.61"/>
  </r>
  <r>
    <s v="TXN-101261"/>
    <x v="1261"/>
    <x v="0"/>
    <x v="0"/>
    <n v="14"/>
    <n v="60.37"/>
    <n v="32.49"/>
    <n v="845.18"/>
  </r>
  <r>
    <s v="TXN-101262"/>
    <x v="1262"/>
    <x v="0"/>
    <x v="0"/>
    <n v="19"/>
    <n v="38.130000000000003"/>
    <n v="45.95"/>
    <n v="724.47"/>
  </r>
  <r>
    <s v="TXN-101263"/>
    <x v="1263"/>
    <x v="0"/>
    <x v="1"/>
    <n v="7"/>
    <n v="204.96"/>
    <n v="40.590000000000003"/>
    <n v="1434.72"/>
  </r>
  <r>
    <s v="TXN-101264"/>
    <x v="1264"/>
    <x v="3"/>
    <x v="0"/>
    <n v="13"/>
    <n v="286.26"/>
    <n v="30.35"/>
    <n v="3721.38"/>
  </r>
  <r>
    <s v="TXN-101265"/>
    <x v="1265"/>
    <x v="0"/>
    <x v="0"/>
    <n v="18"/>
    <n v="380.72"/>
    <n v="8.43"/>
    <n v="6852.9600000000009"/>
  </r>
  <r>
    <s v="TXN-101266"/>
    <x v="1266"/>
    <x v="0"/>
    <x v="2"/>
    <n v="14"/>
    <n v="312.11"/>
    <n v="34.369999999999997"/>
    <n v="4369.54"/>
  </r>
  <r>
    <s v="TXN-101267"/>
    <x v="1267"/>
    <x v="1"/>
    <x v="1"/>
    <n v="1"/>
    <n v="106.03"/>
    <n v="28.7"/>
    <n v="106.03"/>
  </r>
  <r>
    <s v="TXN-101268"/>
    <x v="1268"/>
    <x v="2"/>
    <x v="3"/>
    <n v="7"/>
    <n v="216.14"/>
    <n v="13.29"/>
    <n v="1512.98"/>
  </r>
  <r>
    <s v="TXN-101269"/>
    <x v="1269"/>
    <x v="3"/>
    <x v="0"/>
    <n v="8"/>
    <n v="411.05"/>
    <n v="44.7"/>
    <n v="3288.4"/>
  </r>
  <r>
    <s v="TXN-101270"/>
    <x v="1270"/>
    <x v="3"/>
    <x v="3"/>
    <n v="18"/>
    <n v="157.47"/>
    <n v="20.45"/>
    <n v="2834.46"/>
  </r>
  <r>
    <s v="TXN-101271"/>
    <x v="1271"/>
    <x v="3"/>
    <x v="3"/>
    <n v="9"/>
    <n v="232.2"/>
    <n v="22.44"/>
    <n v="2089.7999999999997"/>
  </r>
  <r>
    <s v="TXN-101272"/>
    <x v="1272"/>
    <x v="0"/>
    <x v="2"/>
    <n v="1"/>
    <n v="432"/>
    <n v="35.26"/>
    <n v="432"/>
  </r>
  <r>
    <s v="TXN-101273"/>
    <x v="1273"/>
    <x v="0"/>
    <x v="0"/>
    <n v="17"/>
    <n v="334.73"/>
    <n v="27"/>
    <n v="5690.41"/>
  </r>
  <r>
    <s v="TXN-101274"/>
    <x v="1274"/>
    <x v="0"/>
    <x v="1"/>
    <n v="19"/>
    <n v="340.39"/>
    <n v="9.02"/>
    <n v="6467.41"/>
  </r>
  <r>
    <s v="TXN-101275"/>
    <x v="1275"/>
    <x v="1"/>
    <x v="0"/>
    <n v="6"/>
    <n v="125.14"/>
    <n v="22.43"/>
    <n v="750.84"/>
  </r>
  <r>
    <s v="TXN-101276"/>
    <x v="1276"/>
    <x v="2"/>
    <x v="3"/>
    <n v="3"/>
    <n v="195.69"/>
    <n v="9.25"/>
    <n v="587.06999999999994"/>
  </r>
  <r>
    <s v="TXN-101277"/>
    <x v="1277"/>
    <x v="0"/>
    <x v="1"/>
    <n v="5"/>
    <n v="51.28"/>
    <n v="13.58"/>
    <n v="256.39999999999998"/>
  </r>
  <r>
    <s v="TXN-101278"/>
    <x v="1278"/>
    <x v="2"/>
    <x v="0"/>
    <n v="2"/>
    <n v="279.04000000000002"/>
    <n v="5.32"/>
    <n v="558.08000000000004"/>
  </r>
  <r>
    <s v="TXN-101279"/>
    <x v="1279"/>
    <x v="1"/>
    <x v="3"/>
    <n v="4"/>
    <n v="60.57"/>
    <n v="13.16"/>
    <n v="242.28"/>
  </r>
  <r>
    <s v="TXN-101280"/>
    <x v="1280"/>
    <x v="3"/>
    <x v="3"/>
    <n v="10"/>
    <n v="378.7"/>
    <n v="19.87"/>
    <n v="3787"/>
  </r>
  <r>
    <s v="TXN-101281"/>
    <x v="1281"/>
    <x v="0"/>
    <x v="2"/>
    <n v="10"/>
    <n v="369.42"/>
    <n v="29.22"/>
    <n v="3694.2000000000003"/>
  </r>
  <r>
    <s v="TXN-101282"/>
    <x v="1282"/>
    <x v="2"/>
    <x v="2"/>
    <n v="11"/>
    <n v="247.35"/>
    <n v="46.37"/>
    <n v="2720.85"/>
  </r>
  <r>
    <s v="TXN-101283"/>
    <x v="1283"/>
    <x v="2"/>
    <x v="2"/>
    <n v="16"/>
    <n v="76.84"/>
    <n v="29.31"/>
    <n v="1229.44"/>
  </r>
  <r>
    <s v="TXN-101284"/>
    <x v="1284"/>
    <x v="0"/>
    <x v="3"/>
    <n v="17"/>
    <n v="26.61"/>
    <n v="36.75"/>
    <n v="452.37"/>
  </r>
  <r>
    <s v="TXN-101285"/>
    <x v="1285"/>
    <x v="3"/>
    <x v="0"/>
    <n v="16"/>
    <n v="361.67"/>
    <n v="21.1"/>
    <n v="5786.72"/>
  </r>
  <r>
    <s v="TXN-101286"/>
    <x v="1286"/>
    <x v="3"/>
    <x v="2"/>
    <n v="7"/>
    <n v="276.26"/>
    <n v="38.82"/>
    <n v="1933.82"/>
  </r>
  <r>
    <s v="TXN-101287"/>
    <x v="1287"/>
    <x v="3"/>
    <x v="0"/>
    <n v="16"/>
    <n v="324.39999999999998"/>
    <n v="32.92"/>
    <n v="5190.3999999999996"/>
  </r>
  <r>
    <s v="TXN-101288"/>
    <x v="1288"/>
    <x v="1"/>
    <x v="2"/>
    <n v="3"/>
    <n v="147.5"/>
    <n v="25.69"/>
    <n v="442.5"/>
  </r>
  <r>
    <s v="TXN-101289"/>
    <x v="1289"/>
    <x v="2"/>
    <x v="1"/>
    <n v="16"/>
    <n v="236.87"/>
    <n v="13.72"/>
    <n v="3789.92"/>
  </r>
  <r>
    <s v="TXN-101290"/>
    <x v="1290"/>
    <x v="2"/>
    <x v="1"/>
    <n v="8"/>
    <n v="340.15"/>
    <n v="18.66"/>
    <n v="2721.2"/>
  </r>
  <r>
    <s v="TXN-101291"/>
    <x v="1291"/>
    <x v="2"/>
    <x v="2"/>
    <n v="12"/>
    <n v="216.48"/>
    <n v="32.94"/>
    <n v="2597.7599999999998"/>
  </r>
  <r>
    <s v="TXN-101292"/>
    <x v="1292"/>
    <x v="1"/>
    <x v="3"/>
    <n v="3"/>
    <n v="276.8"/>
    <n v="24.17"/>
    <n v="830.40000000000009"/>
  </r>
  <r>
    <s v="TXN-101293"/>
    <x v="1293"/>
    <x v="2"/>
    <x v="2"/>
    <n v="17"/>
    <n v="358.64"/>
    <n v="45.02"/>
    <n v="6096.88"/>
  </r>
  <r>
    <s v="TXN-101294"/>
    <x v="1294"/>
    <x v="1"/>
    <x v="2"/>
    <n v="18"/>
    <n v="109.01"/>
    <n v="15.57"/>
    <n v="1962.18"/>
  </r>
  <r>
    <s v="TXN-101295"/>
    <x v="1295"/>
    <x v="3"/>
    <x v="3"/>
    <n v="11"/>
    <n v="44.15"/>
    <n v="8.2899999999999991"/>
    <n v="485.65"/>
  </r>
  <r>
    <s v="TXN-101296"/>
    <x v="1296"/>
    <x v="0"/>
    <x v="1"/>
    <n v="4"/>
    <n v="246.58"/>
    <n v="31.52"/>
    <n v="986.32"/>
  </r>
  <r>
    <s v="TXN-101297"/>
    <x v="1297"/>
    <x v="2"/>
    <x v="0"/>
    <n v="16"/>
    <n v="42.49"/>
    <n v="44.87"/>
    <n v="679.84"/>
  </r>
  <r>
    <s v="TXN-101298"/>
    <x v="1298"/>
    <x v="2"/>
    <x v="2"/>
    <n v="17"/>
    <n v="348.57"/>
    <n v="21.41"/>
    <n v="5925.69"/>
  </r>
  <r>
    <s v="TXN-101299"/>
    <x v="1299"/>
    <x v="3"/>
    <x v="3"/>
    <n v="9"/>
    <n v="328"/>
    <n v="34.15"/>
    <n v="2952"/>
  </r>
  <r>
    <s v="TXN-101300"/>
    <x v="1300"/>
    <x v="0"/>
    <x v="2"/>
    <n v="6"/>
    <n v="398.6"/>
    <n v="15.41"/>
    <n v="2391.6000000000004"/>
  </r>
  <r>
    <s v="TXN-101301"/>
    <x v="1301"/>
    <x v="1"/>
    <x v="3"/>
    <n v="2"/>
    <n v="293.39"/>
    <n v="30.13"/>
    <n v="586.78"/>
  </r>
  <r>
    <s v="TXN-101302"/>
    <x v="1302"/>
    <x v="0"/>
    <x v="0"/>
    <n v="9"/>
    <n v="44.7"/>
    <n v="40.409999999999997"/>
    <n v="402.3"/>
  </r>
  <r>
    <s v="TXN-101303"/>
    <x v="1303"/>
    <x v="3"/>
    <x v="0"/>
    <n v="6"/>
    <n v="125.49"/>
    <n v="44.02"/>
    <n v="752.93999999999994"/>
  </r>
  <r>
    <s v="TXN-101304"/>
    <x v="1304"/>
    <x v="3"/>
    <x v="1"/>
    <n v="3"/>
    <n v="366.55"/>
    <n v="9.73"/>
    <n v="1099.6500000000001"/>
  </r>
  <r>
    <s v="TXN-101305"/>
    <x v="1305"/>
    <x v="0"/>
    <x v="3"/>
    <n v="6"/>
    <n v="88.12"/>
    <n v="21.04"/>
    <n v="528.72"/>
  </r>
  <r>
    <s v="TXN-101306"/>
    <x v="1306"/>
    <x v="1"/>
    <x v="3"/>
    <n v="7"/>
    <n v="318.99"/>
    <n v="33.78"/>
    <n v="2232.9300000000003"/>
  </r>
  <r>
    <s v="TXN-101307"/>
    <x v="1307"/>
    <x v="1"/>
    <x v="1"/>
    <n v="1"/>
    <n v="354.52"/>
    <n v="6.56"/>
    <n v="354.52"/>
  </r>
  <r>
    <s v="TXN-101308"/>
    <x v="1308"/>
    <x v="2"/>
    <x v="1"/>
    <n v="1"/>
    <n v="158.93"/>
    <n v="36.08"/>
    <n v="158.93"/>
  </r>
  <r>
    <s v="TXN-101309"/>
    <x v="1309"/>
    <x v="1"/>
    <x v="3"/>
    <n v="5"/>
    <n v="155.54"/>
    <n v="28.76"/>
    <n v="777.69999999999993"/>
  </r>
  <r>
    <s v="TXN-101310"/>
    <x v="1310"/>
    <x v="0"/>
    <x v="1"/>
    <n v="6"/>
    <n v="257.87"/>
    <n v="17.989999999999998"/>
    <n v="1547.22"/>
  </r>
  <r>
    <s v="TXN-101311"/>
    <x v="1311"/>
    <x v="3"/>
    <x v="0"/>
    <n v="13"/>
    <n v="389.73"/>
    <n v="41.66"/>
    <n v="5066.49"/>
  </r>
  <r>
    <s v="TXN-101312"/>
    <x v="1312"/>
    <x v="2"/>
    <x v="2"/>
    <n v="2"/>
    <n v="112.79"/>
    <n v="18.05"/>
    <n v="225.58"/>
  </r>
  <r>
    <s v="TXN-101313"/>
    <x v="1313"/>
    <x v="2"/>
    <x v="0"/>
    <n v="15"/>
    <n v="424.48"/>
    <n v="49.61"/>
    <n v="6367.2000000000007"/>
  </r>
  <r>
    <s v="TXN-101314"/>
    <x v="1314"/>
    <x v="3"/>
    <x v="1"/>
    <n v="15"/>
    <n v="275.82"/>
    <n v="41.74"/>
    <n v="4137.3"/>
  </r>
  <r>
    <s v="TXN-101315"/>
    <x v="1315"/>
    <x v="1"/>
    <x v="3"/>
    <n v="13"/>
    <n v="446.58"/>
    <n v="36.86"/>
    <n v="5805.54"/>
  </r>
  <r>
    <s v="TXN-101316"/>
    <x v="1316"/>
    <x v="3"/>
    <x v="3"/>
    <n v="14"/>
    <n v="54.44"/>
    <n v="7.76"/>
    <n v="762.16"/>
  </r>
  <r>
    <s v="TXN-101317"/>
    <x v="1317"/>
    <x v="1"/>
    <x v="0"/>
    <n v="7"/>
    <n v="70.489999999999995"/>
    <n v="45.69"/>
    <n v="493.42999999999995"/>
  </r>
  <r>
    <s v="TXN-101318"/>
    <x v="1318"/>
    <x v="3"/>
    <x v="3"/>
    <n v="14"/>
    <n v="374.68"/>
    <n v="40.549999999999997"/>
    <n v="5245.52"/>
  </r>
  <r>
    <s v="TXN-101319"/>
    <x v="1319"/>
    <x v="0"/>
    <x v="1"/>
    <n v="10"/>
    <n v="391.24"/>
    <n v="15.31"/>
    <n v="3912.4"/>
  </r>
  <r>
    <s v="TXN-101320"/>
    <x v="1320"/>
    <x v="1"/>
    <x v="0"/>
    <n v="17"/>
    <n v="209.05"/>
    <n v="22.65"/>
    <n v="3553.8500000000004"/>
  </r>
  <r>
    <s v="TXN-101321"/>
    <x v="1321"/>
    <x v="0"/>
    <x v="3"/>
    <n v="14"/>
    <n v="325.76"/>
    <n v="17.09"/>
    <n v="4560.6399999999994"/>
  </r>
  <r>
    <s v="TXN-101322"/>
    <x v="1322"/>
    <x v="2"/>
    <x v="2"/>
    <n v="8"/>
    <n v="392.45"/>
    <n v="49.3"/>
    <n v="3139.6"/>
  </r>
  <r>
    <s v="TXN-101323"/>
    <x v="1323"/>
    <x v="3"/>
    <x v="2"/>
    <n v="4"/>
    <n v="34.24"/>
    <n v="43.44"/>
    <n v="136.96"/>
  </r>
  <r>
    <s v="TXN-101324"/>
    <x v="1324"/>
    <x v="2"/>
    <x v="1"/>
    <n v="16"/>
    <n v="264.88"/>
    <n v="46.86"/>
    <n v="4238.08"/>
  </r>
  <r>
    <s v="TXN-101325"/>
    <x v="1325"/>
    <x v="2"/>
    <x v="3"/>
    <n v="13"/>
    <n v="386.34"/>
    <n v="40.49"/>
    <n v="5022.42"/>
  </r>
  <r>
    <s v="TXN-101326"/>
    <x v="1326"/>
    <x v="2"/>
    <x v="1"/>
    <n v="18"/>
    <n v="188.5"/>
    <n v="25.54"/>
    <n v="3393"/>
  </r>
  <r>
    <s v="TXN-101327"/>
    <x v="1327"/>
    <x v="2"/>
    <x v="0"/>
    <n v="14"/>
    <n v="146.88999999999999"/>
    <n v="14.24"/>
    <n v="2056.46"/>
  </r>
  <r>
    <s v="TXN-101328"/>
    <x v="1328"/>
    <x v="3"/>
    <x v="2"/>
    <n v="18"/>
    <n v="361.23"/>
    <n v="14.36"/>
    <n v="6502.14"/>
  </r>
  <r>
    <s v="TXN-101329"/>
    <x v="1329"/>
    <x v="2"/>
    <x v="0"/>
    <n v="5"/>
    <n v="161.4"/>
    <n v="11.83"/>
    <n v="807"/>
  </r>
  <r>
    <s v="TXN-101330"/>
    <x v="1330"/>
    <x v="3"/>
    <x v="3"/>
    <n v="9"/>
    <n v="16.88"/>
    <n v="29.6"/>
    <n v="151.91999999999999"/>
  </r>
  <r>
    <s v="TXN-101331"/>
    <x v="1331"/>
    <x v="3"/>
    <x v="1"/>
    <n v="3"/>
    <n v="432.43"/>
    <n v="46.4"/>
    <n v="1297.29"/>
  </r>
  <r>
    <s v="TXN-101332"/>
    <x v="1332"/>
    <x v="0"/>
    <x v="1"/>
    <n v="8"/>
    <n v="272.77999999999997"/>
    <n v="49.63"/>
    <n v="2182.2399999999998"/>
  </r>
  <r>
    <s v="TXN-101333"/>
    <x v="1333"/>
    <x v="1"/>
    <x v="1"/>
    <n v="10"/>
    <n v="371.58"/>
    <n v="17.93"/>
    <n v="3715.7999999999997"/>
  </r>
  <r>
    <s v="TXN-101334"/>
    <x v="1334"/>
    <x v="1"/>
    <x v="0"/>
    <n v="19"/>
    <n v="374.09"/>
    <n v="36.380000000000003"/>
    <n v="7107.7099999999991"/>
  </r>
  <r>
    <s v="TXN-101335"/>
    <x v="1335"/>
    <x v="3"/>
    <x v="2"/>
    <n v="3"/>
    <n v="44.36"/>
    <n v="31.87"/>
    <n v="133.07999999999998"/>
  </r>
  <r>
    <s v="TXN-101336"/>
    <x v="1336"/>
    <x v="0"/>
    <x v="0"/>
    <n v="11"/>
    <n v="89.74"/>
    <n v="27"/>
    <n v="987.14"/>
  </r>
  <r>
    <s v="TXN-101337"/>
    <x v="1337"/>
    <x v="3"/>
    <x v="0"/>
    <n v="11"/>
    <n v="150.68"/>
    <n v="34.96"/>
    <n v="1657.48"/>
  </r>
  <r>
    <s v="TXN-101338"/>
    <x v="1338"/>
    <x v="3"/>
    <x v="3"/>
    <n v="17"/>
    <n v="154.84"/>
    <n v="21.71"/>
    <n v="2632.28"/>
  </r>
  <r>
    <s v="TXN-101339"/>
    <x v="1339"/>
    <x v="3"/>
    <x v="3"/>
    <n v="16"/>
    <n v="301.74"/>
    <n v="47.5"/>
    <n v="4827.84"/>
  </r>
  <r>
    <s v="TXN-101340"/>
    <x v="1340"/>
    <x v="0"/>
    <x v="3"/>
    <n v="7"/>
    <n v="286.25"/>
    <n v="36.75"/>
    <n v="2003.75"/>
  </r>
  <r>
    <s v="TXN-101341"/>
    <x v="1341"/>
    <x v="1"/>
    <x v="2"/>
    <n v="4"/>
    <n v="230.4"/>
    <n v="38.94"/>
    <n v="921.6"/>
  </r>
  <r>
    <s v="TXN-101342"/>
    <x v="1342"/>
    <x v="0"/>
    <x v="2"/>
    <n v="19"/>
    <n v="107.29"/>
    <n v="15.91"/>
    <n v="2038.5100000000002"/>
  </r>
  <r>
    <s v="TXN-101343"/>
    <x v="1343"/>
    <x v="2"/>
    <x v="3"/>
    <n v="12"/>
    <n v="181.47"/>
    <n v="12.59"/>
    <n v="2177.64"/>
  </r>
  <r>
    <s v="TXN-101344"/>
    <x v="1344"/>
    <x v="0"/>
    <x v="3"/>
    <n v="15"/>
    <n v="251.69"/>
    <n v="22.75"/>
    <n v="3775.35"/>
  </r>
  <r>
    <s v="TXN-101345"/>
    <x v="1345"/>
    <x v="0"/>
    <x v="2"/>
    <n v="11"/>
    <n v="218.84"/>
    <n v="39.5"/>
    <n v="2407.2400000000002"/>
  </r>
  <r>
    <s v="TXN-101346"/>
    <x v="1346"/>
    <x v="0"/>
    <x v="1"/>
    <n v="5"/>
    <n v="70.81"/>
    <n v="47.25"/>
    <n v="354.05"/>
  </r>
  <r>
    <s v="TXN-101347"/>
    <x v="1347"/>
    <x v="0"/>
    <x v="2"/>
    <n v="5"/>
    <n v="297.70999999999998"/>
    <n v="24.23"/>
    <n v="1488.55"/>
  </r>
  <r>
    <s v="TXN-101348"/>
    <x v="1348"/>
    <x v="1"/>
    <x v="2"/>
    <n v="15"/>
    <n v="47.24"/>
    <n v="39.840000000000003"/>
    <n v="708.6"/>
  </r>
  <r>
    <s v="TXN-101349"/>
    <x v="1349"/>
    <x v="2"/>
    <x v="2"/>
    <n v="18"/>
    <n v="179.83"/>
    <n v="26.17"/>
    <n v="3236.94"/>
  </r>
  <r>
    <s v="TXN-101350"/>
    <x v="1350"/>
    <x v="1"/>
    <x v="3"/>
    <n v="11"/>
    <n v="324.01"/>
    <n v="18.29"/>
    <n v="3564.1099999999997"/>
  </r>
  <r>
    <s v="TXN-101351"/>
    <x v="1351"/>
    <x v="1"/>
    <x v="1"/>
    <n v="12"/>
    <n v="24.2"/>
    <n v="38.270000000000003"/>
    <n v="290.39999999999998"/>
  </r>
  <r>
    <s v="TXN-101352"/>
    <x v="1352"/>
    <x v="0"/>
    <x v="2"/>
    <n v="2"/>
    <n v="263.16000000000003"/>
    <n v="40.92"/>
    <n v="526.32000000000005"/>
  </r>
  <r>
    <s v="TXN-101353"/>
    <x v="1353"/>
    <x v="3"/>
    <x v="3"/>
    <n v="15"/>
    <n v="160.85"/>
    <n v="14.13"/>
    <n v="2412.75"/>
  </r>
  <r>
    <s v="TXN-101354"/>
    <x v="1354"/>
    <x v="3"/>
    <x v="0"/>
    <n v="4"/>
    <n v="19.34"/>
    <n v="18.73"/>
    <n v="77.36"/>
  </r>
  <r>
    <s v="TXN-101355"/>
    <x v="1355"/>
    <x v="1"/>
    <x v="0"/>
    <n v="18"/>
    <n v="98.22"/>
    <n v="27.26"/>
    <n v="1767.96"/>
  </r>
  <r>
    <s v="TXN-101356"/>
    <x v="1356"/>
    <x v="1"/>
    <x v="2"/>
    <n v="6"/>
    <n v="424.34"/>
    <n v="13.39"/>
    <n v="2546.04"/>
  </r>
  <r>
    <s v="TXN-101357"/>
    <x v="1357"/>
    <x v="0"/>
    <x v="0"/>
    <n v="19"/>
    <n v="241.94"/>
    <n v="46.8"/>
    <n v="4596.8599999999997"/>
  </r>
  <r>
    <s v="TXN-101358"/>
    <x v="1358"/>
    <x v="1"/>
    <x v="1"/>
    <n v="11"/>
    <n v="448.8"/>
    <n v="31.61"/>
    <n v="4936.8"/>
  </r>
  <r>
    <s v="TXN-101359"/>
    <x v="1359"/>
    <x v="0"/>
    <x v="0"/>
    <n v="2"/>
    <n v="243.53"/>
    <n v="10.45"/>
    <n v="487.06"/>
  </r>
  <r>
    <s v="TXN-101360"/>
    <x v="1360"/>
    <x v="3"/>
    <x v="0"/>
    <n v="8"/>
    <n v="251.84"/>
    <n v="13.28"/>
    <n v="2014.72"/>
  </r>
  <r>
    <s v="TXN-101361"/>
    <x v="1361"/>
    <x v="3"/>
    <x v="1"/>
    <n v="11"/>
    <n v="185.76"/>
    <n v="47.95"/>
    <n v="2043.36"/>
  </r>
  <r>
    <s v="TXN-101362"/>
    <x v="1362"/>
    <x v="2"/>
    <x v="2"/>
    <n v="5"/>
    <n v="150.21"/>
    <n v="38.22"/>
    <n v="751.05000000000007"/>
  </r>
  <r>
    <s v="TXN-101363"/>
    <x v="1363"/>
    <x v="3"/>
    <x v="2"/>
    <n v="18"/>
    <n v="124.8"/>
    <n v="38.049999999999997"/>
    <n v="2246.4"/>
  </r>
  <r>
    <s v="TXN-101364"/>
    <x v="1364"/>
    <x v="1"/>
    <x v="1"/>
    <n v="18"/>
    <n v="164.72"/>
    <n v="8.26"/>
    <n v="2964.96"/>
  </r>
  <r>
    <s v="TXN-101365"/>
    <x v="1365"/>
    <x v="3"/>
    <x v="1"/>
    <n v="14"/>
    <n v="215.31"/>
    <n v="45.29"/>
    <n v="3014.34"/>
  </r>
  <r>
    <s v="TXN-101366"/>
    <x v="1366"/>
    <x v="0"/>
    <x v="1"/>
    <n v="10"/>
    <n v="98.92"/>
    <n v="24.97"/>
    <n v="989.2"/>
  </r>
  <r>
    <s v="TXN-101367"/>
    <x v="1367"/>
    <x v="3"/>
    <x v="0"/>
    <n v="3"/>
    <n v="113.21"/>
    <n v="34.69"/>
    <n v="339.63"/>
  </r>
  <r>
    <s v="TXN-101368"/>
    <x v="1368"/>
    <x v="2"/>
    <x v="1"/>
    <n v="9"/>
    <n v="133.49"/>
    <n v="48.19"/>
    <n v="1201.4100000000001"/>
  </r>
  <r>
    <s v="TXN-101369"/>
    <x v="1369"/>
    <x v="3"/>
    <x v="3"/>
    <n v="3"/>
    <n v="210.7"/>
    <n v="9.5"/>
    <n v="632.09999999999991"/>
  </r>
  <r>
    <s v="TXN-101370"/>
    <x v="1370"/>
    <x v="0"/>
    <x v="0"/>
    <n v="11"/>
    <n v="299.14999999999998"/>
    <n v="26.7"/>
    <n v="3290.6499999999996"/>
  </r>
  <r>
    <s v="TXN-101371"/>
    <x v="1371"/>
    <x v="0"/>
    <x v="2"/>
    <n v="12"/>
    <n v="387.5"/>
    <n v="7.23"/>
    <n v="4650"/>
  </r>
  <r>
    <s v="TXN-101372"/>
    <x v="1372"/>
    <x v="1"/>
    <x v="2"/>
    <n v="12"/>
    <n v="140.26"/>
    <n v="27.48"/>
    <n v="1683.12"/>
  </r>
  <r>
    <s v="TXN-101373"/>
    <x v="1373"/>
    <x v="3"/>
    <x v="2"/>
    <n v="3"/>
    <n v="95.33"/>
    <n v="16.350000000000001"/>
    <n v="285.99"/>
  </r>
  <r>
    <s v="TXN-101374"/>
    <x v="1374"/>
    <x v="0"/>
    <x v="0"/>
    <n v="7"/>
    <n v="180.11"/>
    <n v="46"/>
    <n v="1260.77"/>
  </r>
  <r>
    <s v="TXN-101375"/>
    <x v="1375"/>
    <x v="2"/>
    <x v="3"/>
    <n v="14"/>
    <n v="404.11"/>
    <n v="22.93"/>
    <n v="5657.54"/>
  </r>
  <r>
    <s v="TXN-101376"/>
    <x v="1376"/>
    <x v="1"/>
    <x v="1"/>
    <n v="11"/>
    <n v="19.78"/>
    <n v="33.520000000000003"/>
    <n v="217.58"/>
  </r>
  <r>
    <s v="TXN-101377"/>
    <x v="1377"/>
    <x v="2"/>
    <x v="1"/>
    <n v="7"/>
    <n v="310.02999999999997"/>
    <n v="43.71"/>
    <n v="2170.21"/>
  </r>
  <r>
    <s v="TXN-101378"/>
    <x v="1378"/>
    <x v="3"/>
    <x v="2"/>
    <n v="10"/>
    <n v="222.83"/>
    <n v="49.27"/>
    <n v="2228.3000000000002"/>
  </r>
  <r>
    <s v="TXN-101379"/>
    <x v="1379"/>
    <x v="3"/>
    <x v="2"/>
    <n v="11"/>
    <n v="85.47"/>
    <n v="27.67"/>
    <n v="940.17"/>
  </r>
  <r>
    <s v="TXN-101380"/>
    <x v="1380"/>
    <x v="3"/>
    <x v="0"/>
    <n v="15"/>
    <n v="154.97999999999999"/>
    <n v="25.51"/>
    <n v="2324.6999999999998"/>
  </r>
  <r>
    <s v="TXN-101381"/>
    <x v="1381"/>
    <x v="1"/>
    <x v="3"/>
    <n v="19"/>
    <n v="113.24"/>
    <n v="8.41"/>
    <n v="2151.56"/>
  </r>
  <r>
    <s v="TXN-101382"/>
    <x v="1382"/>
    <x v="0"/>
    <x v="1"/>
    <n v="16"/>
    <n v="396.92"/>
    <n v="5.57"/>
    <n v="6350.72"/>
  </r>
  <r>
    <s v="TXN-101383"/>
    <x v="1383"/>
    <x v="1"/>
    <x v="0"/>
    <n v="12"/>
    <n v="224.87"/>
    <n v="32.4"/>
    <n v="2698.44"/>
  </r>
  <r>
    <s v="TXN-101384"/>
    <x v="1384"/>
    <x v="2"/>
    <x v="1"/>
    <n v="18"/>
    <n v="260.16000000000003"/>
    <n v="7.95"/>
    <n v="4682.88"/>
  </r>
  <r>
    <s v="TXN-101385"/>
    <x v="1385"/>
    <x v="1"/>
    <x v="2"/>
    <n v="13"/>
    <n v="273.45999999999998"/>
    <n v="22.12"/>
    <n v="3554.9799999999996"/>
  </r>
  <r>
    <s v="TXN-101386"/>
    <x v="1386"/>
    <x v="2"/>
    <x v="1"/>
    <n v="5"/>
    <n v="293.41000000000003"/>
    <n v="5.16"/>
    <n v="1467.0500000000002"/>
  </r>
  <r>
    <s v="TXN-101387"/>
    <x v="1387"/>
    <x v="1"/>
    <x v="3"/>
    <n v="4"/>
    <n v="230.82"/>
    <n v="32.69"/>
    <n v="923.28"/>
  </r>
  <r>
    <s v="TXN-101388"/>
    <x v="1388"/>
    <x v="0"/>
    <x v="3"/>
    <n v="14"/>
    <n v="23.27"/>
    <n v="24.14"/>
    <n v="325.77999999999997"/>
  </r>
  <r>
    <s v="TXN-101389"/>
    <x v="1389"/>
    <x v="2"/>
    <x v="2"/>
    <n v="8"/>
    <n v="160.94"/>
    <n v="10.72"/>
    <n v="1287.52"/>
  </r>
  <r>
    <s v="TXN-101390"/>
    <x v="1390"/>
    <x v="3"/>
    <x v="3"/>
    <n v="9"/>
    <n v="95.39"/>
    <n v="18.34"/>
    <n v="858.51"/>
  </r>
  <r>
    <s v="TXN-101391"/>
    <x v="1391"/>
    <x v="3"/>
    <x v="3"/>
    <n v="19"/>
    <n v="311.02"/>
    <n v="30.63"/>
    <n v="5909.3799999999992"/>
  </r>
  <r>
    <s v="TXN-101392"/>
    <x v="1392"/>
    <x v="1"/>
    <x v="0"/>
    <n v="3"/>
    <n v="40.14"/>
    <n v="34.549999999999997"/>
    <n v="120.42"/>
  </r>
  <r>
    <s v="TXN-101393"/>
    <x v="1393"/>
    <x v="3"/>
    <x v="1"/>
    <n v="5"/>
    <n v="260.47000000000003"/>
    <n v="25.81"/>
    <n v="1302.3500000000001"/>
  </r>
  <r>
    <s v="TXN-101394"/>
    <x v="1394"/>
    <x v="2"/>
    <x v="2"/>
    <n v="18"/>
    <n v="107.02"/>
    <n v="41.18"/>
    <n v="1926.36"/>
  </r>
  <r>
    <s v="TXN-101395"/>
    <x v="1395"/>
    <x v="3"/>
    <x v="2"/>
    <n v="1"/>
    <n v="427.77"/>
    <n v="10.06"/>
    <n v="427.77"/>
  </r>
  <r>
    <s v="TXN-101396"/>
    <x v="1396"/>
    <x v="0"/>
    <x v="2"/>
    <n v="8"/>
    <n v="161.29"/>
    <n v="8.8000000000000007"/>
    <n v="1290.32"/>
  </r>
  <r>
    <s v="TXN-101397"/>
    <x v="1397"/>
    <x v="0"/>
    <x v="2"/>
    <n v="19"/>
    <n v="156.81"/>
    <n v="6.99"/>
    <n v="2979.39"/>
  </r>
  <r>
    <s v="TXN-101398"/>
    <x v="1398"/>
    <x v="1"/>
    <x v="2"/>
    <n v="17"/>
    <n v="416.71"/>
    <n v="29.11"/>
    <n v="7084.07"/>
  </r>
  <r>
    <s v="TXN-101399"/>
    <x v="1399"/>
    <x v="2"/>
    <x v="3"/>
    <n v="17"/>
    <n v="196.84"/>
    <n v="36.78"/>
    <n v="3346.28"/>
  </r>
  <r>
    <s v="TXN-101400"/>
    <x v="1400"/>
    <x v="0"/>
    <x v="0"/>
    <n v="11"/>
    <n v="433.86"/>
    <n v="10.87"/>
    <n v="4772.46"/>
  </r>
  <r>
    <s v="TXN-101401"/>
    <x v="1401"/>
    <x v="0"/>
    <x v="2"/>
    <n v="2"/>
    <n v="26"/>
    <n v="33.75"/>
    <n v="52"/>
  </r>
  <r>
    <s v="TXN-101402"/>
    <x v="1402"/>
    <x v="2"/>
    <x v="0"/>
    <n v="6"/>
    <n v="148.61000000000001"/>
    <n v="26.46"/>
    <n v="891.66000000000008"/>
  </r>
  <r>
    <s v="TXN-101403"/>
    <x v="1403"/>
    <x v="3"/>
    <x v="0"/>
    <n v="14"/>
    <n v="304.95999999999998"/>
    <n v="49.43"/>
    <n v="4269.4399999999996"/>
  </r>
  <r>
    <s v="TXN-101404"/>
    <x v="1404"/>
    <x v="3"/>
    <x v="3"/>
    <n v="3"/>
    <n v="402.58"/>
    <n v="37.29"/>
    <n v="1207.74"/>
  </r>
  <r>
    <s v="TXN-101405"/>
    <x v="1405"/>
    <x v="1"/>
    <x v="2"/>
    <n v="12"/>
    <n v="126.91"/>
    <n v="34.590000000000003"/>
    <n v="1522.92"/>
  </r>
  <r>
    <s v="TXN-101406"/>
    <x v="1406"/>
    <x v="3"/>
    <x v="3"/>
    <n v="4"/>
    <n v="419.79"/>
    <n v="30.67"/>
    <n v="1679.16"/>
  </r>
  <r>
    <s v="TXN-101407"/>
    <x v="1407"/>
    <x v="2"/>
    <x v="2"/>
    <n v="12"/>
    <n v="273.64999999999998"/>
    <n v="49.88"/>
    <n v="3283.7999999999997"/>
  </r>
  <r>
    <s v="TXN-101408"/>
    <x v="1408"/>
    <x v="0"/>
    <x v="3"/>
    <n v="13"/>
    <n v="363.54"/>
    <n v="49.12"/>
    <n v="4726.0200000000004"/>
  </r>
  <r>
    <s v="TXN-101409"/>
    <x v="1409"/>
    <x v="3"/>
    <x v="0"/>
    <n v="2"/>
    <n v="188.09"/>
    <n v="29.22"/>
    <n v="376.18"/>
  </r>
  <r>
    <s v="TXN-101410"/>
    <x v="1410"/>
    <x v="1"/>
    <x v="2"/>
    <n v="2"/>
    <n v="107.69"/>
    <n v="25.48"/>
    <n v="215.38"/>
  </r>
  <r>
    <s v="TXN-101411"/>
    <x v="1411"/>
    <x v="3"/>
    <x v="1"/>
    <n v="15"/>
    <n v="411.43"/>
    <n v="25.8"/>
    <n v="6171.45"/>
  </r>
  <r>
    <s v="TXN-101412"/>
    <x v="1412"/>
    <x v="2"/>
    <x v="0"/>
    <n v="17"/>
    <n v="420.95"/>
    <n v="24.28"/>
    <n v="7156.15"/>
  </r>
  <r>
    <s v="TXN-101413"/>
    <x v="1413"/>
    <x v="1"/>
    <x v="1"/>
    <n v="7"/>
    <n v="231.7"/>
    <n v="28.91"/>
    <n v="1621.8999999999999"/>
  </r>
  <r>
    <s v="TXN-101414"/>
    <x v="1414"/>
    <x v="3"/>
    <x v="0"/>
    <n v="14"/>
    <n v="18.32"/>
    <n v="17.309999999999999"/>
    <n v="256.48"/>
  </r>
  <r>
    <s v="TXN-101415"/>
    <x v="1415"/>
    <x v="1"/>
    <x v="3"/>
    <n v="12"/>
    <n v="63.2"/>
    <n v="46.71"/>
    <n v="758.40000000000009"/>
  </r>
  <r>
    <s v="TXN-101416"/>
    <x v="1416"/>
    <x v="2"/>
    <x v="2"/>
    <n v="17"/>
    <n v="264.48"/>
    <n v="27.06"/>
    <n v="4496.16"/>
  </r>
  <r>
    <s v="TXN-101417"/>
    <x v="1417"/>
    <x v="0"/>
    <x v="0"/>
    <n v="14"/>
    <n v="25.83"/>
    <n v="42.89"/>
    <n v="361.62"/>
  </r>
  <r>
    <s v="TXN-101418"/>
    <x v="1418"/>
    <x v="2"/>
    <x v="3"/>
    <n v="6"/>
    <n v="187.96"/>
    <n v="26.39"/>
    <n v="1127.76"/>
  </r>
  <r>
    <s v="TXN-101419"/>
    <x v="1419"/>
    <x v="2"/>
    <x v="2"/>
    <n v="19"/>
    <n v="147.31"/>
    <n v="37.32"/>
    <n v="2798.89"/>
  </r>
  <r>
    <s v="TXN-101420"/>
    <x v="1420"/>
    <x v="2"/>
    <x v="2"/>
    <n v="6"/>
    <n v="325.88"/>
    <n v="20.16"/>
    <n v="1955.28"/>
  </r>
  <r>
    <s v="TXN-101421"/>
    <x v="1421"/>
    <x v="2"/>
    <x v="0"/>
    <n v="18"/>
    <n v="39.65"/>
    <n v="33.119999999999997"/>
    <n v="713.69999999999993"/>
  </r>
  <r>
    <s v="TXN-101422"/>
    <x v="1422"/>
    <x v="0"/>
    <x v="2"/>
    <n v="5"/>
    <n v="227.85"/>
    <n v="27.43"/>
    <n v="1139.25"/>
  </r>
  <r>
    <s v="TXN-101423"/>
    <x v="1423"/>
    <x v="0"/>
    <x v="0"/>
    <n v="6"/>
    <n v="267.13"/>
    <n v="21.52"/>
    <n v="1602.78"/>
  </r>
  <r>
    <s v="TXN-101424"/>
    <x v="1424"/>
    <x v="1"/>
    <x v="2"/>
    <n v="2"/>
    <n v="283.70999999999998"/>
    <n v="44.67"/>
    <n v="567.41999999999996"/>
  </r>
  <r>
    <s v="TXN-101425"/>
    <x v="1425"/>
    <x v="3"/>
    <x v="1"/>
    <n v="8"/>
    <n v="191.54"/>
    <n v="10.07"/>
    <n v="1532.32"/>
  </r>
  <r>
    <s v="TXN-101426"/>
    <x v="1426"/>
    <x v="0"/>
    <x v="3"/>
    <n v="15"/>
    <n v="147.75"/>
    <n v="26.91"/>
    <n v="2216.25"/>
  </r>
  <r>
    <s v="TXN-101427"/>
    <x v="1427"/>
    <x v="0"/>
    <x v="1"/>
    <n v="15"/>
    <n v="312.04000000000002"/>
    <n v="13.75"/>
    <n v="4680.6000000000004"/>
  </r>
  <r>
    <s v="TXN-101428"/>
    <x v="1428"/>
    <x v="3"/>
    <x v="0"/>
    <n v="11"/>
    <n v="383.77"/>
    <n v="43.75"/>
    <n v="4221.4699999999993"/>
  </r>
  <r>
    <s v="TXN-101429"/>
    <x v="1429"/>
    <x v="0"/>
    <x v="1"/>
    <n v="1"/>
    <n v="316.88"/>
    <n v="16.41"/>
    <n v="316.88"/>
  </r>
  <r>
    <s v="TXN-101430"/>
    <x v="1430"/>
    <x v="2"/>
    <x v="0"/>
    <n v="18"/>
    <n v="420.5"/>
    <n v="33.5"/>
    <n v="7569"/>
  </r>
  <r>
    <s v="TXN-101431"/>
    <x v="1431"/>
    <x v="2"/>
    <x v="2"/>
    <n v="12"/>
    <n v="327.14999999999998"/>
    <n v="12.45"/>
    <n v="3925.7999999999997"/>
  </r>
  <r>
    <s v="TXN-101432"/>
    <x v="1432"/>
    <x v="3"/>
    <x v="2"/>
    <n v="12"/>
    <n v="347.73"/>
    <n v="23.22"/>
    <n v="4172.76"/>
  </r>
  <r>
    <s v="TXN-101433"/>
    <x v="1433"/>
    <x v="1"/>
    <x v="0"/>
    <n v="11"/>
    <n v="88.45"/>
    <n v="45.47"/>
    <n v="972.95"/>
  </r>
  <r>
    <s v="TXN-101434"/>
    <x v="1434"/>
    <x v="1"/>
    <x v="1"/>
    <n v="8"/>
    <n v="197.79"/>
    <n v="12.47"/>
    <n v="1582.32"/>
  </r>
  <r>
    <s v="TXN-101435"/>
    <x v="1435"/>
    <x v="3"/>
    <x v="2"/>
    <n v="7"/>
    <n v="226.26"/>
    <n v="34.840000000000003"/>
    <n v="1583.82"/>
  </r>
  <r>
    <s v="TXN-101436"/>
    <x v="1436"/>
    <x v="3"/>
    <x v="3"/>
    <n v="2"/>
    <n v="126.86"/>
    <n v="14.2"/>
    <n v="253.72"/>
  </r>
  <r>
    <s v="TXN-101437"/>
    <x v="1437"/>
    <x v="2"/>
    <x v="2"/>
    <n v="11"/>
    <n v="245.15"/>
    <n v="23.71"/>
    <n v="2696.65"/>
  </r>
  <r>
    <s v="TXN-101438"/>
    <x v="1438"/>
    <x v="1"/>
    <x v="3"/>
    <n v="10"/>
    <n v="141.85"/>
    <n v="29.33"/>
    <n v="1418.5"/>
  </r>
  <r>
    <s v="TXN-101439"/>
    <x v="1439"/>
    <x v="0"/>
    <x v="1"/>
    <n v="3"/>
    <n v="314.22000000000003"/>
    <n v="30.98"/>
    <n v="942.66000000000008"/>
  </r>
  <r>
    <s v="TXN-101440"/>
    <x v="1440"/>
    <x v="2"/>
    <x v="3"/>
    <n v="10"/>
    <n v="219.84"/>
    <n v="32.11"/>
    <n v="2198.4"/>
  </r>
  <r>
    <s v="TXN-101441"/>
    <x v="1441"/>
    <x v="3"/>
    <x v="3"/>
    <n v="18"/>
    <n v="214.85"/>
    <n v="33.81"/>
    <n v="3867.2999999999997"/>
  </r>
  <r>
    <s v="TXN-101442"/>
    <x v="1442"/>
    <x v="1"/>
    <x v="3"/>
    <n v="14"/>
    <n v="442.89"/>
    <n v="17.23"/>
    <n v="6200.46"/>
  </r>
  <r>
    <s v="TXN-101443"/>
    <x v="1443"/>
    <x v="0"/>
    <x v="3"/>
    <n v="18"/>
    <n v="186.02"/>
    <n v="23.06"/>
    <n v="3348.36"/>
  </r>
  <r>
    <s v="TXN-101444"/>
    <x v="1444"/>
    <x v="0"/>
    <x v="2"/>
    <n v="8"/>
    <n v="172.92"/>
    <n v="6.68"/>
    <n v="1383.36"/>
  </r>
  <r>
    <s v="TXN-101445"/>
    <x v="1445"/>
    <x v="2"/>
    <x v="3"/>
    <n v="10"/>
    <n v="153.93"/>
    <n v="39.590000000000003"/>
    <n v="1539.3000000000002"/>
  </r>
  <r>
    <s v="TXN-101446"/>
    <x v="1446"/>
    <x v="1"/>
    <x v="2"/>
    <n v="13"/>
    <n v="404.27"/>
    <n v="42.67"/>
    <n v="5255.51"/>
  </r>
  <r>
    <s v="TXN-101447"/>
    <x v="1447"/>
    <x v="1"/>
    <x v="3"/>
    <n v="8"/>
    <n v="231.33"/>
    <n v="13.97"/>
    <n v="1850.64"/>
  </r>
  <r>
    <s v="TXN-101448"/>
    <x v="1448"/>
    <x v="3"/>
    <x v="0"/>
    <n v="4"/>
    <n v="276.20999999999998"/>
    <n v="14.06"/>
    <n v="1104.8399999999999"/>
  </r>
  <r>
    <s v="TXN-101449"/>
    <x v="1449"/>
    <x v="1"/>
    <x v="1"/>
    <n v="4"/>
    <n v="94.07"/>
    <n v="6.89"/>
    <n v="376.28"/>
  </r>
  <r>
    <s v="TXN-101450"/>
    <x v="1450"/>
    <x v="1"/>
    <x v="3"/>
    <n v="5"/>
    <n v="250.54"/>
    <n v="48.67"/>
    <n v="1252.7"/>
  </r>
  <r>
    <s v="TXN-101451"/>
    <x v="1451"/>
    <x v="2"/>
    <x v="0"/>
    <n v="1"/>
    <n v="134.83000000000001"/>
    <n v="41.32"/>
    <n v="134.83000000000001"/>
  </r>
  <r>
    <s v="TXN-101452"/>
    <x v="1452"/>
    <x v="1"/>
    <x v="3"/>
    <n v="17"/>
    <n v="332.96"/>
    <n v="21.23"/>
    <n v="5660.32"/>
  </r>
  <r>
    <s v="TXN-101453"/>
    <x v="1453"/>
    <x v="0"/>
    <x v="3"/>
    <n v="2"/>
    <n v="377.23"/>
    <n v="26.69"/>
    <n v="754.46"/>
  </r>
  <r>
    <s v="TXN-101454"/>
    <x v="1454"/>
    <x v="2"/>
    <x v="3"/>
    <n v="8"/>
    <n v="326.08999999999997"/>
    <n v="18.14"/>
    <n v="2608.7199999999998"/>
  </r>
  <r>
    <s v="TXN-101455"/>
    <x v="1455"/>
    <x v="2"/>
    <x v="0"/>
    <n v="7"/>
    <n v="332.79"/>
    <n v="31.88"/>
    <n v="2329.5300000000002"/>
  </r>
  <r>
    <s v="TXN-101456"/>
    <x v="1456"/>
    <x v="3"/>
    <x v="1"/>
    <n v="15"/>
    <n v="238.17"/>
    <n v="37.28"/>
    <n v="3572.5499999999997"/>
  </r>
  <r>
    <s v="TXN-101457"/>
    <x v="1457"/>
    <x v="1"/>
    <x v="0"/>
    <n v="5"/>
    <n v="324.92"/>
    <n v="25.13"/>
    <n v="1624.6000000000001"/>
  </r>
  <r>
    <s v="TXN-101458"/>
    <x v="1458"/>
    <x v="3"/>
    <x v="1"/>
    <n v="2"/>
    <n v="199.16"/>
    <n v="44.31"/>
    <n v="398.32"/>
  </r>
  <r>
    <s v="TXN-101459"/>
    <x v="1459"/>
    <x v="0"/>
    <x v="3"/>
    <n v="7"/>
    <n v="298.57"/>
    <n v="28.27"/>
    <n v="2089.9899999999998"/>
  </r>
  <r>
    <s v="TXN-101460"/>
    <x v="1460"/>
    <x v="2"/>
    <x v="2"/>
    <n v="8"/>
    <n v="128.05000000000001"/>
    <n v="11.49"/>
    <n v="1024.4000000000001"/>
  </r>
  <r>
    <s v="TXN-101461"/>
    <x v="1461"/>
    <x v="2"/>
    <x v="3"/>
    <n v="7"/>
    <n v="45.81"/>
    <n v="33"/>
    <n v="320.67"/>
  </r>
  <r>
    <s v="TXN-101462"/>
    <x v="1462"/>
    <x v="2"/>
    <x v="1"/>
    <n v="7"/>
    <n v="195.15"/>
    <n v="25.8"/>
    <n v="1366.05"/>
  </r>
  <r>
    <s v="TXN-101463"/>
    <x v="1463"/>
    <x v="0"/>
    <x v="0"/>
    <n v="14"/>
    <n v="216.14"/>
    <n v="47.11"/>
    <n v="3025.96"/>
  </r>
  <r>
    <s v="TXN-101464"/>
    <x v="1464"/>
    <x v="0"/>
    <x v="3"/>
    <n v="18"/>
    <n v="126.91"/>
    <n v="22.64"/>
    <n v="2284.38"/>
  </r>
  <r>
    <s v="TXN-101465"/>
    <x v="1465"/>
    <x v="3"/>
    <x v="0"/>
    <n v="6"/>
    <n v="331.69"/>
    <n v="23.13"/>
    <n v="1990.1399999999999"/>
  </r>
  <r>
    <s v="TXN-101466"/>
    <x v="1466"/>
    <x v="3"/>
    <x v="0"/>
    <n v="4"/>
    <n v="47.46"/>
    <n v="34.28"/>
    <n v="189.84"/>
  </r>
  <r>
    <s v="TXN-101467"/>
    <x v="1467"/>
    <x v="3"/>
    <x v="0"/>
    <n v="10"/>
    <n v="112.28"/>
    <n v="28.71"/>
    <n v="1122.8"/>
  </r>
  <r>
    <s v="TXN-101468"/>
    <x v="1468"/>
    <x v="1"/>
    <x v="3"/>
    <n v="18"/>
    <n v="340.75"/>
    <n v="21.85"/>
    <n v="6133.5"/>
  </r>
  <r>
    <s v="TXN-101469"/>
    <x v="1469"/>
    <x v="2"/>
    <x v="0"/>
    <n v="12"/>
    <n v="205.43"/>
    <n v="49.54"/>
    <n v="2465.16"/>
  </r>
  <r>
    <s v="TXN-101470"/>
    <x v="1470"/>
    <x v="2"/>
    <x v="0"/>
    <n v="16"/>
    <n v="321.95"/>
    <n v="18.600000000000001"/>
    <n v="5151.2"/>
  </r>
  <r>
    <s v="TXN-101471"/>
    <x v="1471"/>
    <x v="3"/>
    <x v="3"/>
    <n v="7"/>
    <n v="262.07"/>
    <n v="17.489999999999998"/>
    <n v="1834.49"/>
  </r>
  <r>
    <s v="TXN-101472"/>
    <x v="1472"/>
    <x v="2"/>
    <x v="0"/>
    <n v="6"/>
    <n v="428.58"/>
    <n v="43.9"/>
    <n v="2571.48"/>
  </r>
  <r>
    <s v="TXN-101473"/>
    <x v="1473"/>
    <x v="3"/>
    <x v="3"/>
    <n v="5"/>
    <n v="275.24"/>
    <n v="5.15"/>
    <n v="1376.2"/>
  </r>
  <r>
    <s v="TXN-101474"/>
    <x v="1474"/>
    <x v="1"/>
    <x v="1"/>
    <n v="3"/>
    <n v="21.96"/>
    <n v="14.06"/>
    <n v="65.88"/>
  </r>
  <r>
    <s v="TXN-101475"/>
    <x v="1475"/>
    <x v="1"/>
    <x v="1"/>
    <n v="12"/>
    <n v="168.83"/>
    <n v="31.57"/>
    <n v="2025.96"/>
  </r>
  <r>
    <s v="TXN-101476"/>
    <x v="1476"/>
    <x v="0"/>
    <x v="1"/>
    <n v="15"/>
    <n v="77.66"/>
    <n v="12.31"/>
    <n v="1164.8999999999999"/>
  </r>
  <r>
    <s v="TXN-101477"/>
    <x v="1477"/>
    <x v="1"/>
    <x v="0"/>
    <n v="10"/>
    <n v="417.25"/>
    <n v="49.36"/>
    <n v="4172.5"/>
  </r>
  <r>
    <s v="TXN-101478"/>
    <x v="1478"/>
    <x v="3"/>
    <x v="2"/>
    <n v="19"/>
    <n v="60.69"/>
    <n v="25.89"/>
    <n v="1153.1099999999999"/>
  </r>
  <r>
    <s v="TXN-101479"/>
    <x v="1479"/>
    <x v="1"/>
    <x v="2"/>
    <n v="16"/>
    <n v="183.96"/>
    <n v="31.88"/>
    <n v="2943.36"/>
  </r>
  <r>
    <s v="TXN-101480"/>
    <x v="1480"/>
    <x v="0"/>
    <x v="0"/>
    <n v="11"/>
    <n v="113.74"/>
    <n v="12.22"/>
    <n v="1251.1399999999999"/>
  </r>
  <r>
    <s v="TXN-101481"/>
    <x v="1481"/>
    <x v="2"/>
    <x v="2"/>
    <n v="8"/>
    <n v="383.4"/>
    <n v="18.02"/>
    <n v="3067.2"/>
  </r>
  <r>
    <s v="TXN-101482"/>
    <x v="1482"/>
    <x v="3"/>
    <x v="3"/>
    <n v="3"/>
    <n v="149.57"/>
    <n v="32.659999999999997"/>
    <n v="448.71"/>
  </r>
  <r>
    <s v="TXN-101483"/>
    <x v="1483"/>
    <x v="2"/>
    <x v="2"/>
    <n v="7"/>
    <n v="446.48"/>
    <n v="29.73"/>
    <n v="3125.36"/>
  </r>
  <r>
    <s v="TXN-101484"/>
    <x v="1484"/>
    <x v="0"/>
    <x v="0"/>
    <n v="7"/>
    <n v="32.28"/>
    <n v="40.299999999999997"/>
    <n v="225.96"/>
  </r>
  <r>
    <s v="TXN-101485"/>
    <x v="1485"/>
    <x v="0"/>
    <x v="0"/>
    <n v="14"/>
    <n v="71.239999999999995"/>
    <n v="17.12"/>
    <n v="997.3599999999999"/>
  </r>
  <r>
    <s v="TXN-101486"/>
    <x v="1486"/>
    <x v="0"/>
    <x v="3"/>
    <n v="2"/>
    <n v="113.11"/>
    <n v="34.409999999999997"/>
    <n v="226.22"/>
  </r>
  <r>
    <s v="TXN-101487"/>
    <x v="1487"/>
    <x v="2"/>
    <x v="1"/>
    <n v="10"/>
    <n v="367.93"/>
    <n v="18.09"/>
    <n v="3679.3"/>
  </r>
  <r>
    <s v="TXN-101488"/>
    <x v="1488"/>
    <x v="2"/>
    <x v="0"/>
    <n v="19"/>
    <n v="397.22"/>
    <n v="31.4"/>
    <n v="7547.18"/>
  </r>
  <r>
    <s v="TXN-101489"/>
    <x v="1489"/>
    <x v="2"/>
    <x v="3"/>
    <n v="9"/>
    <n v="46.55"/>
    <n v="32.229999999999997"/>
    <n v="418.95"/>
  </r>
  <r>
    <s v="TXN-101490"/>
    <x v="1490"/>
    <x v="2"/>
    <x v="2"/>
    <n v="16"/>
    <n v="29.6"/>
    <n v="10.48"/>
    <n v="473.6"/>
  </r>
  <r>
    <s v="TXN-101491"/>
    <x v="1491"/>
    <x v="0"/>
    <x v="2"/>
    <n v="19"/>
    <n v="339.01"/>
    <n v="29.69"/>
    <n v="6441.19"/>
  </r>
  <r>
    <s v="TXN-101492"/>
    <x v="1492"/>
    <x v="0"/>
    <x v="3"/>
    <n v="18"/>
    <n v="73.44"/>
    <n v="5.54"/>
    <n v="1321.92"/>
  </r>
  <r>
    <s v="TXN-101493"/>
    <x v="1493"/>
    <x v="3"/>
    <x v="3"/>
    <n v="9"/>
    <n v="73.290000000000006"/>
    <n v="27.55"/>
    <n v="659.61"/>
  </r>
  <r>
    <s v="TXN-101494"/>
    <x v="1494"/>
    <x v="3"/>
    <x v="0"/>
    <n v="16"/>
    <n v="25.22"/>
    <n v="36.39"/>
    <n v="403.52"/>
  </r>
  <r>
    <s v="TXN-101495"/>
    <x v="1495"/>
    <x v="2"/>
    <x v="2"/>
    <n v="13"/>
    <n v="37.14"/>
    <n v="8.2799999999999994"/>
    <n v="482.82"/>
  </r>
  <r>
    <s v="TXN-101496"/>
    <x v="1496"/>
    <x v="1"/>
    <x v="3"/>
    <n v="10"/>
    <n v="130.07"/>
    <n v="47.24"/>
    <n v="1300.6999999999998"/>
  </r>
  <r>
    <s v="TXN-101497"/>
    <x v="1497"/>
    <x v="1"/>
    <x v="2"/>
    <n v="14"/>
    <n v="43.74"/>
    <n v="25.64"/>
    <n v="612.36"/>
  </r>
  <r>
    <s v="TXN-101498"/>
    <x v="1498"/>
    <x v="0"/>
    <x v="3"/>
    <n v="12"/>
    <n v="175.78"/>
    <n v="47.23"/>
    <n v="2109.36"/>
  </r>
  <r>
    <s v="TXN-101499"/>
    <x v="1499"/>
    <x v="0"/>
    <x v="2"/>
    <n v="19"/>
    <n v="377.34"/>
    <n v="9.83"/>
    <n v="7169.4599999999991"/>
  </r>
  <r>
    <s v="TXN-101500"/>
    <x v="1500"/>
    <x v="0"/>
    <x v="1"/>
    <n v="7"/>
    <n v="157.29"/>
    <n v="47.75"/>
    <n v="1101.03"/>
  </r>
  <r>
    <s v="TXN-101501"/>
    <x v="1501"/>
    <x v="3"/>
    <x v="0"/>
    <n v="15"/>
    <n v="331.74"/>
    <n v="9.91"/>
    <n v="4976.1000000000004"/>
  </r>
  <r>
    <s v="TXN-101502"/>
    <x v="1502"/>
    <x v="3"/>
    <x v="2"/>
    <n v="16"/>
    <n v="56.3"/>
    <n v="25.77"/>
    <n v="900.8"/>
  </r>
  <r>
    <s v="TXN-101503"/>
    <x v="1503"/>
    <x v="0"/>
    <x v="1"/>
    <n v="8"/>
    <n v="302"/>
    <n v="47.21"/>
    <n v="2416"/>
  </r>
  <r>
    <s v="TXN-101504"/>
    <x v="1504"/>
    <x v="0"/>
    <x v="2"/>
    <n v="10"/>
    <n v="153.13"/>
    <n v="15.47"/>
    <n v="1531.3"/>
  </r>
  <r>
    <s v="TXN-101505"/>
    <x v="1505"/>
    <x v="0"/>
    <x v="2"/>
    <n v="4"/>
    <n v="341.27"/>
    <n v="6.57"/>
    <n v="1365.08"/>
  </r>
  <r>
    <s v="TXN-101506"/>
    <x v="1506"/>
    <x v="1"/>
    <x v="1"/>
    <n v="19"/>
    <n v="74.7"/>
    <n v="40.69"/>
    <n v="1419.3"/>
  </r>
  <r>
    <s v="TXN-101507"/>
    <x v="1507"/>
    <x v="3"/>
    <x v="2"/>
    <n v="19"/>
    <n v="405.63"/>
    <n v="31.81"/>
    <n v="7706.97"/>
  </r>
  <r>
    <s v="TXN-101508"/>
    <x v="1508"/>
    <x v="1"/>
    <x v="2"/>
    <n v="15"/>
    <n v="120.9"/>
    <n v="28.13"/>
    <n v="1813.5"/>
  </r>
  <r>
    <s v="TXN-101509"/>
    <x v="1509"/>
    <x v="1"/>
    <x v="0"/>
    <n v="14"/>
    <n v="168.94"/>
    <n v="6.55"/>
    <n v="2365.16"/>
  </r>
  <r>
    <s v="TXN-101510"/>
    <x v="1510"/>
    <x v="0"/>
    <x v="1"/>
    <n v="1"/>
    <n v="428.35"/>
    <n v="34.4"/>
    <n v="428.35"/>
  </r>
  <r>
    <s v="TXN-101511"/>
    <x v="1511"/>
    <x v="0"/>
    <x v="1"/>
    <n v="16"/>
    <n v="266.85000000000002"/>
    <n v="12.72"/>
    <n v="4269.6000000000004"/>
  </r>
  <r>
    <s v="TXN-101512"/>
    <x v="1512"/>
    <x v="2"/>
    <x v="3"/>
    <n v="10"/>
    <n v="174.43"/>
    <n v="46.9"/>
    <n v="1744.3000000000002"/>
  </r>
  <r>
    <s v="TXN-101513"/>
    <x v="1513"/>
    <x v="2"/>
    <x v="2"/>
    <n v="19"/>
    <n v="428.1"/>
    <n v="35.86"/>
    <n v="8133.9000000000005"/>
  </r>
  <r>
    <s v="TXN-101514"/>
    <x v="1514"/>
    <x v="1"/>
    <x v="0"/>
    <n v="3"/>
    <n v="158.47999999999999"/>
    <n v="36.82"/>
    <n v="475.43999999999994"/>
  </r>
  <r>
    <s v="TXN-101515"/>
    <x v="1515"/>
    <x v="3"/>
    <x v="2"/>
    <n v="5"/>
    <n v="56.72"/>
    <n v="15.47"/>
    <n v="283.60000000000002"/>
  </r>
  <r>
    <s v="TXN-101516"/>
    <x v="1516"/>
    <x v="0"/>
    <x v="2"/>
    <n v="9"/>
    <n v="448.63"/>
    <n v="44.63"/>
    <n v="4037.67"/>
  </r>
  <r>
    <s v="TXN-101517"/>
    <x v="1517"/>
    <x v="0"/>
    <x v="3"/>
    <n v="18"/>
    <n v="131.88"/>
    <n v="29.2"/>
    <n v="2373.84"/>
  </r>
  <r>
    <s v="TXN-101518"/>
    <x v="1518"/>
    <x v="1"/>
    <x v="2"/>
    <n v="11"/>
    <n v="385.37"/>
    <n v="43.57"/>
    <n v="4239.07"/>
  </r>
  <r>
    <s v="TXN-101519"/>
    <x v="1519"/>
    <x v="2"/>
    <x v="0"/>
    <n v="16"/>
    <n v="87.43"/>
    <n v="17.190000000000001"/>
    <n v="1398.88"/>
  </r>
  <r>
    <s v="TXN-101520"/>
    <x v="1520"/>
    <x v="3"/>
    <x v="0"/>
    <n v="2"/>
    <n v="333.27"/>
    <n v="39"/>
    <n v="666.54"/>
  </r>
  <r>
    <s v="TXN-101521"/>
    <x v="1521"/>
    <x v="2"/>
    <x v="3"/>
    <n v="12"/>
    <n v="243.37"/>
    <n v="30.86"/>
    <n v="2920.44"/>
  </r>
  <r>
    <s v="TXN-101522"/>
    <x v="1522"/>
    <x v="2"/>
    <x v="2"/>
    <n v="6"/>
    <n v="441.7"/>
    <n v="7.18"/>
    <n v="2650.2"/>
  </r>
  <r>
    <s v="TXN-101523"/>
    <x v="1523"/>
    <x v="2"/>
    <x v="0"/>
    <n v="11"/>
    <n v="255.7"/>
    <n v="23.24"/>
    <n v="2812.7"/>
  </r>
  <r>
    <s v="TXN-101524"/>
    <x v="1524"/>
    <x v="2"/>
    <x v="2"/>
    <n v="8"/>
    <n v="26.37"/>
    <n v="13.28"/>
    <n v="210.96"/>
  </r>
  <r>
    <s v="TXN-101525"/>
    <x v="1525"/>
    <x v="0"/>
    <x v="2"/>
    <n v="12"/>
    <n v="277.88"/>
    <n v="21.16"/>
    <n v="3334.56"/>
  </r>
  <r>
    <s v="TXN-101526"/>
    <x v="1526"/>
    <x v="0"/>
    <x v="2"/>
    <n v="2"/>
    <n v="78.64"/>
    <n v="22.25"/>
    <n v="157.28"/>
  </r>
  <r>
    <s v="TXN-101527"/>
    <x v="1527"/>
    <x v="2"/>
    <x v="3"/>
    <n v="9"/>
    <n v="362.47"/>
    <n v="26.37"/>
    <n v="3262.2300000000005"/>
  </r>
  <r>
    <s v="TXN-101528"/>
    <x v="1528"/>
    <x v="3"/>
    <x v="2"/>
    <n v="15"/>
    <n v="387.68"/>
    <n v="32.01"/>
    <n v="5815.2"/>
  </r>
  <r>
    <s v="TXN-101529"/>
    <x v="1529"/>
    <x v="1"/>
    <x v="0"/>
    <n v="2"/>
    <n v="224.97"/>
    <n v="30.69"/>
    <n v="449.94"/>
  </r>
  <r>
    <s v="TXN-101530"/>
    <x v="1530"/>
    <x v="3"/>
    <x v="2"/>
    <n v="1"/>
    <n v="355.81"/>
    <n v="6.75"/>
    <n v="355.81"/>
  </r>
  <r>
    <s v="TXN-101531"/>
    <x v="1531"/>
    <x v="3"/>
    <x v="0"/>
    <n v="10"/>
    <n v="78.55"/>
    <n v="38.78"/>
    <n v="785.5"/>
  </r>
  <r>
    <s v="TXN-101532"/>
    <x v="1532"/>
    <x v="3"/>
    <x v="2"/>
    <n v="2"/>
    <n v="229.31"/>
    <n v="47.71"/>
    <n v="458.62"/>
  </r>
  <r>
    <s v="TXN-101533"/>
    <x v="1533"/>
    <x v="2"/>
    <x v="0"/>
    <n v="12"/>
    <n v="186.67"/>
    <n v="20.69"/>
    <n v="2240.04"/>
  </r>
  <r>
    <s v="TXN-101534"/>
    <x v="1534"/>
    <x v="0"/>
    <x v="0"/>
    <n v="8"/>
    <n v="281.12"/>
    <n v="13.09"/>
    <n v="2248.96"/>
  </r>
  <r>
    <s v="TXN-101535"/>
    <x v="1535"/>
    <x v="3"/>
    <x v="2"/>
    <n v="5"/>
    <n v="34.83"/>
    <n v="29.3"/>
    <n v="174.14999999999998"/>
  </r>
  <r>
    <s v="TXN-101536"/>
    <x v="1536"/>
    <x v="2"/>
    <x v="2"/>
    <n v="1"/>
    <n v="342.3"/>
    <n v="36.72"/>
    <n v="342.3"/>
  </r>
  <r>
    <s v="TXN-101537"/>
    <x v="1537"/>
    <x v="3"/>
    <x v="0"/>
    <n v="15"/>
    <n v="49.88"/>
    <n v="35.549999999999997"/>
    <n v="748.2"/>
  </r>
  <r>
    <s v="TXN-101538"/>
    <x v="1538"/>
    <x v="3"/>
    <x v="1"/>
    <n v="6"/>
    <n v="300.74"/>
    <n v="32.54"/>
    <n v="1804.44"/>
  </r>
  <r>
    <s v="TXN-101539"/>
    <x v="1539"/>
    <x v="2"/>
    <x v="3"/>
    <n v="12"/>
    <n v="23.52"/>
    <n v="11.58"/>
    <n v="282.24"/>
  </r>
  <r>
    <s v="TXN-101540"/>
    <x v="1540"/>
    <x v="0"/>
    <x v="1"/>
    <n v="8"/>
    <n v="376.96"/>
    <n v="42.66"/>
    <n v="3015.68"/>
  </r>
  <r>
    <s v="TXN-101541"/>
    <x v="1541"/>
    <x v="0"/>
    <x v="1"/>
    <n v="13"/>
    <n v="91.41"/>
    <n v="24.15"/>
    <n v="1188.33"/>
  </r>
  <r>
    <s v="TXN-101542"/>
    <x v="1542"/>
    <x v="1"/>
    <x v="2"/>
    <n v="19"/>
    <n v="239.48"/>
    <n v="14.97"/>
    <n v="4550.12"/>
  </r>
  <r>
    <s v="TXN-101543"/>
    <x v="1543"/>
    <x v="2"/>
    <x v="3"/>
    <n v="1"/>
    <n v="129.12"/>
    <n v="8.8800000000000008"/>
    <n v="129.12"/>
  </r>
  <r>
    <s v="TXN-101544"/>
    <x v="1544"/>
    <x v="1"/>
    <x v="1"/>
    <n v="11"/>
    <n v="329.49"/>
    <n v="23.75"/>
    <n v="3624.3900000000003"/>
  </r>
  <r>
    <s v="TXN-101545"/>
    <x v="1545"/>
    <x v="1"/>
    <x v="2"/>
    <n v="1"/>
    <n v="155.13"/>
    <n v="32.81"/>
    <n v="155.13"/>
  </r>
  <r>
    <s v="TXN-101546"/>
    <x v="1546"/>
    <x v="1"/>
    <x v="1"/>
    <n v="8"/>
    <n v="330.34"/>
    <n v="34.94"/>
    <n v="2642.72"/>
  </r>
  <r>
    <s v="TXN-101547"/>
    <x v="1547"/>
    <x v="0"/>
    <x v="1"/>
    <n v="5"/>
    <n v="139.28"/>
    <n v="48.32"/>
    <n v="696.4"/>
  </r>
  <r>
    <s v="TXN-101548"/>
    <x v="1548"/>
    <x v="2"/>
    <x v="2"/>
    <n v="17"/>
    <n v="342.45"/>
    <n v="11.89"/>
    <n v="5821.65"/>
  </r>
  <r>
    <s v="TXN-101549"/>
    <x v="1549"/>
    <x v="1"/>
    <x v="2"/>
    <n v="8"/>
    <n v="28.8"/>
    <n v="49.36"/>
    <n v="230.4"/>
  </r>
  <r>
    <s v="TXN-101550"/>
    <x v="1550"/>
    <x v="2"/>
    <x v="2"/>
    <n v="10"/>
    <n v="138.6"/>
    <n v="34.46"/>
    <n v="1386"/>
  </r>
  <r>
    <s v="TXN-101551"/>
    <x v="1551"/>
    <x v="2"/>
    <x v="3"/>
    <n v="2"/>
    <n v="232.16"/>
    <n v="25.44"/>
    <n v="464.32"/>
  </r>
  <r>
    <s v="TXN-101552"/>
    <x v="1552"/>
    <x v="0"/>
    <x v="1"/>
    <n v="9"/>
    <n v="35.08"/>
    <n v="44.97"/>
    <n v="315.71999999999997"/>
  </r>
  <r>
    <s v="TXN-101553"/>
    <x v="1553"/>
    <x v="1"/>
    <x v="2"/>
    <n v="3"/>
    <n v="96.33"/>
    <n v="36.25"/>
    <n v="288.99"/>
  </r>
  <r>
    <s v="TXN-101554"/>
    <x v="1554"/>
    <x v="1"/>
    <x v="0"/>
    <n v="18"/>
    <n v="421.56"/>
    <n v="20.69"/>
    <n v="7588.08"/>
  </r>
  <r>
    <s v="TXN-101555"/>
    <x v="1555"/>
    <x v="2"/>
    <x v="1"/>
    <n v="7"/>
    <n v="439.93"/>
    <n v="44.78"/>
    <n v="3079.51"/>
  </r>
  <r>
    <s v="TXN-101556"/>
    <x v="1556"/>
    <x v="3"/>
    <x v="0"/>
    <n v="15"/>
    <n v="336.92"/>
    <n v="35"/>
    <n v="5053.8"/>
  </r>
  <r>
    <s v="TXN-101557"/>
    <x v="1557"/>
    <x v="0"/>
    <x v="3"/>
    <n v="18"/>
    <n v="125.08"/>
    <n v="36.450000000000003"/>
    <n v="2251.44"/>
  </r>
  <r>
    <s v="TXN-101558"/>
    <x v="1558"/>
    <x v="0"/>
    <x v="2"/>
    <n v="3"/>
    <n v="128.69"/>
    <n v="45.34"/>
    <n v="386.07"/>
  </r>
  <r>
    <s v="TXN-101559"/>
    <x v="1559"/>
    <x v="0"/>
    <x v="0"/>
    <n v="14"/>
    <n v="296.10000000000002"/>
    <n v="25.18"/>
    <n v="4145.4000000000005"/>
  </r>
  <r>
    <s v="TXN-101560"/>
    <x v="1560"/>
    <x v="0"/>
    <x v="3"/>
    <n v="2"/>
    <n v="66.599999999999994"/>
    <n v="34.56"/>
    <n v="133.19999999999999"/>
  </r>
  <r>
    <s v="TXN-101561"/>
    <x v="1561"/>
    <x v="1"/>
    <x v="2"/>
    <n v="14"/>
    <n v="427.54"/>
    <n v="38.51"/>
    <n v="5985.56"/>
  </r>
  <r>
    <s v="TXN-101562"/>
    <x v="1562"/>
    <x v="1"/>
    <x v="0"/>
    <n v="11"/>
    <n v="113.18"/>
    <n v="25.43"/>
    <n v="1244.98"/>
  </r>
  <r>
    <s v="TXN-101563"/>
    <x v="1563"/>
    <x v="3"/>
    <x v="0"/>
    <n v="16"/>
    <n v="449.84"/>
    <n v="8.76"/>
    <n v="7197.44"/>
  </r>
  <r>
    <s v="TXN-101564"/>
    <x v="1564"/>
    <x v="0"/>
    <x v="3"/>
    <n v="8"/>
    <n v="230.9"/>
    <n v="39.71"/>
    <n v="1847.2"/>
  </r>
  <r>
    <s v="TXN-101565"/>
    <x v="1565"/>
    <x v="0"/>
    <x v="2"/>
    <n v="7"/>
    <n v="350.69"/>
    <n v="7.15"/>
    <n v="2454.83"/>
  </r>
  <r>
    <s v="TXN-101566"/>
    <x v="1566"/>
    <x v="2"/>
    <x v="2"/>
    <n v="11"/>
    <n v="16.45"/>
    <n v="37.31"/>
    <n v="180.95"/>
  </r>
  <r>
    <s v="TXN-101567"/>
    <x v="1567"/>
    <x v="1"/>
    <x v="0"/>
    <n v="3"/>
    <n v="401.66"/>
    <n v="45.99"/>
    <n v="1204.98"/>
  </r>
  <r>
    <s v="TXN-101568"/>
    <x v="1568"/>
    <x v="0"/>
    <x v="0"/>
    <n v="17"/>
    <n v="132.82"/>
    <n v="20.61"/>
    <n v="2257.94"/>
  </r>
  <r>
    <s v="TXN-101569"/>
    <x v="1569"/>
    <x v="3"/>
    <x v="0"/>
    <n v="14"/>
    <n v="305.72000000000003"/>
    <n v="9.59"/>
    <n v="4280.08"/>
  </r>
  <r>
    <s v="TXN-101570"/>
    <x v="1570"/>
    <x v="3"/>
    <x v="2"/>
    <n v="6"/>
    <n v="365.86"/>
    <n v="15.48"/>
    <n v="2195.16"/>
  </r>
  <r>
    <s v="TXN-101571"/>
    <x v="1571"/>
    <x v="1"/>
    <x v="3"/>
    <n v="8"/>
    <n v="86.82"/>
    <n v="30.3"/>
    <n v="694.56"/>
  </r>
  <r>
    <s v="TXN-101572"/>
    <x v="1572"/>
    <x v="3"/>
    <x v="3"/>
    <n v="5"/>
    <n v="207.77"/>
    <n v="47.42"/>
    <n v="1038.8500000000001"/>
  </r>
  <r>
    <s v="TXN-101573"/>
    <x v="1573"/>
    <x v="3"/>
    <x v="2"/>
    <n v="8"/>
    <n v="230.07"/>
    <n v="28.05"/>
    <n v="1840.56"/>
  </r>
  <r>
    <s v="TXN-101574"/>
    <x v="1574"/>
    <x v="1"/>
    <x v="1"/>
    <n v="2"/>
    <n v="151.12"/>
    <n v="10.07"/>
    <n v="302.24"/>
  </r>
  <r>
    <s v="TXN-101575"/>
    <x v="1575"/>
    <x v="0"/>
    <x v="3"/>
    <n v="15"/>
    <n v="224.82"/>
    <n v="33.25"/>
    <n v="3372.2999999999997"/>
  </r>
  <r>
    <s v="TXN-101576"/>
    <x v="1576"/>
    <x v="0"/>
    <x v="0"/>
    <n v="12"/>
    <n v="153.47"/>
    <n v="37.979999999999997"/>
    <n v="1841.6399999999999"/>
  </r>
  <r>
    <s v="TXN-101577"/>
    <x v="1577"/>
    <x v="3"/>
    <x v="1"/>
    <n v="17"/>
    <n v="172.24"/>
    <n v="22.7"/>
    <n v="2928.08"/>
  </r>
  <r>
    <s v="TXN-101578"/>
    <x v="1578"/>
    <x v="3"/>
    <x v="1"/>
    <n v="1"/>
    <n v="306.32"/>
    <n v="37.47"/>
    <n v="306.32"/>
  </r>
  <r>
    <s v="TXN-101579"/>
    <x v="1579"/>
    <x v="0"/>
    <x v="3"/>
    <n v="15"/>
    <n v="290.36"/>
    <n v="19.62"/>
    <n v="4355.4000000000005"/>
  </r>
  <r>
    <s v="TXN-101580"/>
    <x v="1580"/>
    <x v="1"/>
    <x v="1"/>
    <n v="14"/>
    <n v="116.42"/>
    <n v="40.51"/>
    <n v="1629.88"/>
  </r>
  <r>
    <s v="TXN-101581"/>
    <x v="1581"/>
    <x v="3"/>
    <x v="1"/>
    <n v="16"/>
    <n v="405.46"/>
    <n v="20.350000000000001"/>
    <n v="6487.36"/>
  </r>
  <r>
    <s v="TXN-101582"/>
    <x v="1582"/>
    <x v="2"/>
    <x v="3"/>
    <n v="9"/>
    <n v="390.38"/>
    <n v="16.52"/>
    <n v="3513.42"/>
  </r>
  <r>
    <s v="TXN-101583"/>
    <x v="1583"/>
    <x v="1"/>
    <x v="3"/>
    <n v="1"/>
    <n v="236.7"/>
    <n v="44.56"/>
    <n v="236.7"/>
  </r>
  <r>
    <s v="TXN-101584"/>
    <x v="1584"/>
    <x v="3"/>
    <x v="1"/>
    <n v="17"/>
    <n v="203.75"/>
    <n v="29.68"/>
    <n v="3463.75"/>
  </r>
  <r>
    <s v="TXN-101585"/>
    <x v="1585"/>
    <x v="3"/>
    <x v="0"/>
    <n v="13"/>
    <n v="179.24"/>
    <n v="17.829999999999998"/>
    <n v="2330.12"/>
  </r>
  <r>
    <s v="TXN-101586"/>
    <x v="1586"/>
    <x v="2"/>
    <x v="2"/>
    <n v="5"/>
    <n v="322.81"/>
    <n v="47.08"/>
    <n v="1614.05"/>
  </r>
  <r>
    <s v="TXN-101587"/>
    <x v="1587"/>
    <x v="2"/>
    <x v="1"/>
    <n v="10"/>
    <n v="307.33999999999997"/>
    <n v="36.090000000000003"/>
    <n v="3073.3999999999996"/>
  </r>
  <r>
    <s v="TXN-101588"/>
    <x v="1588"/>
    <x v="0"/>
    <x v="1"/>
    <n v="6"/>
    <n v="100.74"/>
    <n v="14.93"/>
    <n v="604.43999999999994"/>
  </r>
  <r>
    <s v="TXN-101589"/>
    <x v="1589"/>
    <x v="1"/>
    <x v="0"/>
    <n v="19"/>
    <n v="307.25"/>
    <n v="32.659999999999997"/>
    <n v="5837.75"/>
  </r>
  <r>
    <s v="TXN-101590"/>
    <x v="1590"/>
    <x v="1"/>
    <x v="1"/>
    <n v="13"/>
    <n v="125.18"/>
    <n v="44.17"/>
    <n v="1627.3400000000001"/>
  </r>
  <r>
    <s v="TXN-101591"/>
    <x v="1591"/>
    <x v="0"/>
    <x v="1"/>
    <n v="1"/>
    <n v="23.56"/>
    <n v="36.33"/>
    <n v="23.56"/>
  </r>
  <r>
    <s v="TXN-101592"/>
    <x v="1592"/>
    <x v="1"/>
    <x v="2"/>
    <n v="15"/>
    <n v="319.31"/>
    <n v="16.010000000000002"/>
    <n v="4789.6499999999996"/>
  </r>
  <r>
    <s v="TXN-101593"/>
    <x v="1593"/>
    <x v="1"/>
    <x v="2"/>
    <n v="14"/>
    <n v="295.66000000000003"/>
    <n v="34.200000000000003"/>
    <n v="4139.2400000000007"/>
  </r>
  <r>
    <s v="TXN-101594"/>
    <x v="1594"/>
    <x v="1"/>
    <x v="2"/>
    <n v="8"/>
    <n v="194"/>
    <n v="32.86"/>
    <n v="1552"/>
  </r>
  <r>
    <s v="TXN-101595"/>
    <x v="1595"/>
    <x v="1"/>
    <x v="3"/>
    <n v="10"/>
    <n v="243.91"/>
    <n v="41.94"/>
    <n v="2439.1"/>
  </r>
  <r>
    <s v="TXN-101596"/>
    <x v="1596"/>
    <x v="1"/>
    <x v="3"/>
    <n v="9"/>
    <n v="427.05"/>
    <n v="13.02"/>
    <n v="3843.4500000000003"/>
  </r>
  <r>
    <s v="TXN-101597"/>
    <x v="1597"/>
    <x v="2"/>
    <x v="2"/>
    <n v="17"/>
    <n v="274.11"/>
    <n v="36.479999999999997"/>
    <n v="4659.87"/>
  </r>
  <r>
    <s v="TXN-101598"/>
    <x v="1598"/>
    <x v="1"/>
    <x v="2"/>
    <n v="9"/>
    <n v="301.35000000000002"/>
    <n v="6.23"/>
    <n v="2712.15"/>
  </r>
  <r>
    <s v="TXN-101599"/>
    <x v="1599"/>
    <x v="2"/>
    <x v="3"/>
    <n v="3"/>
    <n v="43.27"/>
    <n v="36.33"/>
    <n v="129.81"/>
  </r>
  <r>
    <s v="TXN-101600"/>
    <x v="1600"/>
    <x v="1"/>
    <x v="0"/>
    <n v="11"/>
    <n v="87.62"/>
    <n v="48.22"/>
    <n v="963.82"/>
  </r>
  <r>
    <s v="TXN-101601"/>
    <x v="1601"/>
    <x v="0"/>
    <x v="1"/>
    <n v="12"/>
    <n v="146.26"/>
    <n v="12.85"/>
    <n v="1755.12"/>
  </r>
  <r>
    <s v="TXN-101602"/>
    <x v="1602"/>
    <x v="3"/>
    <x v="1"/>
    <n v="10"/>
    <n v="249.86"/>
    <n v="19.010000000000002"/>
    <n v="2498.6000000000004"/>
  </r>
  <r>
    <s v="TXN-101603"/>
    <x v="1603"/>
    <x v="2"/>
    <x v="2"/>
    <n v="17"/>
    <n v="352.93"/>
    <n v="31.23"/>
    <n v="5999.81"/>
  </r>
  <r>
    <s v="TXN-101604"/>
    <x v="1604"/>
    <x v="1"/>
    <x v="0"/>
    <n v="17"/>
    <n v="155.08000000000001"/>
    <n v="37.96"/>
    <n v="2636.36"/>
  </r>
  <r>
    <s v="TXN-101605"/>
    <x v="1605"/>
    <x v="0"/>
    <x v="3"/>
    <n v="11"/>
    <n v="170.35"/>
    <n v="20.5"/>
    <n v="1873.85"/>
  </r>
  <r>
    <s v="TXN-101606"/>
    <x v="1606"/>
    <x v="3"/>
    <x v="2"/>
    <n v="4"/>
    <n v="126.8"/>
    <n v="34.89"/>
    <n v="507.2"/>
  </r>
  <r>
    <s v="TXN-101607"/>
    <x v="1607"/>
    <x v="2"/>
    <x v="0"/>
    <n v="7"/>
    <n v="126.13"/>
    <n v="45.47"/>
    <n v="882.91"/>
  </r>
  <r>
    <s v="TXN-101608"/>
    <x v="1608"/>
    <x v="3"/>
    <x v="0"/>
    <n v="14"/>
    <n v="427.78"/>
    <n v="37.700000000000003"/>
    <n v="5988.92"/>
  </r>
  <r>
    <s v="TXN-101609"/>
    <x v="1609"/>
    <x v="0"/>
    <x v="0"/>
    <n v="7"/>
    <n v="291.61"/>
    <n v="37"/>
    <n v="2041.27"/>
  </r>
  <r>
    <s v="TXN-101610"/>
    <x v="1610"/>
    <x v="2"/>
    <x v="3"/>
    <n v="8"/>
    <n v="83.24"/>
    <n v="22.19"/>
    <n v="665.92"/>
  </r>
  <r>
    <s v="TXN-101611"/>
    <x v="1611"/>
    <x v="3"/>
    <x v="3"/>
    <n v="1"/>
    <n v="329.32"/>
    <n v="46.01"/>
    <n v="329.32"/>
  </r>
  <r>
    <s v="TXN-101612"/>
    <x v="1612"/>
    <x v="1"/>
    <x v="1"/>
    <n v="4"/>
    <n v="329.22"/>
    <n v="17.48"/>
    <n v="1316.88"/>
  </r>
  <r>
    <s v="TXN-101613"/>
    <x v="1613"/>
    <x v="2"/>
    <x v="1"/>
    <n v="12"/>
    <n v="305.08"/>
    <n v="14.24"/>
    <n v="3660.96"/>
  </r>
  <r>
    <s v="TXN-101614"/>
    <x v="1614"/>
    <x v="3"/>
    <x v="0"/>
    <n v="3"/>
    <n v="74.040000000000006"/>
    <n v="21.39"/>
    <n v="222.12"/>
  </r>
  <r>
    <s v="TXN-101615"/>
    <x v="1615"/>
    <x v="0"/>
    <x v="0"/>
    <n v="13"/>
    <n v="192.77"/>
    <n v="34.26"/>
    <n v="2506.0100000000002"/>
  </r>
  <r>
    <s v="TXN-101616"/>
    <x v="1616"/>
    <x v="0"/>
    <x v="3"/>
    <n v="6"/>
    <n v="61.89"/>
    <n v="43.78"/>
    <n v="371.34000000000003"/>
  </r>
  <r>
    <s v="TXN-101617"/>
    <x v="1617"/>
    <x v="2"/>
    <x v="1"/>
    <n v="11"/>
    <n v="370.32"/>
    <n v="10.94"/>
    <n v="4073.52"/>
  </r>
  <r>
    <s v="TXN-101618"/>
    <x v="1618"/>
    <x v="3"/>
    <x v="0"/>
    <n v="4"/>
    <n v="300.17"/>
    <n v="41.62"/>
    <n v="1200.68"/>
  </r>
  <r>
    <s v="TXN-101619"/>
    <x v="1619"/>
    <x v="2"/>
    <x v="1"/>
    <n v="16"/>
    <n v="235.88"/>
    <n v="41.58"/>
    <n v="3774.08"/>
  </r>
  <r>
    <s v="TXN-101620"/>
    <x v="1620"/>
    <x v="2"/>
    <x v="1"/>
    <n v="7"/>
    <n v="164.54"/>
    <n v="31.41"/>
    <n v="1151.78"/>
  </r>
  <r>
    <s v="TXN-101621"/>
    <x v="1621"/>
    <x v="3"/>
    <x v="0"/>
    <n v="11"/>
    <n v="95.56"/>
    <n v="39.229999999999997"/>
    <n v="1051.1600000000001"/>
  </r>
  <r>
    <s v="TXN-101622"/>
    <x v="1622"/>
    <x v="3"/>
    <x v="3"/>
    <n v="1"/>
    <n v="61.75"/>
    <n v="13.18"/>
    <n v="61.75"/>
  </r>
  <r>
    <s v="TXN-101623"/>
    <x v="1623"/>
    <x v="1"/>
    <x v="0"/>
    <n v="7"/>
    <n v="436.64"/>
    <n v="12.63"/>
    <n v="3056.48"/>
  </r>
  <r>
    <s v="TXN-101624"/>
    <x v="1624"/>
    <x v="3"/>
    <x v="0"/>
    <n v="12"/>
    <n v="102.25"/>
    <n v="43.83"/>
    <n v="1227"/>
  </r>
  <r>
    <s v="TXN-101625"/>
    <x v="1625"/>
    <x v="0"/>
    <x v="1"/>
    <n v="7"/>
    <n v="41.52"/>
    <n v="27.42"/>
    <n v="290.64000000000004"/>
  </r>
  <r>
    <s v="TXN-101626"/>
    <x v="1626"/>
    <x v="2"/>
    <x v="0"/>
    <n v="7"/>
    <n v="433.34"/>
    <n v="16.07"/>
    <n v="3033.3799999999997"/>
  </r>
  <r>
    <s v="TXN-101627"/>
    <x v="1627"/>
    <x v="2"/>
    <x v="3"/>
    <n v="10"/>
    <n v="254.02"/>
    <n v="35.99"/>
    <n v="2540.2000000000003"/>
  </r>
  <r>
    <s v="TXN-101628"/>
    <x v="1628"/>
    <x v="0"/>
    <x v="0"/>
    <n v="16"/>
    <n v="361.65"/>
    <n v="45.13"/>
    <n v="5786.4"/>
  </r>
  <r>
    <s v="TXN-101629"/>
    <x v="1629"/>
    <x v="3"/>
    <x v="3"/>
    <n v="8"/>
    <n v="34.520000000000003"/>
    <n v="33.450000000000003"/>
    <n v="276.16000000000003"/>
  </r>
  <r>
    <s v="TXN-101630"/>
    <x v="1630"/>
    <x v="0"/>
    <x v="3"/>
    <n v="9"/>
    <n v="261.83999999999997"/>
    <n v="20.63"/>
    <n v="2356.56"/>
  </r>
  <r>
    <s v="TXN-101631"/>
    <x v="1631"/>
    <x v="0"/>
    <x v="1"/>
    <n v="9"/>
    <n v="188.52"/>
    <n v="26.75"/>
    <n v="1696.68"/>
  </r>
  <r>
    <s v="TXN-101632"/>
    <x v="1632"/>
    <x v="1"/>
    <x v="2"/>
    <n v="2"/>
    <n v="350.92"/>
    <n v="38.85"/>
    <n v="701.84"/>
  </r>
  <r>
    <s v="TXN-101633"/>
    <x v="1633"/>
    <x v="0"/>
    <x v="2"/>
    <n v="13"/>
    <n v="32.200000000000003"/>
    <n v="8.0399999999999991"/>
    <n v="418.6"/>
  </r>
  <r>
    <s v="TXN-101634"/>
    <x v="1634"/>
    <x v="2"/>
    <x v="1"/>
    <n v="13"/>
    <n v="190.03"/>
    <n v="14.77"/>
    <n v="2470.39"/>
  </r>
  <r>
    <s v="TXN-101635"/>
    <x v="1635"/>
    <x v="0"/>
    <x v="0"/>
    <n v="4"/>
    <n v="362.7"/>
    <n v="25.82"/>
    <n v="1450.8"/>
  </r>
  <r>
    <s v="TXN-101636"/>
    <x v="1636"/>
    <x v="2"/>
    <x v="1"/>
    <n v="12"/>
    <n v="242.61"/>
    <n v="32.19"/>
    <n v="2911.32"/>
  </r>
  <r>
    <s v="TXN-101637"/>
    <x v="1637"/>
    <x v="2"/>
    <x v="3"/>
    <n v="17"/>
    <n v="254.49"/>
    <n v="20.260000000000002"/>
    <n v="4326.33"/>
  </r>
  <r>
    <s v="TXN-101638"/>
    <x v="1638"/>
    <x v="2"/>
    <x v="2"/>
    <n v="2"/>
    <n v="57.72"/>
    <n v="18.43"/>
    <n v="115.44"/>
  </r>
  <r>
    <s v="TXN-101639"/>
    <x v="1639"/>
    <x v="3"/>
    <x v="1"/>
    <n v="13"/>
    <n v="73"/>
    <n v="6.86"/>
    <n v="949"/>
  </r>
  <r>
    <s v="TXN-101640"/>
    <x v="1640"/>
    <x v="1"/>
    <x v="0"/>
    <n v="18"/>
    <n v="309.66000000000003"/>
    <n v="6.47"/>
    <n v="5573.88"/>
  </r>
  <r>
    <s v="TXN-101641"/>
    <x v="1641"/>
    <x v="2"/>
    <x v="1"/>
    <n v="15"/>
    <n v="308.81"/>
    <n v="17.54"/>
    <n v="4632.1499999999996"/>
  </r>
  <r>
    <s v="TXN-101642"/>
    <x v="1642"/>
    <x v="2"/>
    <x v="2"/>
    <n v="8"/>
    <n v="440.92"/>
    <n v="28.87"/>
    <n v="3527.36"/>
  </r>
  <r>
    <s v="TXN-101643"/>
    <x v="1643"/>
    <x v="3"/>
    <x v="1"/>
    <n v="15"/>
    <n v="324.83999999999997"/>
    <n v="30.04"/>
    <n v="4872.5999999999995"/>
  </r>
  <r>
    <s v="TXN-101644"/>
    <x v="1644"/>
    <x v="2"/>
    <x v="1"/>
    <n v="1"/>
    <n v="229.81"/>
    <n v="27.23"/>
    <n v="229.81"/>
  </r>
  <r>
    <s v="TXN-101645"/>
    <x v="1645"/>
    <x v="0"/>
    <x v="2"/>
    <n v="10"/>
    <n v="388.01"/>
    <n v="23.44"/>
    <n v="3880.1"/>
  </r>
  <r>
    <s v="TXN-101646"/>
    <x v="1646"/>
    <x v="0"/>
    <x v="3"/>
    <n v="12"/>
    <n v="60.89"/>
    <n v="16.350000000000001"/>
    <n v="730.68000000000006"/>
  </r>
  <r>
    <s v="TXN-101647"/>
    <x v="1647"/>
    <x v="1"/>
    <x v="3"/>
    <n v="5"/>
    <n v="210.72"/>
    <n v="23.03"/>
    <n v="1053.5999999999999"/>
  </r>
  <r>
    <s v="TXN-101648"/>
    <x v="1648"/>
    <x v="2"/>
    <x v="2"/>
    <n v="9"/>
    <n v="140.25"/>
    <n v="11.24"/>
    <n v="1262.25"/>
  </r>
  <r>
    <s v="TXN-101649"/>
    <x v="1649"/>
    <x v="3"/>
    <x v="1"/>
    <n v="8"/>
    <n v="60.97"/>
    <n v="10.19"/>
    <n v="487.76"/>
  </r>
  <r>
    <s v="TXN-101650"/>
    <x v="1650"/>
    <x v="0"/>
    <x v="2"/>
    <n v="16"/>
    <n v="347.24"/>
    <n v="18.5"/>
    <n v="5555.84"/>
  </r>
  <r>
    <s v="TXN-101651"/>
    <x v="1651"/>
    <x v="3"/>
    <x v="3"/>
    <n v="14"/>
    <n v="237.44"/>
    <n v="49.79"/>
    <n v="3324.16"/>
  </r>
  <r>
    <s v="TXN-101652"/>
    <x v="1652"/>
    <x v="3"/>
    <x v="0"/>
    <n v="13"/>
    <n v="257.42"/>
    <n v="19.690000000000001"/>
    <n v="3346.46"/>
  </r>
  <r>
    <s v="TXN-101653"/>
    <x v="1653"/>
    <x v="0"/>
    <x v="1"/>
    <n v="13"/>
    <n v="194.19"/>
    <n v="47.14"/>
    <n v="2524.4699999999998"/>
  </r>
  <r>
    <s v="TXN-101654"/>
    <x v="1654"/>
    <x v="3"/>
    <x v="3"/>
    <n v="5"/>
    <n v="215.52"/>
    <n v="22.65"/>
    <n v="1077.6000000000001"/>
  </r>
  <r>
    <s v="TXN-101655"/>
    <x v="1655"/>
    <x v="0"/>
    <x v="1"/>
    <n v="16"/>
    <n v="65.91"/>
    <n v="24.76"/>
    <n v="1054.56"/>
  </r>
  <r>
    <s v="TXN-101656"/>
    <x v="1656"/>
    <x v="3"/>
    <x v="2"/>
    <n v="11"/>
    <n v="307.88"/>
    <n v="40.869999999999997"/>
    <n v="3386.68"/>
  </r>
  <r>
    <s v="TXN-101657"/>
    <x v="1657"/>
    <x v="0"/>
    <x v="0"/>
    <n v="5"/>
    <n v="203.4"/>
    <n v="9.2100000000000009"/>
    <n v="1017"/>
  </r>
  <r>
    <s v="TXN-101658"/>
    <x v="1658"/>
    <x v="2"/>
    <x v="2"/>
    <n v="13"/>
    <n v="370.39"/>
    <n v="13.2"/>
    <n v="4815.07"/>
  </r>
  <r>
    <s v="TXN-101659"/>
    <x v="1659"/>
    <x v="1"/>
    <x v="0"/>
    <n v="11"/>
    <n v="100.79"/>
    <n v="48.82"/>
    <n v="1108.69"/>
  </r>
  <r>
    <s v="TXN-101660"/>
    <x v="1660"/>
    <x v="0"/>
    <x v="1"/>
    <n v="19"/>
    <n v="104.6"/>
    <n v="27.77"/>
    <n v="1987.3999999999999"/>
  </r>
  <r>
    <s v="TXN-101661"/>
    <x v="1661"/>
    <x v="0"/>
    <x v="1"/>
    <n v="3"/>
    <n v="296.08"/>
    <n v="6.99"/>
    <n v="888.24"/>
  </r>
  <r>
    <s v="TXN-101662"/>
    <x v="1662"/>
    <x v="1"/>
    <x v="2"/>
    <n v="15"/>
    <n v="383.09"/>
    <n v="7.13"/>
    <n v="5746.3499999999995"/>
  </r>
  <r>
    <s v="TXN-101663"/>
    <x v="1663"/>
    <x v="0"/>
    <x v="0"/>
    <n v="7"/>
    <n v="220.67"/>
    <n v="45.83"/>
    <n v="1544.6899999999998"/>
  </r>
  <r>
    <s v="TXN-101664"/>
    <x v="1664"/>
    <x v="0"/>
    <x v="0"/>
    <n v="7"/>
    <n v="331.36"/>
    <n v="44.3"/>
    <n v="2319.52"/>
  </r>
  <r>
    <s v="TXN-101665"/>
    <x v="1665"/>
    <x v="3"/>
    <x v="1"/>
    <n v="6"/>
    <n v="449.71"/>
    <n v="25.63"/>
    <n v="2698.2599999999998"/>
  </r>
  <r>
    <s v="TXN-101666"/>
    <x v="1666"/>
    <x v="1"/>
    <x v="2"/>
    <n v="3"/>
    <n v="445.77"/>
    <n v="12.34"/>
    <n v="1337.31"/>
  </r>
  <r>
    <s v="TXN-101667"/>
    <x v="1667"/>
    <x v="2"/>
    <x v="0"/>
    <n v="13"/>
    <n v="338.91"/>
    <n v="42.36"/>
    <n v="4405.83"/>
  </r>
  <r>
    <s v="TXN-101668"/>
    <x v="1668"/>
    <x v="0"/>
    <x v="1"/>
    <n v="7"/>
    <n v="336.85"/>
    <n v="19.61"/>
    <n v="2357.9500000000003"/>
  </r>
  <r>
    <s v="TXN-101669"/>
    <x v="1669"/>
    <x v="1"/>
    <x v="3"/>
    <n v="5"/>
    <n v="123.09"/>
    <n v="23.86"/>
    <n v="615.45000000000005"/>
  </r>
  <r>
    <s v="TXN-101670"/>
    <x v="1670"/>
    <x v="3"/>
    <x v="2"/>
    <n v="18"/>
    <n v="377.67"/>
    <n v="35.71"/>
    <n v="6798.06"/>
  </r>
  <r>
    <s v="TXN-101671"/>
    <x v="1671"/>
    <x v="2"/>
    <x v="3"/>
    <n v="8"/>
    <n v="191.52"/>
    <n v="20.9"/>
    <n v="1532.16"/>
  </r>
  <r>
    <s v="TXN-101672"/>
    <x v="1672"/>
    <x v="1"/>
    <x v="2"/>
    <n v="17"/>
    <n v="433.49"/>
    <n v="33.29"/>
    <n v="7369.33"/>
  </r>
  <r>
    <s v="TXN-101673"/>
    <x v="1673"/>
    <x v="2"/>
    <x v="1"/>
    <n v="1"/>
    <n v="50.88"/>
    <n v="44.84"/>
    <n v="50.88"/>
  </r>
  <r>
    <s v="TXN-101674"/>
    <x v="1674"/>
    <x v="2"/>
    <x v="0"/>
    <n v="14"/>
    <n v="204.87"/>
    <n v="40.880000000000003"/>
    <n v="2868.1800000000003"/>
  </r>
  <r>
    <s v="TXN-101675"/>
    <x v="1675"/>
    <x v="2"/>
    <x v="0"/>
    <n v="17"/>
    <n v="257.01"/>
    <n v="22.17"/>
    <n v="4369.17"/>
  </r>
  <r>
    <s v="TXN-101676"/>
    <x v="1676"/>
    <x v="0"/>
    <x v="0"/>
    <n v="10"/>
    <n v="191.54"/>
    <n v="17.96"/>
    <n v="1915.3999999999999"/>
  </r>
  <r>
    <s v="TXN-101677"/>
    <x v="1677"/>
    <x v="0"/>
    <x v="2"/>
    <n v="12"/>
    <n v="107"/>
    <n v="17.850000000000001"/>
    <n v="1284"/>
  </r>
  <r>
    <s v="TXN-101678"/>
    <x v="1678"/>
    <x v="3"/>
    <x v="1"/>
    <n v="16"/>
    <n v="273.14999999999998"/>
    <n v="20.69"/>
    <n v="4370.3999999999996"/>
  </r>
  <r>
    <s v="TXN-101679"/>
    <x v="1679"/>
    <x v="3"/>
    <x v="3"/>
    <n v="14"/>
    <n v="343.95"/>
    <n v="27.21"/>
    <n v="4815.3"/>
  </r>
  <r>
    <s v="TXN-101680"/>
    <x v="1680"/>
    <x v="1"/>
    <x v="1"/>
    <n v="16"/>
    <n v="295.68"/>
    <n v="23.75"/>
    <n v="4730.88"/>
  </r>
  <r>
    <s v="TXN-101681"/>
    <x v="1681"/>
    <x v="3"/>
    <x v="3"/>
    <n v="8"/>
    <n v="117.37"/>
    <n v="10.99"/>
    <n v="938.96"/>
  </r>
  <r>
    <s v="TXN-101682"/>
    <x v="1682"/>
    <x v="2"/>
    <x v="2"/>
    <n v="10"/>
    <n v="333.38"/>
    <n v="12.36"/>
    <n v="3333.8"/>
  </r>
  <r>
    <s v="TXN-101683"/>
    <x v="1683"/>
    <x v="2"/>
    <x v="2"/>
    <n v="17"/>
    <n v="127.12"/>
    <n v="20.43"/>
    <n v="2161.04"/>
  </r>
  <r>
    <s v="TXN-101684"/>
    <x v="1684"/>
    <x v="0"/>
    <x v="3"/>
    <n v="18"/>
    <n v="91.63"/>
    <n v="30.29"/>
    <n v="1649.34"/>
  </r>
  <r>
    <s v="TXN-101685"/>
    <x v="1685"/>
    <x v="2"/>
    <x v="3"/>
    <n v="16"/>
    <n v="315.60000000000002"/>
    <n v="31.67"/>
    <n v="5049.6000000000004"/>
  </r>
  <r>
    <s v="TXN-101686"/>
    <x v="1686"/>
    <x v="1"/>
    <x v="3"/>
    <n v="17"/>
    <n v="381.69"/>
    <n v="26.88"/>
    <n v="6488.73"/>
  </r>
  <r>
    <s v="TXN-101687"/>
    <x v="1687"/>
    <x v="2"/>
    <x v="1"/>
    <n v="16"/>
    <n v="224.73"/>
    <n v="38.24"/>
    <n v="3595.68"/>
  </r>
  <r>
    <s v="TXN-101688"/>
    <x v="1688"/>
    <x v="2"/>
    <x v="3"/>
    <n v="19"/>
    <n v="246.39"/>
    <n v="38.18"/>
    <n v="4681.41"/>
  </r>
  <r>
    <s v="TXN-101689"/>
    <x v="1689"/>
    <x v="1"/>
    <x v="2"/>
    <n v="8"/>
    <n v="147.04"/>
    <n v="24.24"/>
    <n v="1176.32"/>
  </r>
  <r>
    <s v="TXN-101690"/>
    <x v="1690"/>
    <x v="3"/>
    <x v="2"/>
    <n v="6"/>
    <n v="230.41"/>
    <n v="10.6"/>
    <n v="1382.46"/>
  </r>
  <r>
    <s v="TXN-101691"/>
    <x v="1691"/>
    <x v="3"/>
    <x v="0"/>
    <n v="6"/>
    <n v="72.849999999999994"/>
    <n v="28.86"/>
    <n v="437.09999999999997"/>
  </r>
  <r>
    <s v="TXN-101692"/>
    <x v="1692"/>
    <x v="1"/>
    <x v="3"/>
    <n v="9"/>
    <n v="430.81"/>
    <n v="22.17"/>
    <n v="3877.29"/>
  </r>
  <r>
    <s v="TXN-101693"/>
    <x v="1693"/>
    <x v="0"/>
    <x v="1"/>
    <n v="4"/>
    <n v="363.26"/>
    <n v="11.21"/>
    <n v="1453.04"/>
  </r>
  <r>
    <s v="TXN-101694"/>
    <x v="1694"/>
    <x v="2"/>
    <x v="1"/>
    <n v="12"/>
    <n v="305.73"/>
    <n v="49.18"/>
    <n v="3668.76"/>
  </r>
  <r>
    <s v="TXN-101695"/>
    <x v="1695"/>
    <x v="1"/>
    <x v="1"/>
    <n v="12"/>
    <n v="249.35"/>
    <n v="21.64"/>
    <n v="2992.2"/>
  </r>
  <r>
    <s v="TXN-101696"/>
    <x v="1696"/>
    <x v="2"/>
    <x v="0"/>
    <n v="17"/>
    <n v="359.7"/>
    <n v="33.159999999999997"/>
    <n v="6114.9"/>
  </r>
  <r>
    <s v="TXN-101697"/>
    <x v="1697"/>
    <x v="0"/>
    <x v="2"/>
    <n v="15"/>
    <n v="230.47"/>
    <n v="27.06"/>
    <n v="3457.05"/>
  </r>
  <r>
    <s v="TXN-101698"/>
    <x v="1698"/>
    <x v="2"/>
    <x v="1"/>
    <n v="9"/>
    <n v="145.84"/>
    <n v="11.43"/>
    <n v="1312.56"/>
  </r>
  <r>
    <s v="TXN-101699"/>
    <x v="1699"/>
    <x v="1"/>
    <x v="2"/>
    <n v="7"/>
    <n v="85.18"/>
    <n v="7.5"/>
    <n v="596.26"/>
  </r>
  <r>
    <s v="TXN-101700"/>
    <x v="1700"/>
    <x v="2"/>
    <x v="0"/>
    <n v="10"/>
    <n v="296.88"/>
    <n v="33.159999999999997"/>
    <n v="2968.8"/>
  </r>
  <r>
    <s v="TXN-101701"/>
    <x v="1701"/>
    <x v="3"/>
    <x v="3"/>
    <n v="16"/>
    <n v="419.34"/>
    <n v="16.12"/>
    <n v="6709.44"/>
  </r>
  <r>
    <s v="TXN-101702"/>
    <x v="1702"/>
    <x v="0"/>
    <x v="3"/>
    <n v="12"/>
    <n v="82.25"/>
    <n v="15.96"/>
    <n v="987"/>
  </r>
  <r>
    <s v="TXN-101703"/>
    <x v="1703"/>
    <x v="0"/>
    <x v="3"/>
    <n v="7"/>
    <n v="93.72"/>
    <n v="48.06"/>
    <n v="656.04"/>
  </r>
  <r>
    <s v="TXN-101704"/>
    <x v="1704"/>
    <x v="0"/>
    <x v="1"/>
    <n v="18"/>
    <n v="203.9"/>
    <n v="25.78"/>
    <n v="3670.2000000000003"/>
  </r>
  <r>
    <s v="TXN-101705"/>
    <x v="1705"/>
    <x v="1"/>
    <x v="3"/>
    <n v="15"/>
    <n v="366.1"/>
    <n v="6.32"/>
    <n v="5491.5"/>
  </r>
  <r>
    <s v="TXN-101706"/>
    <x v="1706"/>
    <x v="0"/>
    <x v="1"/>
    <n v="6"/>
    <n v="143.21"/>
    <n v="20.29"/>
    <n v="859.26"/>
  </r>
  <r>
    <s v="TXN-101707"/>
    <x v="1707"/>
    <x v="3"/>
    <x v="0"/>
    <n v="12"/>
    <n v="125.83"/>
    <n v="31.3"/>
    <n v="1509.96"/>
  </r>
  <r>
    <s v="TXN-101708"/>
    <x v="1708"/>
    <x v="1"/>
    <x v="0"/>
    <n v="11"/>
    <n v="284.88"/>
    <n v="19.79"/>
    <n v="3133.68"/>
  </r>
  <r>
    <s v="TXN-101709"/>
    <x v="1709"/>
    <x v="3"/>
    <x v="1"/>
    <n v="3"/>
    <n v="248.22"/>
    <n v="6.21"/>
    <n v="744.66"/>
  </r>
  <r>
    <s v="TXN-101710"/>
    <x v="1710"/>
    <x v="2"/>
    <x v="2"/>
    <n v="2"/>
    <n v="41.67"/>
    <n v="24.99"/>
    <n v="83.34"/>
  </r>
  <r>
    <s v="TXN-101711"/>
    <x v="1711"/>
    <x v="2"/>
    <x v="3"/>
    <n v="6"/>
    <n v="50.91"/>
    <n v="9.77"/>
    <n v="305.45999999999998"/>
  </r>
  <r>
    <s v="TXN-101712"/>
    <x v="1712"/>
    <x v="2"/>
    <x v="3"/>
    <n v="5"/>
    <n v="294.89"/>
    <n v="32.86"/>
    <n v="1474.4499999999998"/>
  </r>
  <r>
    <s v="TXN-101713"/>
    <x v="1713"/>
    <x v="2"/>
    <x v="3"/>
    <n v="18"/>
    <n v="217.6"/>
    <n v="32.880000000000003"/>
    <n v="3916.7999999999997"/>
  </r>
  <r>
    <s v="TXN-101714"/>
    <x v="1714"/>
    <x v="3"/>
    <x v="1"/>
    <n v="16"/>
    <n v="437.39"/>
    <n v="6.7"/>
    <n v="6998.24"/>
  </r>
  <r>
    <s v="TXN-101715"/>
    <x v="1715"/>
    <x v="1"/>
    <x v="0"/>
    <n v="8"/>
    <n v="310.32"/>
    <n v="18.079999999999998"/>
    <n v="2482.56"/>
  </r>
  <r>
    <s v="TXN-101716"/>
    <x v="1716"/>
    <x v="1"/>
    <x v="3"/>
    <n v="11"/>
    <n v="19.88"/>
    <n v="23.62"/>
    <n v="218.67999999999998"/>
  </r>
  <r>
    <s v="TXN-101717"/>
    <x v="1717"/>
    <x v="0"/>
    <x v="0"/>
    <n v="10"/>
    <n v="224.5"/>
    <n v="29.76"/>
    <n v="2245"/>
  </r>
  <r>
    <s v="TXN-101718"/>
    <x v="1718"/>
    <x v="3"/>
    <x v="3"/>
    <n v="12"/>
    <n v="195.58"/>
    <n v="18.32"/>
    <n v="2346.96"/>
  </r>
  <r>
    <s v="TXN-101719"/>
    <x v="1719"/>
    <x v="2"/>
    <x v="3"/>
    <n v="6"/>
    <n v="61.87"/>
    <n v="17.95"/>
    <n v="371.21999999999997"/>
  </r>
  <r>
    <s v="TXN-101720"/>
    <x v="1720"/>
    <x v="3"/>
    <x v="1"/>
    <n v="5"/>
    <n v="416.63"/>
    <n v="49.24"/>
    <n v="2083.15"/>
  </r>
  <r>
    <s v="TXN-101721"/>
    <x v="1721"/>
    <x v="0"/>
    <x v="2"/>
    <n v="9"/>
    <n v="365.28"/>
    <n v="6.88"/>
    <n v="3287.5199999999995"/>
  </r>
  <r>
    <s v="TXN-101722"/>
    <x v="1722"/>
    <x v="0"/>
    <x v="1"/>
    <n v="16"/>
    <n v="115.47"/>
    <n v="49.51"/>
    <n v="1847.52"/>
  </r>
  <r>
    <s v="TXN-101723"/>
    <x v="1723"/>
    <x v="3"/>
    <x v="3"/>
    <n v="14"/>
    <n v="126.72"/>
    <n v="7.15"/>
    <n v="1774.08"/>
  </r>
  <r>
    <s v="TXN-101724"/>
    <x v="1724"/>
    <x v="3"/>
    <x v="3"/>
    <n v="8"/>
    <n v="29.41"/>
    <n v="17.98"/>
    <n v="235.28"/>
  </r>
  <r>
    <s v="TXN-101725"/>
    <x v="1725"/>
    <x v="3"/>
    <x v="2"/>
    <n v="19"/>
    <n v="144.41999999999999"/>
    <n v="27.22"/>
    <n v="2743.9799999999996"/>
  </r>
  <r>
    <s v="TXN-101726"/>
    <x v="1726"/>
    <x v="1"/>
    <x v="0"/>
    <n v="14"/>
    <n v="269.52"/>
    <n v="11.45"/>
    <n v="3773.2799999999997"/>
  </r>
  <r>
    <s v="TXN-101727"/>
    <x v="1727"/>
    <x v="2"/>
    <x v="0"/>
    <n v="7"/>
    <n v="198.36"/>
    <n v="11.07"/>
    <n v="1388.52"/>
  </r>
  <r>
    <s v="TXN-101728"/>
    <x v="1728"/>
    <x v="3"/>
    <x v="3"/>
    <n v="5"/>
    <n v="436.64"/>
    <n v="16.53"/>
    <n v="2183.1999999999998"/>
  </r>
  <r>
    <s v="TXN-101729"/>
    <x v="1729"/>
    <x v="3"/>
    <x v="0"/>
    <n v="18"/>
    <n v="39.869999999999997"/>
    <n v="48.81"/>
    <n v="717.66"/>
  </r>
  <r>
    <s v="TXN-101730"/>
    <x v="1730"/>
    <x v="3"/>
    <x v="3"/>
    <n v="2"/>
    <n v="272.48"/>
    <n v="22.11"/>
    <n v="544.96"/>
  </r>
  <r>
    <s v="TXN-101731"/>
    <x v="1731"/>
    <x v="0"/>
    <x v="2"/>
    <n v="11"/>
    <n v="388.44"/>
    <n v="30.47"/>
    <n v="4272.84"/>
  </r>
  <r>
    <s v="TXN-101732"/>
    <x v="1732"/>
    <x v="0"/>
    <x v="2"/>
    <n v="8"/>
    <n v="224.38"/>
    <n v="36.69"/>
    <n v="1795.04"/>
  </r>
  <r>
    <s v="TXN-101733"/>
    <x v="1733"/>
    <x v="1"/>
    <x v="3"/>
    <n v="1"/>
    <n v="16.79"/>
    <n v="38.4"/>
    <n v="16.79"/>
  </r>
  <r>
    <s v="TXN-101734"/>
    <x v="1734"/>
    <x v="2"/>
    <x v="2"/>
    <n v="12"/>
    <n v="121"/>
    <n v="35.96"/>
    <n v="1452"/>
  </r>
  <r>
    <s v="TXN-101735"/>
    <x v="1735"/>
    <x v="1"/>
    <x v="1"/>
    <n v="2"/>
    <n v="156.18"/>
    <n v="20.16"/>
    <n v="312.36"/>
  </r>
  <r>
    <s v="TXN-101736"/>
    <x v="1736"/>
    <x v="2"/>
    <x v="1"/>
    <n v="18"/>
    <n v="435.22"/>
    <n v="10.029999999999999"/>
    <n v="7833.9600000000009"/>
  </r>
  <r>
    <s v="TXN-101737"/>
    <x v="1737"/>
    <x v="0"/>
    <x v="2"/>
    <n v="7"/>
    <n v="411.67"/>
    <n v="17.68"/>
    <n v="2881.69"/>
  </r>
  <r>
    <s v="TXN-101738"/>
    <x v="1738"/>
    <x v="0"/>
    <x v="3"/>
    <n v="17"/>
    <n v="427.91"/>
    <n v="14.46"/>
    <n v="7274.47"/>
  </r>
  <r>
    <s v="TXN-101739"/>
    <x v="1739"/>
    <x v="0"/>
    <x v="3"/>
    <n v="14"/>
    <n v="374.29"/>
    <n v="11.13"/>
    <n v="5240.0600000000004"/>
  </r>
  <r>
    <s v="TXN-101740"/>
    <x v="1740"/>
    <x v="1"/>
    <x v="2"/>
    <n v="7"/>
    <n v="168.29"/>
    <n v="6.1"/>
    <n v="1178.03"/>
  </r>
  <r>
    <s v="TXN-101741"/>
    <x v="1741"/>
    <x v="3"/>
    <x v="0"/>
    <n v="3"/>
    <n v="409.1"/>
    <n v="47.11"/>
    <n v="1227.3000000000002"/>
  </r>
  <r>
    <s v="TXN-101742"/>
    <x v="1742"/>
    <x v="3"/>
    <x v="1"/>
    <n v="6"/>
    <n v="442.04"/>
    <n v="46.45"/>
    <n v="2652.2400000000002"/>
  </r>
  <r>
    <s v="TXN-101743"/>
    <x v="1743"/>
    <x v="0"/>
    <x v="0"/>
    <n v="2"/>
    <n v="167.61"/>
    <n v="7.27"/>
    <n v="335.22"/>
  </r>
  <r>
    <s v="TXN-101744"/>
    <x v="1744"/>
    <x v="3"/>
    <x v="3"/>
    <n v="17"/>
    <n v="128.71"/>
    <n v="12.79"/>
    <n v="2188.0700000000002"/>
  </r>
  <r>
    <s v="TXN-101745"/>
    <x v="1745"/>
    <x v="3"/>
    <x v="3"/>
    <n v="12"/>
    <n v="253.14"/>
    <n v="11.28"/>
    <n v="3037.68"/>
  </r>
  <r>
    <s v="TXN-101746"/>
    <x v="1746"/>
    <x v="1"/>
    <x v="0"/>
    <n v="12"/>
    <n v="96.82"/>
    <n v="17.66"/>
    <n v="1161.8399999999999"/>
  </r>
  <r>
    <s v="TXN-101747"/>
    <x v="1747"/>
    <x v="2"/>
    <x v="2"/>
    <n v="17"/>
    <n v="29.68"/>
    <n v="14.18"/>
    <n v="504.56"/>
  </r>
  <r>
    <s v="TXN-101748"/>
    <x v="1748"/>
    <x v="0"/>
    <x v="0"/>
    <n v="10"/>
    <n v="426.46"/>
    <n v="47.56"/>
    <n v="4264.5999999999995"/>
  </r>
  <r>
    <s v="TXN-101749"/>
    <x v="1749"/>
    <x v="0"/>
    <x v="0"/>
    <n v="3"/>
    <n v="417.73"/>
    <n v="8.7899999999999991"/>
    <n v="1253.19"/>
  </r>
  <r>
    <s v="TXN-101750"/>
    <x v="1750"/>
    <x v="1"/>
    <x v="1"/>
    <n v="18"/>
    <n v="86.17"/>
    <n v="14.53"/>
    <n v="1551.06"/>
  </r>
  <r>
    <s v="TXN-101751"/>
    <x v="1751"/>
    <x v="1"/>
    <x v="1"/>
    <n v="13"/>
    <n v="192.66"/>
    <n v="8.6300000000000008"/>
    <n v="2504.58"/>
  </r>
  <r>
    <s v="TXN-101752"/>
    <x v="1752"/>
    <x v="3"/>
    <x v="0"/>
    <n v="12"/>
    <n v="376.59"/>
    <n v="49.12"/>
    <n v="4519.08"/>
  </r>
  <r>
    <s v="TXN-101753"/>
    <x v="1753"/>
    <x v="0"/>
    <x v="0"/>
    <n v="17"/>
    <n v="302.7"/>
    <n v="46.33"/>
    <n v="5145.8999999999996"/>
  </r>
  <r>
    <s v="TXN-101754"/>
    <x v="1754"/>
    <x v="2"/>
    <x v="3"/>
    <n v="4"/>
    <n v="187.04"/>
    <n v="37.25"/>
    <n v="748.16"/>
  </r>
  <r>
    <s v="TXN-101755"/>
    <x v="1755"/>
    <x v="1"/>
    <x v="1"/>
    <n v="10"/>
    <n v="338.84"/>
    <n v="24.17"/>
    <n v="3388.3999999999996"/>
  </r>
  <r>
    <s v="TXN-101756"/>
    <x v="1756"/>
    <x v="2"/>
    <x v="1"/>
    <n v="11"/>
    <n v="405.27"/>
    <n v="13.56"/>
    <n v="4457.9699999999993"/>
  </r>
  <r>
    <s v="TXN-101757"/>
    <x v="1757"/>
    <x v="2"/>
    <x v="3"/>
    <n v="6"/>
    <n v="417.92"/>
    <n v="14.97"/>
    <n v="2507.52"/>
  </r>
  <r>
    <s v="TXN-101758"/>
    <x v="1758"/>
    <x v="0"/>
    <x v="2"/>
    <n v="6"/>
    <n v="180.11"/>
    <n v="24.94"/>
    <n v="1080.6600000000001"/>
  </r>
  <r>
    <s v="TXN-101759"/>
    <x v="1759"/>
    <x v="0"/>
    <x v="1"/>
    <n v="9"/>
    <n v="90.91"/>
    <n v="39.57"/>
    <n v="818.18999999999994"/>
  </r>
  <r>
    <s v="TXN-101760"/>
    <x v="1760"/>
    <x v="1"/>
    <x v="1"/>
    <n v="15"/>
    <n v="412.13"/>
    <n v="16.91"/>
    <n v="6181.95"/>
  </r>
  <r>
    <s v="TXN-101761"/>
    <x v="1761"/>
    <x v="0"/>
    <x v="2"/>
    <n v="2"/>
    <n v="55.72"/>
    <n v="18.989999999999998"/>
    <n v="111.44"/>
  </r>
  <r>
    <s v="TXN-101762"/>
    <x v="1762"/>
    <x v="0"/>
    <x v="1"/>
    <n v="4"/>
    <n v="329.07"/>
    <n v="32"/>
    <n v="1316.28"/>
  </r>
  <r>
    <s v="TXN-101763"/>
    <x v="1763"/>
    <x v="0"/>
    <x v="1"/>
    <n v="5"/>
    <n v="76.55"/>
    <n v="15.7"/>
    <n v="382.75"/>
  </r>
  <r>
    <s v="TXN-101764"/>
    <x v="1764"/>
    <x v="2"/>
    <x v="2"/>
    <n v="17"/>
    <n v="184.69"/>
    <n v="31.29"/>
    <n v="3139.73"/>
  </r>
  <r>
    <s v="TXN-101765"/>
    <x v="1765"/>
    <x v="1"/>
    <x v="2"/>
    <n v="8"/>
    <n v="194.32"/>
    <n v="22.42"/>
    <n v="1554.56"/>
  </r>
  <r>
    <s v="TXN-101766"/>
    <x v="1766"/>
    <x v="3"/>
    <x v="0"/>
    <n v="8"/>
    <n v="84.48"/>
    <n v="6.55"/>
    <n v="675.84"/>
  </r>
  <r>
    <s v="TXN-101767"/>
    <x v="1767"/>
    <x v="2"/>
    <x v="3"/>
    <n v="12"/>
    <n v="416.41"/>
    <n v="23.12"/>
    <n v="4996.92"/>
  </r>
  <r>
    <s v="TXN-101768"/>
    <x v="1768"/>
    <x v="0"/>
    <x v="3"/>
    <n v="8"/>
    <n v="16.66"/>
    <n v="46.38"/>
    <n v="133.28"/>
  </r>
  <r>
    <s v="TXN-101769"/>
    <x v="1769"/>
    <x v="2"/>
    <x v="2"/>
    <n v="19"/>
    <n v="403.86"/>
    <n v="18.190000000000001"/>
    <n v="7673.34"/>
  </r>
  <r>
    <s v="TXN-101770"/>
    <x v="1770"/>
    <x v="0"/>
    <x v="2"/>
    <n v="3"/>
    <n v="399.52"/>
    <n v="19.53"/>
    <n v="1198.56"/>
  </r>
  <r>
    <s v="TXN-101771"/>
    <x v="1771"/>
    <x v="0"/>
    <x v="1"/>
    <n v="18"/>
    <n v="153.22"/>
    <n v="7.97"/>
    <n v="2757.96"/>
  </r>
  <r>
    <s v="TXN-101772"/>
    <x v="1772"/>
    <x v="2"/>
    <x v="0"/>
    <n v="19"/>
    <n v="321.51"/>
    <n v="32.68"/>
    <n v="6108.69"/>
  </r>
  <r>
    <s v="TXN-101773"/>
    <x v="1773"/>
    <x v="1"/>
    <x v="0"/>
    <n v="19"/>
    <n v="125.35"/>
    <n v="43.22"/>
    <n v="2381.65"/>
  </r>
  <r>
    <s v="TXN-101774"/>
    <x v="1774"/>
    <x v="0"/>
    <x v="2"/>
    <n v="15"/>
    <n v="345.19"/>
    <n v="20.88"/>
    <n v="5177.8500000000004"/>
  </r>
  <r>
    <s v="TXN-101775"/>
    <x v="1775"/>
    <x v="1"/>
    <x v="1"/>
    <n v="6"/>
    <n v="259.31"/>
    <n v="15.81"/>
    <n v="1555.8600000000001"/>
  </r>
  <r>
    <s v="TXN-101776"/>
    <x v="1776"/>
    <x v="3"/>
    <x v="1"/>
    <n v="16"/>
    <n v="145.94999999999999"/>
    <n v="48.05"/>
    <n v="2335.1999999999998"/>
  </r>
  <r>
    <s v="TXN-101777"/>
    <x v="1777"/>
    <x v="0"/>
    <x v="3"/>
    <n v="8"/>
    <n v="189.4"/>
    <n v="38.53"/>
    <n v="1515.2"/>
  </r>
  <r>
    <s v="TXN-101778"/>
    <x v="1778"/>
    <x v="1"/>
    <x v="3"/>
    <n v="16"/>
    <n v="315.26"/>
    <n v="30.52"/>
    <n v="5044.16"/>
  </r>
  <r>
    <s v="TXN-101779"/>
    <x v="1779"/>
    <x v="1"/>
    <x v="1"/>
    <n v="18"/>
    <n v="409.2"/>
    <n v="18.75"/>
    <n v="7365.5999999999995"/>
  </r>
  <r>
    <s v="TXN-101780"/>
    <x v="1780"/>
    <x v="3"/>
    <x v="3"/>
    <n v="16"/>
    <n v="72.3"/>
    <n v="14.94"/>
    <n v="1156.8"/>
  </r>
  <r>
    <s v="TXN-101781"/>
    <x v="1781"/>
    <x v="1"/>
    <x v="2"/>
    <n v="11"/>
    <n v="263.76"/>
    <n v="37.21"/>
    <n v="2901.3599999999997"/>
  </r>
  <r>
    <s v="TXN-101782"/>
    <x v="1782"/>
    <x v="1"/>
    <x v="1"/>
    <n v="7"/>
    <n v="125.75"/>
    <n v="28.48"/>
    <n v="880.25"/>
  </r>
  <r>
    <s v="TXN-101783"/>
    <x v="1783"/>
    <x v="3"/>
    <x v="3"/>
    <n v="17"/>
    <n v="363.7"/>
    <n v="28.43"/>
    <n v="6182.9"/>
  </r>
  <r>
    <s v="TXN-101784"/>
    <x v="1784"/>
    <x v="0"/>
    <x v="0"/>
    <n v="17"/>
    <n v="46.02"/>
    <n v="8.32"/>
    <n v="782.34"/>
  </r>
  <r>
    <s v="TXN-101785"/>
    <x v="1785"/>
    <x v="1"/>
    <x v="1"/>
    <n v="12"/>
    <n v="314.85000000000002"/>
    <n v="28.05"/>
    <n v="3778.2000000000003"/>
  </r>
  <r>
    <s v="TXN-101786"/>
    <x v="1786"/>
    <x v="1"/>
    <x v="1"/>
    <n v="13"/>
    <n v="91.51"/>
    <n v="42.02"/>
    <n v="1189.6300000000001"/>
  </r>
  <r>
    <s v="TXN-101787"/>
    <x v="1787"/>
    <x v="1"/>
    <x v="0"/>
    <n v="10"/>
    <n v="274.63"/>
    <n v="47.61"/>
    <n v="2746.3"/>
  </r>
  <r>
    <s v="TXN-101788"/>
    <x v="1788"/>
    <x v="2"/>
    <x v="2"/>
    <n v="7"/>
    <n v="378.61"/>
    <n v="9.8000000000000007"/>
    <n v="2650.27"/>
  </r>
  <r>
    <s v="TXN-101789"/>
    <x v="1789"/>
    <x v="3"/>
    <x v="0"/>
    <n v="14"/>
    <n v="343.58"/>
    <n v="33.4"/>
    <n v="4810.12"/>
  </r>
  <r>
    <s v="TXN-101790"/>
    <x v="1790"/>
    <x v="2"/>
    <x v="1"/>
    <n v="1"/>
    <n v="342.65"/>
    <n v="30.58"/>
    <n v="342.65"/>
  </r>
  <r>
    <s v="TXN-101791"/>
    <x v="1791"/>
    <x v="3"/>
    <x v="2"/>
    <n v="17"/>
    <n v="240.5"/>
    <n v="45.06"/>
    <n v="4088.5"/>
  </r>
  <r>
    <s v="TXN-101792"/>
    <x v="1792"/>
    <x v="0"/>
    <x v="3"/>
    <n v="4"/>
    <n v="402.53"/>
    <n v="38.81"/>
    <n v="1610.12"/>
  </r>
  <r>
    <s v="TXN-101793"/>
    <x v="1793"/>
    <x v="0"/>
    <x v="3"/>
    <n v="5"/>
    <n v="271.02999999999997"/>
    <n v="48.44"/>
    <n v="1355.1499999999999"/>
  </r>
  <r>
    <s v="TXN-101794"/>
    <x v="1794"/>
    <x v="1"/>
    <x v="3"/>
    <n v="7"/>
    <n v="414.16"/>
    <n v="48.2"/>
    <n v="2899.1200000000003"/>
  </r>
  <r>
    <s v="TXN-101795"/>
    <x v="1795"/>
    <x v="3"/>
    <x v="1"/>
    <n v="10"/>
    <n v="252.96"/>
    <n v="15.16"/>
    <n v="2529.6"/>
  </r>
  <r>
    <s v="TXN-101796"/>
    <x v="1796"/>
    <x v="0"/>
    <x v="0"/>
    <n v="17"/>
    <n v="235.34"/>
    <n v="37.64"/>
    <n v="4000.78"/>
  </r>
  <r>
    <s v="TXN-101797"/>
    <x v="1797"/>
    <x v="3"/>
    <x v="2"/>
    <n v="7"/>
    <n v="112.11"/>
    <n v="28.87"/>
    <n v="784.77"/>
  </r>
  <r>
    <s v="TXN-101798"/>
    <x v="1798"/>
    <x v="0"/>
    <x v="3"/>
    <n v="1"/>
    <n v="252.21"/>
    <n v="14.66"/>
    <n v="252.21"/>
  </r>
  <r>
    <s v="TXN-101799"/>
    <x v="1799"/>
    <x v="2"/>
    <x v="2"/>
    <n v="7"/>
    <n v="76.58"/>
    <n v="13.77"/>
    <n v="536.05999999999995"/>
  </r>
  <r>
    <s v="TXN-101800"/>
    <x v="1800"/>
    <x v="0"/>
    <x v="1"/>
    <n v="11"/>
    <n v="393.38"/>
    <n v="8.65"/>
    <n v="4327.18"/>
  </r>
  <r>
    <s v="TXN-101801"/>
    <x v="1801"/>
    <x v="2"/>
    <x v="3"/>
    <n v="9"/>
    <n v="309.18"/>
    <n v="40.799999999999997"/>
    <n v="2782.62"/>
  </r>
  <r>
    <s v="TXN-101802"/>
    <x v="1802"/>
    <x v="0"/>
    <x v="1"/>
    <n v="12"/>
    <n v="447.23"/>
    <n v="19.600000000000001"/>
    <n v="5366.76"/>
  </r>
  <r>
    <s v="TXN-101803"/>
    <x v="1803"/>
    <x v="1"/>
    <x v="0"/>
    <n v="3"/>
    <n v="55.52"/>
    <n v="43.56"/>
    <n v="166.56"/>
  </r>
  <r>
    <s v="TXN-101804"/>
    <x v="1804"/>
    <x v="2"/>
    <x v="1"/>
    <n v="4"/>
    <n v="120.07"/>
    <n v="32.369999999999997"/>
    <n v="480.28"/>
  </r>
  <r>
    <s v="TXN-101805"/>
    <x v="1805"/>
    <x v="0"/>
    <x v="1"/>
    <n v="4"/>
    <n v="396.63"/>
    <n v="35.31"/>
    <n v="1586.52"/>
  </r>
  <r>
    <s v="TXN-101806"/>
    <x v="1806"/>
    <x v="1"/>
    <x v="0"/>
    <n v="13"/>
    <n v="187.24"/>
    <n v="18.13"/>
    <n v="2434.12"/>
  </r>
  <r>
    <s v="TXN-101807"/>
    <x v="1807"/>
    <x v="2"/>
    <x v="2"/>
    <n v="19"/>
    <n v="218.11"/>
    <n v="25.58"/>
    <n v="4144.09"/>
  </r>
  <r>
    <s v="TXN-101808"/>
    <x v="1808"/>
    <x v="1"/>
    <x v="0"/>
    <n v="10"/>
    <n v="389.45"/>
    <n v="23.55"/>
    <n v="3894.5"/>
  </r>
  <r>
    <s v="TXN-101809"/>
    <x v="1809"/>
    <x v="3"/>
    <x v="0"/>
    <n v="5"/>
    <n v="242.23"/>
    <n v="15.61"/>
    <n v="1211.1499999999999"/>
  </r>
  <r>
    <s v="TXN-101810"/>
    <x v="1810"/>
    <x v="3"/>
    <x v="1"/>
    <n v="7"/>
    <n v="99.57"/>
    <n v="42.46"/>
    <n v="696.99"/>
  </r>
  <r>
    <s v="TXN-101811"/>
    <x v="1811"/>
    <x v="2"/>
    <x v="2"/>
    <n v="16"/>
    <n v="403.09"/>
    <n v="32.99"/>
    <n v="6449.44"/>
  </r>
  <r>
    <s v="TXN-101812"/>
    <x v="1812"/>
    <x v="0"/>
    <x v="3"/>
    <n v="1"/>
    <n v="29"/>
    <n v="6.68"/>
    <n v="29"/>
  </r>
  <r>
    <s v="TXN-101813"/>
    <x v="1813"/>
    <x v="2"/>
    <x v="0"/>
    <n v="12"/>
    <n v="404.55"/>
    <n v="41.9"/>
    <n v="4854.6000000000004"/>
  </r>
  <r>
    <s v="TXN-101814"/>
    <x v="1814"/>
    <x v="1"/>
    <x v="2"/>
    <n v="2"/>
    <n v="37.450000000000003"/>
    <n v="9.77"/>
    <n v="74.900000000000006"/>
  </r>
  <r>
    <s v="TXN-101815"/>
    <x v="1815"/>
    <x v="0"/>
    <x v="0"/>
    <n v="7"/>
    <n v="304.81"/>
    <n v="23.17"/>
    <n v="2133.67"/>
  </r>
  <r>
    <s v="TXN-101816"/>
    <x v="1816"/>
    <x v="3"/>
    <x v="0"/>
    <n v="11"/>
    <n v="46.64"/>
    <n v="30.71"/>
    <n v="513.04"/>
  </r>
  <r>
    <s v="TXN-101817"/>
    <x v="1817"/>
    <x v="0"/>
    <x v="0"/>
    <n v="13"/>
    <n v="322.35000000000002"/>
    <n v="5.34"/>
    <n v="4190.55"/>
  </r>
  <r>
    <s v="TXN-101818"/>
    <x v="1818"/>
    <x v="3"/>
    <x v="0"/>
    <n v="2"/>
    <n v="30.26"/>
    <n v="34.380000000000003"/>
    <n v="60.52"/>
  </r>
  <r>
    <s v="TXN-101819"/>
    <x v="1819"/>
    <x v="0"/>
    <x v="1"/>
    <n v="7"/>
    <n v="381.55"/>
    <n v="34.69"/>
    <n v="2670.85"/>
  </r>
  <r>
    <s v="TXN-101820"/>
    <x v="1820"/>
    <x v="0"/>
    <x v="2"/>
    <n v="15"/>
    <n v="217.95"/>
    <n v="34.36"/>
    <n v="3269.25"/>
  </r>
  <r>
    <s v="TXN-101821"/>
    <x v="1821"/>
    <x v="0"/>
    <x v="2"/>
    <n v="11"/>
    <n v="56.11"/>
    <n v="12.36"/>
    <n v="617.21"/>
  </r>
  <r>
    <s v="TXN-101822"/>
    <x v="1822"/>
    <x v="1"/>
    <x v="2"/>
    <n v="2"/>
    <n v="322.61"/>
    <n v="16.510000000000002"/>
    <n v="645.22"/>
  </r>
  <r>
    <s v="TXN-101823"/>
    <x v="1823"/>
    <x v="1"/>
    <x v="0"/>
    <n v="7"/>
    <n v="228.1"/>
    <n v="16.13"/>
    <n v="1596.7"/>
  </r>
  <r>
    <s v="TXN-101824"/>
    <x v="1824"/>
    <x v="2"/>
    <x v="1"/>
    <n v="4"/>
    <n v="98.47"/>
    <n v="48.2"/>
    <n v="393.88"/>
  </r>
  <r>
    <s v="TXN-101825"/>
    <x v="1825"/>
    <x v="2"/>
    <x v="0"/>
    <n v="11"/>
    <n v="22.31"/>
    <n v="8.0399999999999991"/>
    <n v="245.41"/>
  </r>
  <r>
    <s v="TXN-101826"/>
    <x v="1826"/>
    <x v="3"/>
    <x v="0"/>
    <n v="2"/>
    <n v="197.12"/>
    <n v="24.29"/>
    <n v="394.24"/>
  </r>
  <r>
    <s v="TXN-101827"/>
    <x v="1827"/>
    <x v="1"/>
    <x v="2"/>
    <n v="16"/>
    <n v="52.71"/>
    <n v="44.21"/>
    <n v="843.36"/>
  </r>
  <r>
    <s v="TXN-101828"/>
    <x v="1828"/>
    <x v="3"/>
    <x v="0"/>
    <n v="7"/>
    <n v="56.42"/>
    <n v="39.630000000000003"/>
    <n v="394.94"/>
  </r>
  <r>
    <s v="TXN-101829"/>
    <x v="1829"/>
    <x v="2"/>
    <x v="3"/>
    <n v="13"/>
    <n v="131.65"/>
    <n v="42.01"/>
    <n v="1711.45"/>
  </r>
  <r>
    <s v="TXN-101830"/>
    <x v="1830"/>
    <x v="3"/>
    <x v="0"/>
    <n v="5"/>
    <n v="289.43"/>
    <n v="48.75"/>
    <n v="1447.15"/>
  </r>
  <r>
    <s v="TXN-101831"/>
    <x v="1831"/>
    <x v="2"/>
    <x v="3"/>
    <n v="17"/>
    <n v="245.75"/>
    <n v="22.43"/>
    <n v="4177.75"/>
  </r>
  <r>
    <s v="TXN-101832"/>
    <x v="1832"/>
    <x v="1"/>
    <x v="0"/>
    <n v="12"/>
    <n v="45.47"/>
    <n v="18.93"/>
    <n v="545.64"/>
  </r>
  <r>
    <s v="TXN-101833"/>
    <x v="1833"/>
    <x v="0"/>
    <x v="1"/>
    <n v="19"/>
    <n v="436.28"/>
    <n v="6.38"/>
    <n v="8289.32"/>
  </r>
  <r>
    <s v="TXN-101834"/>
    <x v="1834"/>
    <x v="1"/>
    <x v="1"/>
    <n v="7"/>
    <n v="400.97"/>
    <n v="11.75"/>
    <n v="2806.79"/>
  </r>
  <r>
    <s v="TXN-101835"/>
    <x v="1835"/>
    <x v="3"/>
    <x v="2"/>
    <n v="6"/>
    <n v="128.13"/>
    <n v="30.29"/>
    <n v="768.78"/>
  </r>
  <r>
    <s v="TXN-101836"/>
    <x v="1836"/>
    <x v="3"/>
    <x v="0"/>
    <n v="8"/>
    <n v="68.66"/>
    <n v="12.09"/>
    <n v="549.28"/>
  </r>
  <r>
    <s v="TXN-101837"/>
    <x v="1837"/>
    <x v="1"/>
    <x v="3"/>
    <n v="13"/>
    <n v="424.97"/>
    <n v="38.130000000000003"/>
    <n v="5524.6100000000006"/>
  </r>
  <r>
    <s v="TXN-101838"/>
    <x v="1838"/>
    <x v="1"/>
    <x v="3"/>
    <n v="5"/>
    <n v="215.87"/>
    <n v="6.68"/>
    <n v="1079.3499999999999"/>
  </r>
  <r>
    <s v="TXN-101839"/>
    <x v="1839"/>
    <x v="2"/>
    <x v="0"/>
    <n v="2"/>
    <n v="150.69999999999999"/>
    <n v="16.68"/>
    <n v="301.39999999999998"/>
  </r>
  <r>
    <s v="TXN-101840"/>
    <x v="1840"/>
    <x v="3"/>
    <x v="3"/>
    <n v="9"/>
    <n v="228.56"/>
    <n v="36.299999999999997"/>
    <n v="2057.04"/>
  </r>
  <r>
    <s v="TXN-101841"/>
    <x v="1841"/>
    <x v="3"/>
    <x v="1"/>
    <n v="11"/>
    <n v="351.26"/>
    <n v="16.5"/>
    <n v="3863.8599999999997"/>
  </r>
  <r>
    <s v="TXN-101842"/>
    <x v="1842"/>
    <x v="1"/>
    <x v="3"/>
    <n v="6"/>
    <n v="88.66"/>
    <n v="37.79"/>
    <n v="531.96"/>
  </r>
  <r>
    <s v="TXN-101843"/>
    <x v="1843"/>
    <x v="0"/>
    <x v="2"/>
    <n v="7"/>
    <n v="348.98"/>
    <n v="49.81"/>
    <n v="2442.86"/>
  </r>
  <r>
    <s v="TXN-101844"/>
    <x v="1844"/>
    <x v="3"/>
    <x v="1"/>
    <n v="7"/>
    <n v="341.13"/>
    <n v="40.869999999999997"/>
    <n v="2387.91"/>
  </r>
  <r>
    <s v="TXN-101845"/>
    <x v="1845"/>
    <x v="0"/>
    <x v="1"/>
    <n v="19"/>
    <n v="249.85"/>
    <n v="20.38"/>
    <n v="4747.1499999999996"/>
  </r>
  <r>
    <s v="TXN-101846"/>
    <x v="1846"/>
    <x v="1"/>
    <x v="1"/>
    <n v="6"/>
    <n v="391.71"/>
    <n v="45.53"/>
    <n v="2350.2599999999998"/>
  </r>
  <r>
    <s v="TXN-101847"/>
    <x v="1847"/>
    <x v="1"/>
    <x v="0"/>
    <n v="11"/>
    <n v="72.92"/>
    <n v="7.3"/>
    <n v="802.12"/>
  </r>
  <r>
    <s v="TXN-101848"/>
    <x v="1848"/>
    <x v="2"/>
    <x v="0"/>
    <n v="11"/>
    <n v="274.24"/>
    <n v="37.630000000000003"/>
    <n v="3016.6400000000003"/>
  </r>
  <r>
    <s v="TXN-101849"/>
    <x v="1849"/>
    <x v="3"/>
    <x v="1"/>
    <n v="7"/>
    <n v="210.74"/>
    <n v="6.05"/>
    <n v="1475.18"/>
  </r>
  <r>
    <s v="TXN-101850"/>
    <x v="1850"/>
    <x v="0"/>
    <x v="0"/>
    <n v="2"/>
    <n v="198.99"/>
    <n v="12.85"/>
    <n v="397.98"/>
  </r>
  <r>
    <s v="TXN-101851"/>
    <x v="1851"/>
    <x v="2"/>
    <x v="3"/>
    <n v="19"/>
    <n v="125.24"/>
    <n v="49.44"/>
    <n v="2379.56"/>
  </r>
  <r>
    <s v="TXN-101852"/>
    <x v="1852"/>
    <x v="3"/>
    <x v="0"/>
    <n v="4"/>
    <n v="177.26"/>
    <n v="21.24"/>
    <n v="709.04"/>
  </r>
  <r>
    <s v="TXN-101853"/>
    <x v="1853"/>
    <x v="2"/>
    <x v="0"/>
    <n v="6"/>
    <n v="62.49"/>
    <n v="41.92"/>
    <n v="374.94"/>
  </r>
  <r>
    <s v="TXN-101854"/>
    <x v="1854"/>
    <x v="1"/>
    <x v="1"/>
    <n v="17"/>
    <n v="124.82"/>
    <n v="21.92"/>
    <n v="2121.94"/>
  </r>
  <r>
    <s v="TXN-101855"/>
    <x v="1855"/>
    <x v="3"/>
    <x v="2"/>
    <n v="5"/>
    <n v="133.66999999999999"/>
    <n v="42.8"/>
    <n v="668.34999999999991"/>
  </r>
  <r>
    <s v="TXN-101856"/>
    <x v="1856"/>
    <x v="2"/>
    <x v="2"/>
    <n v="7"/>
    <n v="328.63"/>
    <n v="48.44"/>
    <n v="2300.41"/>
  </r>
  <r>
    <s v="TXN-101857"/>
    <x v="1857"/>
    <x v="2"/>
    <x v="2"/>
    <n v="9"/>
    <n v="36.6"/>
    <n v="24.6"/>
    <n v="329.40000000000003"/>
  </r>
  <r>
    <s v="TXN-101858"/>
    <x v="1858"/>
    <x v="0"/>
    <x v="3"/>
    <n v="1"/>
    <n v="298.44"/>
    <n v="30.17"/>
    <n v="298.44"/>
  </r>
  <r>
    <s v="TXN-101859"/>
    <x v="1859"/>
    <x v="2"/>
    <x v="0"/>
    <n v="1"/>
    <n v="111.7"/>
    <n v="33.29"/>
    <n v="111.7"/>
  </r>
  <r>
    <s v="TXN-101860"/>
    <x v="1860"/>
    <x v="3"/>
    <x v="2"/>
    <n v="19"/>
    <n v="51.07"/>
    <n v="47.07"/>
    <n v="970.33"/>
  </r>
  <r>
    <s v="TXN-101861"/>
    <x v="1861"/>
    <x v="3"/>
    <x v="1"/>
    <n v="6"/>
    <n v="146.19999999999999"/>
    <n v="16.55"/>
    <n v="877.19999999999993"/>
  </r>
  <r>
    <s v="TXN-101862"/>
    <x v="1862"/>
    <x v="0"/>
    <x v="2"/>
    <n v="18"/>
    <n v="113.03"/>
    <n v="32.51"/>
    <n v="2034.54"/>
  </r>
  <r>
    <s v="TXN-101863"/>
    <x v="1863"/>
    <x v="3"/>
    <x v="2"/>
    <n v="10"/>
    <n v="255.36"/>
    <n v="19.61"/>
    <n v="2553.6000000000004"/>
  </r>
  <r>
    <s v="TXN-101864"/>
    <x v="1864"/>
    <x v="1"/>
    <x v="0"/>
    <n v="11"/>
    <n v="170.78"/>
    <n v="14.76"/>
    <n v="1878.58"/>
  </r>
  <r>
    <s v="TXN-101865"/>
    <x v="1865"/>
    <x v="3"/>
    <x v="0"/>
    <n v="1"/>
    <n v="435.22"/>
    <n v="8.82"/>
    <n v="435.22"/>
  </r>
  <r>
    <s v="TXN-101866"/>
    <x v="1866"/>
    <x v="3"/>
    <x v="0"/>
    <n v="1"/>
    <n v="434.16"/>
    <n v="32.93"/>
    <n v="434.16"/>
  </r>
  <r>
    <s v="TXN-101867"/>
    <x v="1867"/>
    <x v="2"/>
    <x v="3"/>
    <n v="13"/>
    <n v="208.29"/>
    <n v="44.69"/>
    <n v="2707.77"/>
  </r>
  <r>
    <s v="TXN-101868"/>
    <x v="1868"/>
    <x v="2"/>
    <x v="3"/>
    <n v="5"/>
    <n v="360.97"/>
    <n v="20.81"/>
    <n v="1804.8500000000001"/>
  </r>
  <r>
    <s v="TXN-101869"/>
    <x v="1869"/>
    <x v="3"/>
    <x v="2"/>
    <n v="1"/>
    <n v="21.27"/>
    <n v="29.87"/>
    <n v="21.27"/>
  </r>
  <r>
    <s v="TXN-101870"/>
    <x v="1870"/>
    <x v="0"/>
    <x v="0"/>
    <n v="3"/>
    <n v="253.52"/>
    <n v="33.9"/>
    <n v="760.56000000000006"/>
  </r>
  <r>
    <s v="TXN-101871"/>
    <x v="1871"/>
    <x v="2"/>
    <x v="2"/>
    <n v="18"/>
    <n v="338.46"/>
    <n v="23.66"/>
    <n v="6092.28"/>
  </r>
  <r>
    <s v="TXN-101872"/>
    <x v="1872"/>
    <x v="0"/>
    <x v="1"/>
    <n v="9"/>
    <n v="109.76"/>
    <n v="45.65"/>
    <n v="987.84"/>
  </r>
  <r>
    <s v="TXN-101873"/>
    <x v="1873"/>
    <x v="3"/>
    <x v="1"/>
    <n v="14"/>
    <n v="42.08"/>
    <n v="21.32"/>
    <n v="589.12"/>
  </r>
  <r>
    <s v="TXN-101874"/>
    <x v="1874"/>
    <x v="3"/>
    <x v="0"/>
    <n v="17"/>
    <n v="83.25"/>
    <n v="10.63"/>
    <n v="1415.25"/>
  </r>
  <r>
    <s v="TXN-101875"/>
    <x v="1875"/>
    <x v="1"/>
    <x v="0"/>
    <n v="14"/>
    <n v="207.48"/>
    <n v="11.48"/>
    <n v="2904.72"/>
  </r>
  <r>
    <s v="TXN-101876"/>
    <x v="1876"/>
    <x v="2"/>
    <x v="1"/>
    <n v="4"/>
    <n v="235.52"/>
    <n v="45.09"/>
    <n v="942.08"/>
  </r>
  <r>
    <s v="TXN-101877"/>
    <x v="1877"/>
    <x v="3"/>
    <x v="0"/>
    <n v="5"/>
    <n v="180.99"/>
    <n v="49.46"/>
    <n v="904.95"/>
  </r>
  <r>
    <s v="TXN-101878"/>
    <x v="1878"/>
    <x v="1"/>
    <x v="3"/>
    <n v="17"/>
    <n v="206.67"/>
    <n v="18"/>
    <n v="3513.39"/>
  </r>
  <r>
    <s v="TXN-101879"/>
    <x v="1879"/>
    <x v="2"/>
    <x v="3"/>
    <n v="2"/>
    <n v="219.82"/>
    <n v="11.46"/>
    <n v="439.64"/>
  </r>
  <r>
    <s v="TXN-101880"/>
    <x v="1880"/>
    <x v="3"/>
    <x v="0"/>
    <n v="5"/>
    <n v="349.82"/>
    <n v="26.7"/>
    <n v="1749.1"/>
  </r>
  <r>
    <s v="TXN-101881"/>
    <x v="1881"/>
    <x v="3"/>
    <x v="1"/>
    <n v="4"/>
    <n v="61.23"/>
    <n v="36.93"/>
    <n v="244.92"/>
  </r>
  <r>
    <s v="TXN-101882"/>
    <x v="1882"/>
    <x v="2"/>
    <x v="2"/>
    <n v="4"/>
    <n v="349.61"/>
    <n v="32.56"/>
    <n v="1398.44"/>
  </r>
  <r>
    <s v="TXN-101883"/>
    <x v="1883"/>
    <x v="2"/>
    <x v="0"/>
    <n v="6"/>
    <n v="314.70999999999998"/>
    <n v="47.8"/>
    <n v="1888.2599999999998"/>
  </r>
  <r>
    <s v="TXN-101884"/>
    <x v="1884"/>
    <x v="2"/>
    <x v="0"/>
    <n v="13"/>
    <n v="337.75"/>
    <n v="41.8"/>
    <n v="4390.75"/>
  </r>
  <r>
    <s v="TXN-101885"/>
    <x v="1885"/>
    <x v="3"/>
    <x v="2"/>
    <n v="5"/>
    <n v="334.63"/>
    <n v="44.1"/>
    <n v="1673.15"/>
  </r>
  <r>
    <s v="TXN-101886"/>
    <x v="1886"/>
    <x v="3"/>
    <x v="0"/>
    <n v="7"/>
    <n v="219.97"/>
    <n v="29.38"/>
    <n v="1539.79"/>
  </r>
  <r>
    <s v="TXN-101887"/>
    <x v="1887"/>
    <x v="1"/>
    <x v="2"/>
    <n v="1"/>
    <n v="107.35"/>
    <n v="19.73"/>
    <n v="107.35"/>
  </r>
  <r>
    <s v="TXN-101888"/>
    <x v="1888"/>
    <x v="0"/>
    <x v="1"/>
    <n v="14"/>
    <n v="248.67"/>
    <n v="36.58"/>
    <n v="3481.3799999999997"/>
  </r>
  <r>
    <s v="TXN-101889"/>
    <x v="1889"/>
    <x v="2"/>
    <x v="3"/>
    <n v="4"/>
    <n v="431.74"/>
    <n v="24.76"/>
    <n v="1726.96"/>
  </r>
  <r>
    <s v="TXN-101890"/>
    <x v="1890"/>
    <x v="3"/>
    <x v="1"/>
    <n v="17"/>
    <n v="271.20999999999998"/>
    <n v="17.95"/>
    <n v="4610.57"/>
  </r>
  <r>
    <s v="TXN-101891"/>
    <x v="1891"/>
    <x v="3"/>
    <x v="3"/>
    <n v="14"/>
    <n v="20.3"/>
    <n v="11.85"/>
    <n v="284.2"/>
  </r>
  <r>
    <s v="TXN-101892"/>
    <x v="1892"/>
    <x v="2"/>
    <x v="2"/>
    <n v="16"/>
    <n v="41.44"/>
    <n v="28.75"/>
    <n v="663.04"/>
  </r>
  <r>
    <s v="TXN-101893"/>
    <x v="1893"/>
    <x v="0"/>
    <x v="3"/>
    <n v="14"/>
    <n v="446.9"/>
    <n v="31.74"/>
    <n v="6256.5999999999995"/>
  </r>
  <r>
    <s v="TXN-101894"/>
    <x v="1894"/>
    <x v="2"/>
    <x v="1"/>
    <n v="16"/>
    <n v="46.76"/>
    <n v="30.6"/>
    <n v="748.16"/>
  </r>
  <r>
    <s v="TXN-101895"/>
    <x v="1895"/>
    <x v="0"/>
    <x v="3"/>
    <n v="8"/>
    <n v="35.51"/>
    <n v="10.24"/>
    <n v="284.08"/>
  </r>
  <r>
    <s v="TXN-101896"/>
    <x v="1896"/>
    <x v="3"/>
    <x v="2"/>
    <n v="3"/>
    <n v="168.89"/>
    <n v="30.65"/>
    <n v="506.66999999999996"/>
  </r>
  <r>
    <s v="TXN-101897"/>
    <x v="1897"/>
    <x v="0"/>
    <x v="3"/>
    <n v="19"/>
    <n v="436.67"/>
    <n v="12.58"/>
    <n v="8296.73"/>
  </r>
  <r>
    <s v="TXN-101898"/>
    <x v="1898"/>
    <x v="1"/>
    <x v="0"/>
    <n v="1"/>
    <n v="153.96"/>
    <n v="34.869999999999997"/>
    <n v="153.96"/>
  </r>
  <r>
    <s v="TXN-101899"/>
    <x v="1899"/>
    <x v="3"/>
    <x v="1"/>
    <n v="2"/>
    <n v="193.59"/>
    <n v="24.32"/>
    <n v="387.18"/>
  </r>
  <r>
    <s v="TXN-101900"/>
    <x v="1900"/>
    <x v="1"/>
    <x v="0"/>
    <n v="15"/>
    <n v="291.01"/>
    <n v="43.2"/>
    <n v="4365.1499999999996"/>
  </r>
  <r>
    <s v="TXN-101901"/>
    <x v="1901"/>
    <x v="2"/>
    <x v="2"/>
    <n v="10"/>
    <n v="25.98"/>
    <n v="40.020000000000003"/>
    <n v="259.8"/>
  </r>
  <r>
    <s v="TXN-101902"/>
    <x v="1902"/>
    <x v="2"/>
    <x v="3"/>
    <n v="18"/>
    <n v="405.58"/>
    <n v="37.6"/>
    <n v="7300.44"/>
  </r>
  <r>
    <s v="TXN-101903"/>
    <x v="1903"/>
    <x v="2"/>
    <x v="0"/>
    <n v="14"/>
    <n v="241.2"/>
    <n v="36.53"/>
    <n v="3376.7999999999997"/>
  </r>
  <r>
    <s v="TXN-101904"/>
    <x v="1904"/>
    <x v="0"/>
    <x v="0"/>
    <n v="17"/>
    <n v="218.33"/>
    <n v="30.22"/>
    <n v="3711.61"/>
  </r>
  <r>
    <s v="TXN-101905"/>
    <x v="1905"/>
    <x v="3"/>
    <x v="3"/>
    <n v="13"/>
    <n v="389.49"/>
    <n v="7.75"/>
    <n v="5063.37"/>
  </r>
  <r>
    <s v="TXN-101906"/>
    <x v="1906"/>
    <x v="2"/>
    <x v="3"/>
    <n v="1"/>
    <n v="429.61"/>
    <n v="34.5"/>
    <n v="429.61"/>
  </r>
  <r>
    <s v="TXN-101907"/>
    <x v="1907"/>
    <x v="2"/>
    <x v="1"/>
    <n v="5"/>
    <n v="199.48"/>
    <n v="26.01"/>
    <n v="997.4"/>
  </r>
  <r>
    <s v="TXN-101908"/>
    <x v="1908"/>
    <x v="3"/>
    <x v="0"/>
    <n v="13"/>
    <n v="90.43"/>
    <n v="26.13"/>
    <n v="1175.5900000000001"/>
  </r>
  <r>
    <s v="TXN-101909"/>
    <x v="1909"/>
    <x v="2"/>
    <x v="0"/>
    <n v="14"/>
    <n v="369.93"/>
    <n v="22.06"/>
    <n v="5179.0200000000004"/>
  </r>
  <r>
    <s v="TXN-101910"/>
    <x v="1910"/>
    <x v="1"/>
    <x v="2"/>
    <n v="3"/>
    <n v="190.72"/>
    <n v="46.81"/>
    <n v="572.16"/>
  </r>
  <r>
    <s v="TXN-101911"/>
    <x v="1911"/>
    <x v="3"/>
    <x v="1"/>
    <n v="15"/>
    <n v="421.99"/>
    <n v="16.23"/>
    <n v="6329.85"/>
  </r>
  <r>
    <s v="TXN-101912"/>
    <x v="1912"/>
    <x v="3"/>
    <x v="2"/>
    <n v="19"/>
    <n v="428.23"/>
    <n v="19.25"/>
    <n v="8136.3700000000008"/>
  </r>
  <r>
    <s v="TXN-101913"/>
    <x v="1913"/>
    <x v="3"/>
    <x v="0"/>
    <n v="17"/>
    <n v="65.39"/>
    <n v="48.34"/>
    <n v="1111.6300000000001"/>
  </r>
  <r>
    <s v="TXN-101914"/>
    <x v="1914"/>
    <x v="1"/>
    <x v="2"/>
    <n v="3"/>
    <n v="431.12"/>
    <n v="41.46"/>
    <n v="1293.3600000000001"/>
  </r>
  <r>
    <s v="TXN-101915"/>
    <x v="1915"/>
    <x v="3"/>
    <x v="0"/>
    <n v="16"/>
    <n v="175.51"/>
    <n v="5.63"/>
    <n v="2808.16"/>
  </r>
  <r>
    <s v="TXN-101916"/>
    <x v="1916"/>
    <x v="1"/>
    <x v="0"/>
    <n v="14"/>
    <n v="296.3"/>
    <n v="45.77"/>
    <n v="4148.2"/>
  </r>
  <r>
    <s v="TXN-101917"/>
    <x v="1917"/>
    <x v="3"/>
    <x v="2"/>
    <n v="12"/>
    <n v="30.6"/>
    <n v="15.2"/>
    <n v="367.20000000000005"/>
  </r>
  <r>
    <s v="TXN-101918"/>
    <x v="1918"/>
    <x v="0"/>
    <x v="2"/>
    <n v="12"/>
    <n v="401.72"/>
    <n v="36.770000000000003"/>
    <n v="4820.6400000000003"/>
  </r>
  <r>
    <s v="TXN-101919"/>
    <x v="1919"/>
    <x v="2"/>
    <x v="3"/>
    <n v="11"/>
    <n v="294.27"/>
    <n v="29.89"/>
    <n v="3236.97"/>
  </r>
  <r>
    <s v="TXN-101920"/>
    <x v="1920"/>
    <x v="0"/>
    <x v="3"/>
    <n v="17"/>
    <n v="295.12"/>
    <n v="29.16"/>
    <n v="5017.04"/>
  </r>
  <r>
    <s v="TXN-101921"/>
    <x v="1921"/>
    <x v="2"/>
    <x v="3"/>
    <n v="8"/>
    <n v="407.5"/>
    <n v="37.31"/>
    <n v="3260"/>
  </r>
  <r>
    <s v="TXN-101922"/>
    <x v="1922"/>
    <x v="1"/>
    <x v="0"/>
    <n v="17"/>
    <n v="236.38"/>
    <n v="14.32"/>
    <n v="4018.46"/>
  </r>
  <r>
    <s v="TXN-101923"/>
    <x v="1923"/>
    <x v="0"/>
    <x v="2"/>
    <n v="11"/>
    <n v="193.87"/>
    <n v="12.16"/>
    <n v="2132.5700000000002"/>
  </r>
  <r>
    <s v="TXN-101924"/>
    <x v="1924"/>
    <x v="3"/>
    <x v="1"/>
    <n v="2"/>
    <n v="391.83"/>
    <n v="34.340000000000003"/>
    <n v="783.66"/>
  </r>
  <r>
    <s v="TXN-101925"/>
    <x v="1925"/>
    <x v="2"/>
    <x v="0"/>
    <n v="10"/>
    <n v="338.08"/>
    <n v="18.079999999999998"/>
    <n v="3380.7999999999997"/>
  </r>
  <r>
    <s v="TXN-101926"/>
    <x v="1926"/>
    <x v="2"/>
    <x v="1"/>
    <n v="10"/>
    <n v="427.83"/>
    <n v="48.83"/>
    <n v="4278.3"/>
  </r>
  <r>
    <s v="TXN-101927"/>
    <x v="1927"/>
    <x v="0"/>
    <x v="2"/>
    <n v="11"/>
    <n v="423.98"/>
    <n v="25.32"/>
    <n v="4663.7800000000007"/>
  </r>
  <r>
    <s v="TXN-101928"/>
    <x v="1928"/>
    <x v="1"/>
    <x v="0"/>
    <n v="6"/>
    <n v="181.62"/>
    <n v="10.02"/>
    <n v="1089.72"/>
  </r>
  <r>
    <s v="TXN-101929"/>
    <x v="1929"/>
    <x v="0"/>
    <x v="1"/>
    <n v="4"/>
    <n v="209.72"/>
    <n v="35.86"/>
    <n v="838.88"/>
  </r>
  <r>
    <s v="TXN-101930"/>
    <x v="1930"/>
    <x v="1"/>
    <x v="1"/>
    <n v="12"/>
    <n v="126.73"/>
    <n v="18.78"/>
    <n v="1520.76"/>
  </r>
  <r>
    <s v="TXN-101931"/>
    <x v="1931"/>
    <x v="1"/>
    <x v="3"/>
    <n v="11"/>
    <n v="302.55"/>
    <n v="11.69"/>
    <n v="3328.05"/>
  </r>
  <r>
    <s v="TXN-101932"/>
    <x v="1932"/>
    <x v="2"/>
    <x v="3"/>
    <n v="13"/>
    <n v="173.89"/>
    <n v="24.03"/>
    <n v="2260.5699999999997"/>
  </r>
  <r>
    <s v="TXN-101933"/>
    <x v="1933"/>
    <x v="0"/>
    <x v="3"/>
    <n v="5"/>
    <n v="357.06"/>
    <n v="48.39"/>
    <n v="1785.3"/>
  </r>
  <r>
    <s v="TXN-101934"/>
    <x v="1934"/>
    <x v="0"/>
    <x v="0"/>
    <n v="6"/>
    <n v="68.31"/>
    <n v="23.51"/>
    <n v="409.86"/>
  </r>
  <r>
    <s v="TXN-101935"/>
    <x v="1935"/>
    <x v="1"/>
    <x v="2"/>
    <n v="1"/>
    <n v="66.08"/>
    <n v="20.63"/>
    <n v="66.08"/>
  </r>
  <r>
    <s v="TXN-101936"/>
    <x v="1936"/>
    <x v="0"/>
    <x v="2"/>
    <n v="6"/>
    <n v="104.34"/>
    <n v="25"/>
    <n v="626.04"/>
  </r>
  <r>
    <s v="TXN-101937"/>
    <x v="1937"/>
    <x v="3"/>
    <x v="3"/>
    <n v="18"/>
    <n v="52.12"/>
    <n v="5.55"/>
    <n v="938.16"/>
  </r>
  <r>
    <s v="TXN-101938"/>
    <x v="1938"/>
    <x v="3"/>
    <x v="3"/>
    <n v="9"/>
    <n v="284.89999999999998"/>
    <n v="10.99"/>
    <n v="2564.1"/>
  </r>
  <r>
    <s v="TXN-101939"/>
    <x v="1939"/>
    <x v="0"/>
    <x v="3"/>
    <n v="15"/>
    <n v="79.52"/>
    <n v="43.24"/>
    <n v="1192.8"/>
  </r>
  <r>
    <s v="TXN-101940"/>
    <x v="1940"/>
    <x v="0"/>
    <x v="1"/>
    <n v="8"/>
    <n v="85"/>
    <n v="49.01"/>
    <n v="680"/>
  </r>
  <r>
    <s v="TXN-101941"/>
    <x v="1941"/>
    <x v="1"/>
    <x v="3"/>
    <n v="19"/>
    <n v="21.68"/>
    <n v="12.11"/>
    <n v="411.92"/>
  </r>
  <r>
    <s v="TXN-101942"/>
    <x v="1942"/>
    <x v="3"/>
    <x v="1"/>
    <n v="16"/>
    <n v="355.32"/>
    <n v="29.1"/>
    <n v="5685.12"/>
  </r>
  <r>
    <s v="TXN-101943"/>
    <x v="1943"/>
    <x v="3"/>
    <x v="2"/>
    <n v="6"/>
    <n v="368.44"/>
    <n v="48.49"/>
    <n v="2210.64"/>
  </r>
  <r>
    <s v="TXN-101944"/>
    <x v="1944"/>
    <x v="2"/>
    <x v="0"/>
    <n v="6"/>
    <n v="85.9"/>
    <n v="12.05"/>
    <n v="515.40000000000009"/>
  </r>
  <r>
    <s v="TXN-101945"/>
    <x v="1945"/>
    <x v="1"/>
    <x v="0"/>
    <n v="3"/>
    <n v="336.82"/>
    <n v="13.38"/>
    <n v="1010.46"/>
  </r>
  <r>
    <s v="TXN-101946"/>
    <x v="1946"/>
    <x v="2"/>
    <x v="0"/>
    <n v="10"/>
    <n v="203.88"/>
    <n v="46.71"/>
    <n v="2038.8"/>
  </r>
  <r>
    <s v="TXN-101947"/>
    <x v="1947"/>
    <x v="3"/>
    <x v="0"/>
    <n v="1"/>
    <n v="119.6"/>
    <n v="36.76"/>
    <n v="119.6"/>
  </r>
  <r>
    <s v="TXN-101948"/>
    <x v="1948"/>
    <x v="1"/>
    <x v="1"/>
    <n v="14"/>
    <n v="285.49"/>
    <n v="11.84"/>
    <n v="3996.86"/>
  </r>
  <r>
    <s v="TXN-101949"/>
    <x v="1949"/>
    <x v="0"/>
    <x v="1"/>
    <n v="4"/>
    <n v="93.05"/>
    <n v="22.71"/>
    <n v="372.2"/>
  </r>
  <r>
    <s v="TXN-101950"/>
    <x v="1950"/>
    <x v="1"/>
    <x v="3"/>
    <n v="12"/>
    <n v="344.37"/>
    <n v="7.53"/>
    <n v="4132.4400000000005"/>
  </r>
  <r>
    <s v="TXN-101951"/>
    <x v="1951"/>
    <x v="0"/>
    <x v="1"/>
    <n v="6"/>
    <n v="36.19"/>
    <n v="24.47"/>
    <n v="217.14"/>
  </r>
  <r>
    <s v="TXN-101952"/>
    <x v="1952"/>
    <x v="0"/>
    <x v="3"/>
    <n v="11"/>
    <n v="432.24"/>
    <n v="40.01"/>
    <n v="4754.6400000000003"/>
  </r>
  <r>
    <s v="TXN-101953"/>
    <x v="1953"/>
    <x v="1"/>
    <x v="3"/>
    <n v="12"/>
    <n v="46.73"/>
    <n v="29.93"/>
    <n v="560.76"/>
  </r>
  <r>
    <s v="TXN-101954"/>
    <x v="1954"/>
    <x v="0"/>
    <x v="0"/>
    <n v="10"/>
    <n v="267.27"/>
    <n v="34.130000000000003"/>
    <n v="2672.7"/>
  </r>
  <r>
    <s v="TXN-101955"/>
    <x v="1955"/>
    <x v="2"/>
    <x v="1"/>
    <n v="18"/>
    <n v="407.5"/>
    <n v="19.71"/>
    <n v="7335"/>
  </r>
  <r>
    <s v="TXN-101956"/>
    <x v="1956"/>
    <x v="3"/>
    <x v="1"/>
    <n v="7"/>
    <n v="20.67"/>
    <n v="12.26"/>
    <n v="144.69"/>
  </r>
  <r>
    <s v="TXN-101957"/>
    <x v="1957"/>
    <x v="0"/>
    <x v="3"/>
    <n v="7"/>
    <n v="232.1"/>
    <n v="5.59"/>
    <n v="1624.7"/>
  </r>
  <r>
    <s v="TXN-101958"/>
    <x v="1958"/>
    <x v="2"/>
    <x v="3"/>
    <n v="11"/>
    <n v="167.58"/>
    <n v="41.96"/>
    <n v="1843.38"/>
  </r>
  <r>
    <s v="TXN-101959"/>
    <x v="1959"/>
    <x v="0"/>
    <x v="2"/>
    <n v="4"/>
    <n v="267.64999999999998"/>
    <n v="33.65"/>
    <n v="1070.5999999999999"/>
  </r>
  <r>
    <s v="TXN-101960"/>
    <x v="1960"/>
    <x v="3"/>
    <x v="2"/>
    <n v="1"/>
    <n v="113.46"/>
    <n v="15.32"/>
    <n v="113.46"/>
  </r>
  <r>
    <s v="TXN-101961"/>
    <x v="1961"/>
    <x v="2"/>
    <x v="3"/>
    <n v="13"/>
    <n v="43.7"/>
    <n v="23.83"/>
    <n v="568.1"/>
  </r>
  <r>
    <s v="TXN-101962"/>
    <x v="1962"/>
    <x v="3"/>
    <x v="2"/>
    <n v="18"/>
    <n v="287.47000000000003"/>
    <n v="41.06"/>
    <n v="5174.4600000000009"/>
  </r>
  <r>
    <s v="TXN-101963"/>
    <x v="1963"/>
    <x v="3"/>
    <x v="2"/>
    <n v="9"/>
    <n v="196.62"/>
    <n v="29.24"/>
    <n v="1769.58"/>
  </r>
  <r>
    <s v="TXN-101964"/>
    <x v="1964"/>
    <x v="2"/>
    <x v="3"/>
    <n v="9"/>
    <n v="285.97000000000003"/>
    <n v="18.510000000000002"/>
    <n v="2573.7300000000005"/>
  </r>
  <r>
    <s v="TXN-101965"/>
    <x v="1965"/>
    <x v="2"/>
    <x v="3"/>
    <n v="9"/>
    <n v="106.98"/>
    <n v="17.02"/>
    <n v="962.82"/>
  </r>
  <r>
    <s v="TXN-101966"/>
    <x v="1966"/>
    <x v="2"/>
    <x v="1"/>
    <n v="10"/>
    <n v="162.68"/>
    <n v="14.79"/>
    <n v="1626.8000000000002"/>
  </r>
  <r>
    <s v="TXN-101967"/>
    <x v="1967"/>
    <x v="1"/>
    <x v="3"/>
    <n v="2"/>
    <n v="259.55"/>
    <n v="42.07"/>
    <n v="519.1"/>
  </r>
  <r>
    <s v="TXN-101968"/>
    <x v="1968"/>
    <x v="2"/>
    <x v="3"/>
    <n v="6"/>
    <n v="273.20999999999998"/>
    <n v="31.18"/>
    <n v="1639.2599999999998"/>
  </r>
  <r>
    <s v="TXN-101969"/>
    <x v="1969"/>
    <x v="2"/>
    <x v="0"/>
    <n v="15"/>
    <n v="177.27"/>
    <n v="36.909999999999997"/>
    <n v="2659.05"/>
  </r>
  <r>
    <s v="TXN-101970"/>
    <x v="1970"/>
    <x v="2"/>
    <x v="1"/>
    <n v="3"/>
    <n v="137.18"/>
    <n v="43.71"/>
    <n v="411.54"/>
  </r>
  <r>
    <s v="TXN-101971"/>
    <x v="1971"/>
    <x v="2"/>
    <x v="1"/>
    <n v="11"/>
    <n v="134.41999999999999"/>
    <n v="49.41"/>
    <n v="1478.62"/>
  </r>
  <r>
    <s v="TXN-101972"/>
    <x v="1972"/>
    <x v="0"/>
    <x v="1"/>
    <n v="6"/>
    <n v="91.41"/>
    <n v="16.23"/>
    <n v="548.46"/>
  </r>
  <r>
    <s v="TXN-101973"/>
    <x v="1973"/>
    <x v="1"/>
    <x v="0"/>
    <n v="3"/>
    <n v="156.88999999999999"/>
    <n v="13.14"/>
    <n v="470.66999999999996"/>
  </r>
  <r>
    <s v="TXN-101974"/>
    <x v="1974"/>
    <x v="3"/>
    <x v="3"/>
    <n v="11"/>
    <n v="102.16"/>
    <n v="25.79"/>
    <n v="1123.76"/>
  </r>
  <r>
    <s v="TXN-101975"/>
    <x v="1975"/>
    <x v="2"/>
    <x v="1"/>
    <n v="15"/>
    <n v="290.89"/>
    <n v="6.58"/>
    <n v="4363.3499999999995"/>
  </r>
  <r>
    <s v="TXN-101976"/>
    <x v="1976"/>
    <x v="0"/>
    <x v="1"/>
    <n v="13"/>
    <n v="262.76"/>
    <n v="40.630000000000003"/>
    <n v="3415.88"/>
  </r>
  <r>
    <s v="TXN-101977"/>
    <x v="1977"/>
    <x v="0"/>
    <x v="2"/>
    <n v="10"/>
    <n v="181.73"/>
    <n v="44.77"/>
    <n v="1817.3"/>
  </r>
  <r>
    <s v="TXN-101978"/>
    <x v="1978"/>
    <x v="0"/>
    <x v="1"/>
    <n v="6"/>
    <n v="157.07"/>
    <n v="35.869999999999997"/>
    <n v="942.42"/>
  </r>
  <r>
    <s v="TXN-101979"/>
    <x v="1979"/>
    <x v="3"/>
    <x v="3"/>
    <n v="15"/>
    <n v="118.74"/>
    <n v="17.059999999999999"/>
    <n v="1781.1"/>
  </r>
  <r>
    <s v="TXN-101980"/>
    <x v="1980"/>
    <x v="2"/>
    <x v="3"/>
    <n v="18"/>
    <n v="248.16"/>
    <n v="10.54"/>
    <n v="4466.88"/>
  </r>
  <r>
    <s v="TXN-101981"/>
    <x v="1981"/>
    <x v="1"/>
    <x v="2"/>
    <n v="18"/>
    <n v="414.76"/>
    <n v="22.2"/>
    <n v="7465.68"/>
  </r>
  <r>
    <s v="TXN-101982"/>
    <x v="1982"/>
    <x v="1"/>
    <x v="1"/>
    <n v="7"/>
    <n v="313.44"/>
    <n v="42.5"/>
    <n v="2194.08"/>
  </r>
  <r>
    <s v="TXN-101983"/>
    <x v="1983"/>
    <x v="0"/>
    <x v="1"/>
    <n v="15"/>
    <n v="338.95"/>
    <n v="20.65"/>
    <n v="5084.25"/>
  </r>
  <r>
    <s v="TXN-101984"/>
    <x v="1984"/>
    <x v="3"/>
    <x v="1"/>
    <n v="18"/>
    <n v="378.04"/>
    <n v="6.54"/>
    <n v="6804.72"/>
  </r>
  <r>
    <s v="TXN-101985"/>
    <x v="1985"/>
    <x v="3"/>
    <x v="0"/>
    <n v="18"/>
    <n v="168.29"/>
    <n v="17.34"/>
    <n v="3029.22"/>
  </r>
  <r>
    <s v="TXN-101986"/>
    <x v="1986"/>
    <x v="3"/>
    <x v="1"/>
    <n v="9"/>
    <n v="42.82"/>
    <n v="49.55"/>
    <n v="385.38"/>
  </r>
  <r>
    <s v="TXN-101987"/>
    <x v="1987"/>
    <x v="1"/>
    <x v="3"/>
    <n v="2"/>
    <n v="286"/>
    <n v="35.450000000000003"/>
    <n v="572"/>
  </r>
  <r>
    <s v="TXN-101988"/>
    <x v="1988"/>
    <x v="0"/>
    <x v="3"/>
    <n v="8"/>
    <n v="97.48"/>
    <n v="45.54"/>
    <n v="779.84"/>
  </r>
  <r>
    <s v="TXN-101989"/>
    <x v="1989"/>
    <x v="2"/>
    <x v="0"/>
    <n v="2"/>
    <n v="262.75"/>
    <n v="39.869999999999997"/>
    <n v="525.5"/>
  </r>
  <r>
    <s v="TXN-101990"/>
    <x v="1990"/>
    <x v="1"/>
    <x v="0"/>
    <n v="11"/>
    <n v="336.82"/>
    <n v="29.29"/>
    <n v="3705.02"/>
  </r>
  <r>
    <s v="TXN-101991"/>
    <x v="1991"/>
    <x v="0"/>
    <x v="1"/>
    <n v="7"/>
    <n v="355.99"/>
    <n v="11.69"/>
    <n v="2491.9300000000003"/>
  </r>
  <r>
    <s v="TXN-101992"/>
    <x v="1992"/>
    <x v="0"/>
    <x v="2"/>
    <n v="6"/>
    <n v="146.65"/>
    <n v="20.69"/>
    <n v="879.90000000000009"/>
  </r>
  <r>
    <s v="TXN-101993"/>
    <x v="1993"/>
    <x v="2"/>
    <x v="0"/>
    <n v="10"/>
    <n v="238.15"/>
    <n v="31.27"/>
    <n v="2381.5"/>
  </r>
  <r>
    <s v="TXN-101994"/>
    <x v="1994"/>
    <x v="2"/>
    <x v="0"/>
    <n v="5"/>
    <n v="285.31"/>
    <n v="44.18"/>
    <n v="1426.55"/>
  </r>
  <r>
    <s v="TXN-101995"/>
    <x v="1995"/>
    <x v="2"/>
    <x v="1"/>
    <n v="11"/>
    <n v="371.56"/>
    <n v="17.09"/>
    <n v="4087.16"/>
  </r>
  <r>
    <s v="TXN-101996"/>
    <x v="1996"/>
    <x v="3"/>
    <x v="1"/>
    <n v="1"/>
    <n v="346.32"/>
    <n v="10.46"/>
    <n v="346.32"/>
  </r>
  <r>
    <s v="TXN-101997"/>
    <x v="1997"/>
    <x v="2"/>
    <x v="0"/>
    <n v="2"/>
    <n v="444.78"/>
    <n v="30.15"/>
    <n v="889.56"/>
  </r>
  <r>
    <s v="TXN-101998"/>
    <x v="1998"/>
    <x v="0"/>
    <x v="2"/>
    <n v="1"/>
    <n v="19.010000000000002"/>
    <n v="12.94"/>
    <n v="19.010000000000002"/>
  </r>
  <r>
    <s v="TXN-101999"/>
    <x v="1999"/>
    <x v="2"/>
    <x v="0"/>
    <n v="19"/>
    <n v="205.59"/>
    <n v="32.47"/>
    <n v="3906.21"/>
  </r>
  <r>
    <s v="TXN-102000"/>
    <x v="2000"/>
    <x v="0"/>
    <x v="1"/>
    <n v="2"/>
    <n v="126.75"/>
    <n v="16.86"/>
    <n v="253.5"/>
  </r>
  <r>
    <s v="TXN-102001"/>
    <x v="2001"/>
    <x v="1"/>
    <x v="1"/>
    <n v="4"/>
    <n v="67.59"/>
    <n v="15.39"/>
    <n v="270.36"/>
  </r>
  <r>
    <s v="TXN-102002"/>
    <x v="2002"/>
    <x v="3"/>
    <x v="0"/>
    <n v="12"/>
    <n v="411.55"/>
    <n v="22.96"/>
    <n v="4938.6000000000004"/>
  </r>
  <r>
    <s v="TXN-102003"/>
    <x v="2003"/>
    <x v="1"/>
    <x v="2"/>
    <n v="18"/>
    <n v="449.11"/>
    <n v="31.69"/>
    <n v="8083.9800000000005"/>
  </r>
  <r>
    <s v="TXN-102004"/>
    <x v="2004"/>
    <x v="1"/>
    <x v="0"/>
    <n v="1"/>
    <n v="93.97"/>
    <n v="29.54"/>
    <n v="93.97"/>
  </r>
  <r>
    <s v="TXN-102005"/>
    <x v="2005"/>
    <x v="0"/>
    <x v="0"/>
    <n v="1"/>
    <n v="32.200000000000003"/>
    <n v="16.010000000000002"/>
    <n v="32.200000000000003"/>
  </r>
  <r>
    <s v="TXN-102006"/>
    <x v="2006"/>
    <x v="1"/>
    <x v="1"/>
    <n v="14"/>
    <n v="135.01"/>
    <n v="45.1"/>
    <n v="1890.1399999999999"/>
  </r>
  <r>
    <s v="TXN-102007"/>
    <x v="2007"/>
    <x v="0"/>
    <x v="2"/>
    <n v="4"/>
    <n v="378.25"/>
    <n v="9.94"/>
    <n v="1513"/>
  </r>
  <r>
    <s v="TXN-102008"/>
    <x v="2008"/>
    <x v="2"/>
    <x v="3"/>
    <n v="5"/>
    <n v="143.19999999999999"/>
    <n v="6.78"/>
    <n v="716"/>
  </r>
  <r>
    <s v="TXN-102009"/>
    <x v="2009"/>
    <x v="2"/>
    <x v="2"/>
    <n v="11"/>
    <n v="40.22"/>
    <n v="32.119999999999997"/>
    <n v="442.41999999999996"/>
  </r>
  <r>
    <s v="TXN-102010"/>
    <x v="2010"/>
    <x v="0"/>
    <x v="0"/>
    <n v="13"/>
    <n v="38.31"/>
    <n v="10.55"/>
    <n v="498.03000000000003"/>
  </r>
  <r>
    <s v="TXN-102011"/>
    <x v="2011"/>
    <x v="2"/>
    <x v="0"/>
    <n v="16"/>
    <n v="201.22"/>
    <n v="27.72"/>
    <n v="3219.52"/>
  </r>
  <r>
    <s v="TXN-102012"/>
    <x v="2012"/>
    <x v="3"/>
    <x v="0"/>
    <n v="13"/>
    <n v="420.38"/>
    <n v="47.83"/>
    <n v="5464.94"/>
  </r>
  <r>
    <s v="TXN-102013"/>
    <x v="2013"/>
    <x v="1"/>
    <x v="2"/>
    <n v="2"/>
    <n v="139.72999999999999"/>
    <n v="36.44"/>
    <n v="279.45999999999998"/>
  </r>
  <r>
    <s v="TXN-102014"/>
    <x v="2014"/>
    <x v="3"/>
    <x v="1"/>
    <n v="16"/>
    <n v="201.1"/>
    <n v="32.79"/>
    <n v="3217.6"/>
  </r>
  <r>
    <s v="TXN-102015"/>
    <x v="2015"/>
    <x v="1"/>
    <x v="0"/>
    <n v="6"/>
    <n v="59.79"/>
    <n v="30.87"/>
    <n v="358.74"/>
  </r>
  <r>
    <s v="TXN-102016"/>
    <x v="2016"/>
    <x v="2"/>
    <x v="0"/>
    <n v="14"/>
    <n v="229.96"/>
    <n v="13.08"/>
    <n v="3219.44"/>
  </r>
  <r>
    <s v="TXN-102017"/>
    <x v="2017"/>
    <x v="3"/>
    <x v="2"/>
    <n v="1"/>
    <n v="318.14999999999998"/>
    <n v="24.47"/>
    <n v="318.14999999999998"/>
  </r>
  <r>
    <s v="TXN-102018"/>
    <x v="2018"/>
    <x v="2"/>
    <x v="3"/>
    <n v="17"/>
    <n v="133.31"/>
    <n v="20.41"/>
    <n v="2266.27"/>
  </r>
  <r>
    <s v="TXN-102019"/>
    <x v="2019"/>
    <x v="1"/>
    <x v="3"/>
    <n v="11"/>
    <n v="144.41999999999999"/>
    <n v="47.89"/>
    <n v="1588.62"/>
  </r>
  <r>
    <s v="TXN-102020"/>
    <x v="2020"/>
    <x v="0"/>
    <x v="1"/>
    <n v="19"/>
    <n v="381.34"/>
    <n v="15.9"/>
    <n v="7245.4599999999991"/>
  </r>
  <r>
    <s v="TXN-102021"/>
    <x v="2021"/>
    <x v="0"/>
    <x v="1"/>
    <n v="3"/>
    <n v="20"/>
    <n v="26.22"/>
    <n v="60"/>
  </r>
  <r>
    <s v="TXN-102022"/>
    <x v="2022"/>
    <x v="3"/>
    <x v="0"/>
    <n v="11"/>
    <n v="292.05"/>
    <n v="47.21"/>
    <n v="3212.55"/>
  </r>
  <r>
    <s v="TXN-102023"/>
    <x v="2023"/>
    <x v="2"/>
    <x v="2"/>
    <n v="5"/>
    <n v="186.64"/>
    <n v="40.51"/>
    <n v="933.19999999999993"/>
  </r>
  <r>
    <s v="TXN-102024"/>
    <x v="2024"/>
    <x v="2"/>
    <x v="0"/>
    <n v="17"/>
    <n v="145.15"/>
    <n v="48.4"/>
    <n v="2467.5500000000002"/>
  </r>
  <r>
    <s v="TXN-102025"/>
    <x v="2025"/>
    <x v="3"/>
    <x v="1"/>
    <n v="7"/>
    <n v="301.22000000000003"/>
    <n v="32.369999999999997"/>
    <n v="2108.54"/>
  </r>
  <r>
    <s v="TXN-102026"/>
    <x v="2026"/>
    <x v="0"/>
    <x v="2"/>
    <n v="10"/>
    <n v="378.16"/>
    <n v="20.02"/>
    <n v="3781.6000000000004"/>
  </r>
  <r>
    <s v="TXN-102027"/>
    <x v="2027"/>
    <x v="1"/>
    <x v="2"/>
    <n v="11"/>
    <n v="258.12"/>
    <n v="42.2"/>
    <n v="2839.32"/>
  </r>
  <r>
    <s v="TXN-102028"/>
    <x v="2028"/>
    <x v="3"/>
    <x v="1"/>
    <n v="3"/>
    <n v="29.01"/>
    <n v="18.12"/>
    <n v="87.03"/>
  </r>
  <r>
    <s v="TXN-102029"/>
    <x v="2029"/>
    <x v="1"/>
    <x v="3"/>
    <n v="10"/>
    <n v="215.98"/>
    <n v="12.41"/>
    <n v="2159.7999999999997"/>
  </r>
  <r>
    <s v="TXN-102030"/>
    <x v="2030"/>
    <x v="0"/>
    <x v="3"/>
    <n v="10"/>
    <n v="216.57"/>
    <n v="36.78"/>
    <n v="2165.6999999999998"/>
  </r>
  <r>
    <s v="TXN-102031"/>
    <x v="2031"/>
    <x v="2"/>
    <x v="2"/>
    <n v="14"/>
    <n v="251.78"/>
    <n v="33.75"/>
    <n v="3524.92"/>
  </r>
  <r>
    <s v="TXN-102032"/>
    <x v="2032"/>
    <x v="0"/>
    <x v="0"/>
    <n v="12"/>
    <n v="307.02999999999997"/>
    <n v="44.55"/>
    <n v="3684.3599999999997"/>
  </r>
  <r>
    <s v="TXN-102033"/>
    <x v="2033"/>
    <x v="3"/>
    <x v="3"/>
    <n v="15"/>
    <n v="23.89"/>
    <n v="48.29"/>
    <n v="358.35"/>
  </r>
  <r>
    <s v="TXN-102034"/>
    <x v="2034"/>
    <x v="2"/>
    <x v="0"/>
    <n v="10"/>
    <n v="233.62"/>
    <n v="43.57"/>
    <n v="2336.1999999999998"/>
  </r>
  <r>
    <s v="TXN-102035"/>
    <x v="2035"/>
    <x v="3"/>
    <x v="3"/>
    <n v="10"/>
    <n v="271.12"/>
    <n v="7.7"/>
    <n v="2711.2"/>
  </r>
  <r>
    <s v="TXN-102036"/>
    <x v="2036"/>
    <x v="3"/>
    <x v="3"/>
    <n v="19"/>
    <n v="164.69"/>
    <n v="34.9"/>
    <n v="3129.11"/>
  </r>
  <r>
    <s v="TXN-102037"/>
    <x v="2037"/>
    <x v="0"/>
    <x v="0"/>
    <n v="1"/>
    <n v="305.89999999999998"/>
    <n v="40.31"/>
    <n v="305.89999999999998"/>
  </r>
  <r>
    <s v="TXN-102038"/>
    <x v="2038"/>
    <x v="3"/>
    <x v="1"/>
    <n v="10"/>
    <n v="114.64"/>
    <n v="49.19"/>
    <n v="1146.4000000000001"/>
  </r>
  <r>
    <s v="TXN-102039"/>
    <x v="2039"/>
    <x v="0"/>
    <x v="3"/>
    <n v="2"/>
    <n v="153.4"/>
    <n v="21.86"/>
    <n v="306.8"/>
  </r>
  <r>
    <s v="TXN-102040"/>
    <x v="2040"/>
    <x v="2"/>
    <x v="3"/>
    <n v="17"/>
    <n v="433.82"/>
    <n v="12.64"/>
    <n v="7374.94"/>
  </r>
  <r>
    <s v="TXN-102041"/>
    <x v="2041"/>
    <x v="0"/>
    <x v="0"/>
    <n v="7"/>
    <n v="166.74"/>
    <n v="43.38"/>
    <n v="1167.18"/>
  </r>
  <r>
    <s v="TXN-102042"/>
    <x v="2042"/>
    <x v="2"/>
    <x v="1"/>
    <n v="7"/>
    <n v="166.05"/>
    <n v="19.29"/>
    <n v="1162.3500000000001"/>
  </r>
  <r>
    <s v="TXN-102043"/>
    <x v="2043"/>
    <x v="0"/>
    <x v="3"/>
    <n v="9"/>
    <n v="274.32"/>
    <n v="31.92"/>
    <n v="2468.88"/>
  </r>
  <r>
    <s v="TXN-102044"/>
    <x v="2044"/>
    <x v="1"/>
    <x v="3"/>
    <n v="2"/>
    <n v="437.39"/>
    <n v="22.55"/>
    <n v="874.78"/>
  </r>
  <r>
    <s v="TXN-102045"/>
    <x v="2045"/>
    <x v="1"/>
    <x v="1"/>
    <n v="14"/>
    <n v="442.65"/>
    <n v="23.1"/>
    <n v="6197.0999999999995"/>
  </r>
  <r>
    <s v="TXN-102046"/>
    <x v="2046"/>
    <x v="3"/>
    <x v="3"/>
    <n v="17"/>
    <n v="267.36"/>
    <n v="37.96"/>
    <n v="4545.12"/>
  </r>
  <r>
    <s v="TXN-102047"/>
    <x v="2047"/>
    <x v="0"/>
    <x v="1"/>
    <n v="1"/>
    <n v="15.97"/>
    <n v="21.27"/>
    <n v="15.97"/>
  </r>
  <r>
    <s v="TXN-102048"/>
    <x v="2048"/>
    <x v="0"/>
    <x v="1"/>
    <n v="9"/>
    <n v="406.84"/>
    <n v="36.19"/>
    <n v="3661.56"/>
  </r>
  <r>
    <s v="TXN-102049"/>
    <x v="2049"/>
    <x v="2"/>
    <x v="0"/>
    <n v="19"/>
    <n v="263.27"/>
    <n v="5.64"/>
    <n v="5002.1299999999992"/>
  </r>
  <r>
    <s v="TXN-102050"/>
    <x v="2050"/>
    <x v="3"/>
    <x v="2"/>
    <n v="4"/>
    <n v="174.53"/>
    <n v="19.61"/>
    <n v="698.12"/>
  </r>
  <r>
    <s v="TXN-102051"/>
    <x v="2051"/>
    <x v="0"/>
    <x v="1"/>
    <n v="8"/>
    <n v="375.79"/>
    <n v="19.36"/>
    <n v="3006.32"/>
  </r>
  <r>
    <s v="TXN-102052"/>
    <x v="2052"/>
    <x v="3"/>
    <x v="0"/>
    <n v="13"/>
    <n v="189.23"/>
    <n v="38.700000000000003"/>
    <n v="2459.9899999999998"/>
  </r>
  <r>
    <s v="TXN-102053"/>
    <x v="2053"/>
    <x v="1"/>
    <x v="2"/>
    <n v="4"/>
    <n v="30.29"/>
    <n v="19.16"/>
    <n v="121.16"/>
  </r>
  <r>
    <s v="TXN-102054"/>
    <x v="2054"/>
    <x v="0"/>
    <x v="3"/>
    <n v="9"/>
    <n v="372.26"/>
    <n v="33.5"/>
    <n v="3350.34"/>
  </r>
  <r>
    <s v="TXN-102055"/>
    <x v="2055"/>
    <x v="0"/>
    <x v="2"/>
    <n v="9"/>
    <n v="252.68"/>
    <n v="35.979999999999997"/>
    <n v="2274.12"/>
  </r>
  <r>
    <s v="TXN-102056"/>
    <x v="2056"/>
    <x v="3"/>
    <x v="1"/>
    <n v="18"/>
    <n v="162.41999999999999"/>
    <n v="34.630000000000003"/>
    <n v="2923.56"/>
  </r>
  <r>
    <s v="TXN-102057"/>
    <x v="2057"/>
    <x v="0"/>
    <x v="1"/>
    <n v="12"/>
    <n v="124.51"/>
    <n v="32.15"/>
    <n v="1494.1200000000001"/>
  </r>
  <r>
    <s v="TXN-102058"/>
    <x v="2058"/>
    <x v="3"/>
    <x v="1"/>
    <n v="10"/>
    <n v="273.5"/>
    <n v="23.61"/>
    <n v="2735"/>
  </r>
  <r>
    <s v="TXN-102059"/>
    <x v="2059"/>
    <x v="0"/>
    <x v="1"/>
    <n v="11"/>
    <n v="105.9"/>
    <n v="21.8"/>
    <n v="1164.9000000000001"/>
  </r>
  <r>
    <s v="TXN-102060"/>
    <x v="2060"/>
    <x v="2"/>
    <x v="1"/>
    <n v="7"/>
    <n v="156.21"/>
    <n v="30.41"/>
    <n v="1093.47"/>
  </r>
  <r>
    <s v="TXN-102061"/>
    <x v="2061"/>
    <x v="3"/>
    <x v="0"/>
    <n v="9"/>
    <n v="292.07"/>
    <n v="7.87"/>
    <n v="2628.63"/>
  </r>
  <r>
    <s v="TXN-102062"/>
    <x v="2062"/>
    <x v="0"/>
    <x v="1"/>
    <n v="6"/>
    <n v="398.53"/>
    <n v="44.41"/>
    <n v="2391.1799999999998"/>
  </r>
  <r>
    <s v="TXN-102063"/>
    <x v="2063"/>
    <x v="1"/>
    <x v="0"/>
    <n v="19"/>
    <n v="247.04"/>
    <n v="42.14"/>
    <n v="4693.76"/>
  </r>
  <r>
    <s v="TXN-102064"/>
    <x v="2064"/>
    <x v="0"/>
    <x v="3"/>
    <n v="16"/>
    <n v="345.33"/>
    <n v="20.59"/>
    <n v="5525.28"/>
  </r>
  <r>
    <s v="TXN-102065"/>
    <x v="2065"/>
    <x v="1"/>
    <x v="1"/>
    <n v="15"/>
    <n v="347.05"/>
    <n v="30.51"/>
    <n v="5205.75"/>
  </r>
  <r>
    <s v="TXN-102066"/>
    <x v="2066"/>
    <x v="1"/>
    <x v="1"/>
    <n v="7"/>
    <n v="304.16000000000003"/>
    <n v="46.95"/>
    <n v="2129.1200000000003"/>
  </r>
  <r>
    <s v="TXN-102067"/>
    <x v="2067"/>
    <x v="2"/>
    <x v="2"/>
    <n v="16"/>
    <n v="122.32"/>
    <n v="17.22"/>
    <n v="1957.12"/>
  </r>
  <r>
    <s v="TXN-102068"/>
    <x v="2068"/>
    <x v="3"/>
    <x v="3"/>
    <n v="5"/>
    <n v="392.12"/>
    <n v="38.409999999999997"/>
    <n v="1960.6"/>
  </r>
  <r>
    <s v="TXN-102069"/>
    <x v="2069"/>
    <x v="0"/>
    <x v="1"/>
    <n v="16"/>
    <n v="205.06"/>
    <n v="8.7200000000000006"/>
    <n v="3280.96"/>
  </r>
  <r>
    <s v="TXN-102070"/>
    <x v="2070"/>
    <x v="2"/>
    <x v="1"/>
    <n v="1"/>
    <n v="34.71"/>
    <n v="28.55"/>
    <n v="34.71"/>
  </r>
  <r>
    <s v="TXN-102071"/>
    <x v="2071"/>
    <x v="0"/>
    <x v="3"/>
    <n v="19"/>
    <n v="121.78"/>
    <n v="44.78"/>
    <n v="2313.8200000000002"/>
  </r>
  <r>
    <s v="TXN-102072"/>
    <x v="2072"/>
    <x v="1"/>
    <x v="0"/>
    <n v="5"/>
    <n v="348.13"/>
    <n v="29.83"/>
    <n v="1740.65"/>
  </r>
  <r>
    <s v="TXN-102073"/>
    <x v="2073"/>
    <x v="3"/>
    <x v="1"/>
    <n v="7"/>
    <n v="45.54"/>
    <n v="32.729999999999997"/>
    <n v="318.77999999999997"/>
  </r>
  <r>
    <s v="TXN-102074"/>
    <x v="2074"/>
    <x v="0"/>
    <x v="2"/>
    <n v="19"/>
    <n v="79.53"/>
    <n v="45.84"/>
    <n v="1511.07"/>
  </r>
  <r>
    <s v="TXN-102075"/>
    <x v="2075"/>
    <x v="0"/>
    <x v="1"/>
    <n v="5"/>
    <n v="317.14"/>
    <n v="37.19"/>
    <n v="1585.6999999999998"/>
  </r>
  <r>
    <s v="TXN-102076"/>
    <x v="2076"/>
    <x v="1"/>
    <x v="2"/>
    <n v="17"/>
    <n v="403.34"/>
    <n v="36.31"/>
    <n v="6856.78"/>
  </r>
  <r>
    <s v="TXN-102077"/>
    <x v="2077"/>
    <x v="0"/>
    <x v="2"/>
    <n v="8"/>
    <n v="290.86"/>
    <n v="31.39"/>
    <n v="2326.88"/>
  </r>
  <r>
    <s v="TXN-102078"/>
    <x v="2078"/>
    <x v="0"/>
    <x v="1"/>
    <n v="1"/>
    <n v="112.09"/>
    <n v="33.479999999999997"/>
    <n v="112.09"/>
  </r>
  <r>
    <s v="TXN-102079"/>
    <x v="2079"/>
    <x v="1"/>
    <x v="1"/>
    <n v="2"/>
    <n v="38.71"/>
    <n v="41.17"/>
    <n v="77.42"/>
  </r>
  <r>
    <s v="TXN-102080"/>
    <x v="2080"/>
    <x v="2"/>
    <x v="2"/>
    <n v="15"/>
    <n v="282.77"/>
    <n v="49.07"/>
    <n v="4241.5499999999993"/>
  </r>
  <r>
    <s v="TXN-102081"/>
    <x v="2081"/>
    <x v="1"/>
    <x v="3"/>
    <n v="18"/>
    <n v="36.090000000000003"/>
    <n v="40.79"/>
    <n v="649.62000000000012"/>
  </r>
  <r>
    <s v="TXN-102082"/>
    <x v="2082"/>
    <x v="2"/>
    <x v="3"/>
    <n v="11"/>
    <n v="281.73"/>
    <n v="36.840000000000003"/>
    <n v="3099.03"/>
  </r>
  <r>
    <s v="TXN-102083"/>
    <x v="2083"/>
    <x v="3"/>
    <x v="1"/>
    <n v="10"/>
    <n v="113.51"/>
    <n v="11.1"/>
    <n v="1135.1000000000001"/>
  </r>
  <r>
    <s v="TXN-102084"/>
    <x v="2084"/>
    <x v="2"/>
    <x v="0"/>
    <n v="4"/>
    <n v="408.57"/>
    <n v="41.77"/>
    <n v="1634.28"/>
  </r>
  <r>
    <s v="TXN-102085"/>
    <x v="2085"/>
    <x v="2"/>
    <x v="3"/>
    <n v="5"/>
    <n v="221.93"/>
    <n v="38.119999999999997"/>
    <n v="1109.6500000000001"/>
  </r>
  <r>
    <s v="TXN-102086"/>
    <x v="2086"/>
    <x v="3"/>
    <x v="1"/>
    <n v="4"/>
    <n v="112.8"/>
    <n v="39.67"/>
    <n v="451.2"/>
  </r>
  <r>
    <s v="TXN-102087"/>
    <x v="2087"/>
    <x v="2"/>
    <x v="3"/>
    <n v="13"/>
    <n v="386.19"/>
    <n v="15.4"/>
    <n v="5020.47"/>
  </r>
  <r>
    <s v="TXN-102088"/>
    <x v="2088"/>
    <x v="1"/>
    <x v="0"/>
    <n v="13"/>
    <n v="125.88"/>
    <n v="45.65"/>
    <n v="1636.44"/>
  </r>
  <r>
    <s v="TXN-102089"/>
    <x v="2089"/>
    <x v="2"/>
    <x v="1"/>
    <n v="18"/>
    <n v="148.72"/>
    <n v="9.3800000000000008"/>
    <n v="2676.96"/>
  </r>
  <r>
    <s v="TXN-102090"/>
    <x v="2090"/>
    <x v="3"/>
    <x v="0"/>
    <n v="2"/>
    <n v="377.99"/>
    <n v="16.41"/>
    <n v="755.98"/>
  </r>
  <r>
    <s v="TXN-102091"/>
    <x v="2091"/>
    <x v="1"/>
    <x v="1"/>
    <n v="16"/>
    <n v="149.66999999999999"/>
    <n v="34.840000000000003"/>
    <n v="2394.7199999999998"/>
  </r>
  <r>
    <s v="TXN-102092"/>
    <x v="2092"/>
    <x v="3"/>
    <x v="0"/>
    <n v="1"/>
    <n v="193.72"/>
    <n v="35.32"/>
    <n v="193.72"/>
  </r>
  <r>
    <s v="TXN-102093"/>
    <x v="2093"/>
    <x v="3"/>
    <x v="3"/>
    <n v="19"/>
    <n v="166.56"/>
    <n v="19.100000000000001"/>
    <n v="3164.64"/>
  </r>
  <r>
    <s v="TXN-102094"/>
    <x v="2094"/>
    <x v="0"/>
    <x v="3"/>
    <n v="9"/>
    <n v="66.08"/>
    <n v="36.57"/>
    <n v="594.72"/>
  </r>
  <r>
    <s v="TXN-102095"/>
    <x v="2095"/>
    <x v="0"/>
    <x v="0"/>
    <n v="3"/>
    <n v="32.4"/>
    <n v="22.46"/>
    <n v="97.199999999999989"/>
  </r>
  <r>
    <s v="TXN-102096"/>
    <x v="2096"/>
    <x v="3"/>
    <x v="0"/>
    <n v="7"/>
    <n v="330.31"/>
    <n v="5.01"/>
    <n v="2312.17"/>
  </r>
  <r>
    <s v="TXN-102097"/>
    <x v="2097"/>
    <x v="3"/>
    <x v="0"/>
    <n v="10"/>
    <n v="295.81"/>
    <n v="12.32"/>
    <n v="2958.1"/>
  </r>
  <r>
    <s v="TXN-102098"/>
    <x v="2098"/>
    <x v="3"/>
    <x v="1"/>
    <n v="1"/>
    <n v="138.19"/>
    <n v="44.72"/>
    <n v="138.19"/>
  </r>
  <r>
    <s v="TXN-102099"/>
    <x v="2099"/>
    <x v="0"/>
    <x v="3"/>
    <n v="10"/>
    <n v="143.94"/>
    <n v="15.02"/>
    <n v="1439.4"/>
  </r>
  <r>
    <s v="TXN-102100"/>
    <x v="2100"/>
    <x v="0"/>
    <x v="1"/>
    <n v="9"/>
    <n v="426.11"/>
    <n v="10.08"/>
    <n v="3834.9900000000002"/>
  </r>
  <r>
    <s v="TXN-102101"/>
    <x v="2101"/>
    <x v="2"/>
    <x v="3"/>
    <n v="15"/>
    <n v="444.64"/>
    <n v="35.700000000000003"/>
    <n v="6669.5999999999995"/>
  </r>
  <r>
    <s v="TXN-102102"/>
    <x v="2102"/>
    <x v="2"/>
    <x v="2"/>
    <n v="15"/>
    <n v="221.21"/>
    <n v="24.83"/>
    <n v="3318.15"/>
  </r>
  <r>
    <s v="TXN-102103"/>
    <x v="2103"/>
    <x v="3"/>
    <x v="1"/>
    <n v="3"/>
    <n v="364.17"/>
    <n v="40.85"/>
    <n v="1092.51"/>
  </r>
  <r>
    <s v="TXN-102104"/>
    <x v="2104"/>
    <x v="1"/>
    <x v="3"/>
    <n v="5"/>
    <n v="335.59"/>
    <n v="43.77"/>
    <n v="1677.9499999999998"/>
  </r>
  <r>
    <s v="TXN-102105"/>
    <x v="2105"/>
    <x v="1"/>
    <x v="3"/>
    <n v="9"/>
    <n v="144.68"/>
    <n v="43.07"/>
    <n v="1302.1200000000001"/>
  </r>
  <r>
    <s v="TXN-102106"/>
    <x v="2106"/>
    <x v="0"/>
    <x v="1"/>
    <n v="9"/>
    <n v="40.950000000000003"/>
    <n v="19.09"/>
    <n v="368.55"/>
  </r>
  <r>
    <s v="TXN-102107"/>
    <x v="2107"/>
    <x v="0"/>
    <x v="1"/>
    <n v="7"/>
    <n v="77.44"/>
    <n v="27.75"/>
    <n v="542.07999999999993"/>
  </r>
  <r>
    <s v="TXN-102108"/>
    <x v="2108"/>
    <x v="0"/>
    <x v="3"/>
    <n v="12"/>
    <n v="379.74"/>
    <n v="34.26"/>
    <n v="4556.88"/>
  </r>
  <r>
    <s v="TXN-102109"/>
    <x v="2109"/>
    <x v="3"/>
    <x v="1"/>
    <n v="9"/>
    <n v="333.21"/>
    <n v="19.489999999999998"/>
    <n v="2998.89"/>
  </r>
  <r>
    <s v="TXN-102110"/>
    <x v="2110"/>
    <x v="1"/>
    <x v="0"/>
    <n v="6"/>
    <n v="304.14999999999998"/>
    <n v="6.85"/>
    <n v="1824.8999999999999"/>
  </r>
  <r>
    <s v="TXN-102111"/>
    <x v="2111"/>
    <x v="2"/>
    <x v="1"/>
    <n v="2"/>
    <n v="72.27"/>
    <n v="27.3"/>
    <n v="144.54"/>
  </r>
  <r>
    <s v="TXN-102112"/>
    <x v="2112"/>
    <x v="3"/>
    <x v="1"/>
    <n v="9"/>
    <n v="293.55"/>
    <n v="5.58"/>
    <n v="2641.9500000000003"/>
  </r>
  <r>
    <s v="TXN-102113"/>
    <x v="2113"/>
    <x v="2"/>
    <x v="1"/>
    <n v="17"/>
    <n v="351"/>
    <n v="47.78"/>
    <n v="5967"/>
  </r>
  <r>
    <s v="TXN-102114"/>
    <x v="2114"/>
    <x v="2"/>
    <x v="3"/>
    <n v="1"/>
    <n v="389.43"/>
    <n v="40.85"/>
    <n v="389.43"/>
  </r>
  <r>
    <s v="TXN-102115"/>
    <x v="2115"/>
    <x v="3"/>
    <x v="0"/>
    <n v="19"/>
    <n v="21.25"/>
    <n v="13.64"/>
    <n v="403.75"/>
  </r>
  <r>
    <s v="TXN-102116"/>
    <x v="2116"/>
    <x v="2"/>
    <x v="2"/>
    <n v="6"/>
    <n v="312.89999999999998"/>
    <n v="17.940000000000001"/>
    <n v="1877.3999999999999"/>
  </r>
  <r>
    <s v="TXN-102117"/>
    <x v="2117"/>
    <x v="1"/>
    <x v="2"/>
    <n v="5"/>
    <n v="23.8"/>
    <n v="49.23"/>
    <n v="119"/>
  </r>
  <r>
    <s v="TXN-102118"/>
    <x v="2118"/>
    <x v="2"/>
    <x v="0"/>
    <n v="2"/>
    <n v="322.64"/>
    <n v="21.81"/>
    <n v="645.28"/>
  </r>
  <r>
    <s v="TXN-102119"/>
    <x v="2119"/>
    <x v="1"/>
    <x v="0"/>
    <n v="9"/>
    <n v="291.68"/>
    <n v="40.270000000000003"/>
    <n v="2625.12"/>
  </r>
  <r>
    <s v="TXN-102120"/>
    <x v="2120"/>
    <x v="1"/>
    <x v="0"/>
    <n v="14"/>
    <n v="79.959999999999994"/>
    <n v="25.11"/>
    <n v="1119.4399999999998"/>
  </r>
  <r>
    <s v="TXN-102121"/>
    <x v="2121"/>
    <x v="1"/>
    <x v="3"/>
    <n v="4"/>
    <n v="348.38"/>
    <n v="43.88"/>
    <n v="1393.52"/>
  </r>
  <r>
    <s v="TXN-102122"/>
    <x v="2122"/>
    <x v="0"/>
    <x v="2"/>
    <n v="4"/>
    <n v="45.2"/>
    <n v="36.67"/>
    <n v="180.8"/>
  </r>
  <r>
    <s v="TXN-102123"/>
    <x v="2123"/>
    <x v="2"/>
    <x v="0"/>
    <n v="15"/>
    <n v="374.57"/>
    <n v="6.03"/>
    <n v="5618.55"/>
  </r>
  <r>
    <s v="TXN-102124"/>
    <x v="2124"/>
    <x v="3"/>
    <x v="3"/>
    <n v="8"/>
    <n v="129.31"/>
    <n v="18.25"/>
    <n v="1034.48"/>
  </r>
  <r>
    <s v="TXN-102125"/>
    <x v="2125"/>
    <x v="3"/>
    <x v="2"/>
    <n v="4"/>
    <n v="314.81"/>
    <n v="30.11"/>
    <n v="1259.24"/>
  </r>
  <r>
    <s v="TXN-102126"/>
    <x v="2126"/>
    <x v="2"/>
    <x v="1"/>
    <n v="16"/>
    <n v="416.84"/>
    <n v="46.68"/>
    <n v="6669.44"/>
  </r>
  <r>
    <s v="TXN-102127"/>
    <x v="2127"/>
    <x v="0"/>
    <x v="3"/>
    <n v="4"/>
    <n v="163.15"/>
    <n v="9.59"/>
    <n v="652.6"/>
  </r>
  <r>
    <s v="TXN-102128"/>
    <x v="2128"/>
    <x v="0"/>
    <x v="2"/>
    <n v="16"/>
    <n v="234.01"/>
    <n v="32.049999999999997"/>
    <n v="3744.16"/>
  </r>
  <r>
    <s v="TXN-102129"/>
    <x v="2129"/>
    <x v="1"/>
    <x v="3"/>
    <n v="12"/>
    <n v="216.72"/>
    <n v="18.600000000000001"/>
    <n v="2600.64"/>
  </r>
  <r>
    <s v="TXN-102130"/>
    <x v="2130"/>
    <x v="2"/>
    <x v="2"/>
    <n v="16"/>
    <n v="83.98"/>
    <n v="45.02"/>
    <n v="1343.68"/>
  </r>
  <r>
    <s v="TXN-102131"/>
    <x v="2131"/>
    <x v="2"/>
    <x v="2"/>
    <n v="19"/>
    <n v="271.99"/>
    <n v="39.43"/>
    <n v="5167.8100000000004"/>
  </r>
  <r>
    <s v="TXN-102132"/>
    <x v="2132"/>
    <x v="3"/>
    <x v="1"/>
    <n v="8"/>
    <n v="338.33"/>
    <n v="21.64"/>
    <n v="2706.64"/>
  </r>
  <r>
    <s v="TXN-102133"/>
    <x v="2133"/>
    <x v="2"/>
    <x v="3"/>
    <n v="6"/>
    <n v="413.88"/>
    <n v="12.52"/>
    <n v="2483.2799999999997"/>
  </r>
  <r>
    <s v="TXN-102134"/>
    <x v="2134"/>
    <x v="0"/>
    <x v="0"/>
    <n v="10"/>
    <n v="385.17"/>
    <n v="5.52"/>
    <n v="3851.7000000000003"/>
  </r>
  <r>
    <s v="TXN-102135"/>
    <x v="2135"/>
    <x v="2"/>
    <x v="1"/>
    <n v="5"/>
    <n v="237.1"/>
    <n v="32.950000000000003"/>
    <n v="1185.5"/>
  </r>
  <r>
    <s v="TXN-102136"/>
    <x v="2136"/>
    <x v="3"/>
    <x v="1"/>
    <n v="18"/>
    <n v="327.91"/>
    <n v="23.28"/>
    <n v="5902.38"/>
  </r>
  <r>
    <s v="TXN-102137"/>
    <x v="2137"/>
    <x v="1"/>
    <x v="2"/>
    <n v="10"/>
    <n v="363.44"/>
    <n v="19.16"/>
    <n v="3634.4"/>
  </r>
  <r>
    <s v="TXN-102138"/>
    <x v="2138"/>
    <x v="3"/>
    <x v="0"/>
    <n v="10"/>
    <n v="229.92"/>
    <n v="49.35"/>
    <n v="2299.1999999999998"/>
  </r>
  <r>
    <s v="TXN-102139"/>
    <x v="2139"/>
    <x v="3"/>
    <x v="3"/>
    <n v="7"/>
    <n v="65.650000000000006"/>
    <n v="25.98"/>
    <n v="459.55000000000007"/>
  </r>
  <r>
    <s v="TXN-102140"/>
    <x v="2140"/>
    <x v="1"/>
    <x v="0"/>
    <n v="18"/>
    <n v="205.78"/>
    <n v="38.74"/>
    <n v="3704.04"/>
  </r>
  <r>
    <s v="TXN-102141"/>
    <x v="2141"/>
    <x v="3"/>
    <x v="0"/>
    <n v="1"/>
    <n v="381.56"/>
    <n v="12.98"/>
    <n v="381.56"/>
  </r>
  <r>
    <s v="TXN-102142"/>
    <x v="2142"/>
    <x v="3"/>
    <x v="0"/>
    <n v="7"/>
    <n v="274.74"/>
    <n v="5.61"/>
    <n v="1923.18"/>
  </r>
  <r>
    <s v="TXN-102143"/>
    <x v="2143"/>
    <x v="2"/>
    <x v="0"/>
    <n v="1"/>
    <n v="330.28"/>
    <n v="23.79"/>
    <n v="330.28"/>
  </r>
  <r>
    <s v="TXN-102144"/>
    <x v="2144"/>
    <x v="2"/>
    <x v="0"/>
    <n v="15"/>
    <n v="96"/>
    <n v="34.950000000000003"/>
    <n v="1440"/>
  </r>
  <r>
    <s v="TXN-102145"/>
    <x v="2145"/>
    <x v="1"/>
    <x v="2"/>
    <n v="4"/>
    <n v="434.5"/>
    <n v="27.8"/>
    <n v="1738"/>
  </r>
  <r>
    <s v="TXN-102146"/>
    <x v="2146"/>
    <x v="2"/>
    <x v="2"/>
    <n v="10"/>
    <n v="191.07"/>
    <n v="45.07"/>
    <n v="1910.6999999999998"/>
  </r>
  <r>
    <s v="TXN-102147"/>
    <x v="2147"/>
    <x v="2"/>
    <x v="1"/>
    <n v="9"/>
    <n v="299.5"/>
    <n v="24.53"/>
    <n v="2695.5"/>
  </r>
  <r>
    <s v="TXN-102148"/>
    <x v="2148"/>
    <x v="3"/>
    <x v="2"/>
    <n v="2"/>
    <n v="23.7"/>
    <n v="19"/>
    <n v="47.4"/>
  </r>
  <r>
    <s v="TXN-102149"/>
    <x v="2149"/>
    <x v="0"/>
    <x v="1"/>
    <n v="14"/>
    <n v="70.819999999999993"/>
    <n v="46.22"/>
    <n v="991.4799999999999"/>
  </r>
  <r>
    <s v="TXN-102150"/>
    <x v="2150"/>
    <x v="2"/>
    <x v="1"/>
    <n v="16"/>
    <n v="355.29"/>
    <n v="23.31"/>
    <n v="5684.64"/>
  </r>
  <r>
    <s v="TXN-102151"/>
    <x v="2151"/>
    <x v="0"/>
    <x v="3"/>
    <n v="1"/>
    <n v="436.08"/>
    <n v="17.13"/>
    <n v="436.08"/>
  </r>
  <r>
    <s v="TXN-102152"/>
    <x v="2152"/>
    <x v="2"/>
    <x v="0"/>
    <n v="2"/>
    <n v="154.56"/>
    <n v="9.39"/>
    <n v="309.12"/>
  </r>
  <r>
    <s v="TXN-102153"/>
    <x v="2153"/>
    <x v="2"/>
    <x v="2"/>
    <n v="7"/>
    <n v="31.66"/>
    <n v="40.700000000000003"/>
    <n v="221.62"/>
  </r>
  <r>
    <s v="TXN-102154"/>
    <x v="2154"/>
    <x v="1"/>
    <x v="3"/>
    <n v="10"/>
    <n v="172.3"/>
    <n v="42.13"/>
    <n v="1723"/>
  </r>
  <r>
    <s v="TXN-102155"/>
    <x v="2155"/>
    <x v="1"/>
    <x v="2"/>
    <n v="1"/>
    <n v="23.09"/>
    <n v="6.5"/>
    <n v="23.09"/>
  </r>
  <r>
    <s v="TXN-102156"/>
    <x v="2156"/>
    <x v="1"/>
    <x v="1"/>
    <n v="13"/>
    <n v="99.09"/>
    <n v="21.14"/>
    <n v="1288.17"/>
  </r>
  <r>
    <s v="TXN-102157"/>
    <x v="2157"/>
    <x v="0"/>
    <x v="2"/>
    <n v="1"/>
    <n v="342.45"/>
    <n v="38.74"/>
    <n v="342.45"/>
  </r>
  <r>
    <s v="TXN-102158"/>
    <x v="2158"/>
    <x v="3"/>
    <x v="0"/>
    <n v="5"/>
    <n v="422.66"/>
    <n v="47.59"/>
    <n v="2113.3000000000002"/>
  </r>
  <r>
    <s v="TXN-102159"/>
    <x v="2159"/>
    <x v="2"/>
    <x v="1"/>
    <n v="16"/>
    <n v="53.5"/>
    <n v="22"/>
    <n v="856"/>
  </r>
  <r>
    <s v="TXN-102160"/>
    <x v="2160"/>
    <x v="2"/>
    <x v="1"/>
    <n v="15"/>
    <n v="257.91000000000003"/>
    <n v="44.24"/>
    <n v="3868.6500000000005"/>
  </r>
  <r>
    <s v="TXN-102161"/>
    <x v="2161"/>
    <x v="2"/>
    <x v="3"/>
    <n v="17"/>
    <n v="125.81"/>
    <n v="22.72"/>
    <n v="2138.77"/>
  </r>
  <r>
    <s v="TXN-102162"/>
    <x v="2162"/>
    <x v="0"/>
    <x v="0"/>
    <n v="16"/>
    <n v="75.92"/>
    <n v="13.08"/>
    <n v="1214.72"/>
  </r>
  <r>
    <s v="TXN-102163"/>
    <x v="2163"/>
    <x v="1"/>
    <x v="1"/>
    <n v="13"/>
    <n v="110.65"/>
    <n v="5.16"/>
    <n v="1438.45"/>
  </r>
  <r>
    <s v="TXN-102164"/>
    <x v="2164"/>
    <x v="3"/>
    <x v="0"/>
    <n v="11"/>
    <n v="266.54000000000002"/>
    <n v="19.86"/>
    <n v="2931.94"/>
  </r>
  <r>
    <s v="TXN-102165"/>
    <x v="2165"/>
    <x v="0"/>
    <x v="2"/>
    <n v="17"/>
    <n v="43.8"/>
    <n v="22.03"/>
    <n v="744.59999999999991"/>
  </r>
  <r>
    <s v="TXN-102166"/>
    <x v="2166"/>
    <x v="1"/>
    <x v="0"/>
    <n v="17"/>
    <n v="204.17"/>
    <n v="47.53"/>
    <n v="3470.89"/>
  </r>
  <r>
    <s v="TXN-102167"/>
    <x v="2167"/>
    <x v="0"/>
    <x v="1"/>
    <n v="2"/>
    <n v="74.260000000000005"/>
    <n v="14.27"/>
    <n v="148.52000000000001"/>
  </r>
  <r>
    <s v="TXN-102168"/>
    <x v="2168"/>
    <x v="3"/>
    <x v="3"/>
    <n v="13"/>
    <n v="133.97999999999999"/>
    <n v="22.2"/>
    <n v="1741.7399999999998"/>
  </r>
  <r>
    <s v="TXN-102169"/>
    <x v="2169"/>
    <x v="1"/>
    <x v="1"/>
    <n v="14"/>
    <n v="98.38"/>
    <n v="6.13"/>
    <n v="1377.32"/>
  </r>
  <r>
    <s v="TXN-102170"/>
    <x v="2170"/>
    <x v="0"/>
    <x v="0"/>
    <n v="11"/>
    <n v="399.15"/>
    <n v="39.36"/>
    <n v="4390.6499999999996"/>
  </r>
  <r>
    <s v="TXN-102171"/>
    <x v="2171"/>
    <x v="3"/>
    <x v="0"/>
    <n v="10"/>
    <n v="323.13"/>
    <n v="46.18"/>
    <n v="3231.3"/>
  </r>
  <r>
    <s v="TXN-102172"/>
    <x v="2172"/>
    <x v="2"/>
    <x v="1"/>
    <n v="3"/>
    <n v="392.85"/>
    <n v="15.7"/>
    <n v="1178.5500000000002"/>
  </r>
  <r>
    <s v="TXN-102173"/>
    <x v="2173"/>
    <x v="3"/>
    <x v="0"/>
    <n v="17"/>
    <n v="182.11"/>
    <n v="24.3"/>
    <n v="3095.8700000000003"/>
  </r>
  <r>
    <s v="TXN-102174"/>
    <x v="2174"/>
    <x v="2"/>
    <x v="2"/>
    <n v="15"/>
    <n v="151.68"/>
    <n v="10.5"/>
    <n v="2275.2000000000003"/>
  </r>
  <r>
    <s v="TXN-102175"/>
    <x v="2175"/>
    <x v="0"/>
    <x v="1"/>
    <n v="9"/>
    <n v="180.87"/>
    <n v="25.56"/>
    <n v="1627.83"/>
  </r>
  <r>
    <s v="TXN-102176"/>
    <x v="2176"/>
    <x v="1"/>
    <x v="3"/>
    <n v="10"/>
    <n v="23.56"/>
    <n v="11"/>
    <n v="235.6"/>
  </r>
  <r>
    <s v="TXN-102177"/>
    <x v="2177"/>
    <x v="1"/>
    <x v="1"/>
    <n v="8"/>
    <n v="330.38"/>
    <n v="28.55"/>
    <n v="2643.04"/>
  </r>
  <r>
    <s v="TXN-102178"/>
    <x v="2178"/>
    <x v="0"/>
    <x v="2"/>
    <n v="13"/>
    <n v="167.48"/>
    <n v="38.06"/>
    <n v="2177.2399999999998"/>
  </r>
  <r>
    <s v="TXN-102179"/>
    <x v="2179"/>
    <x v="1"/>
    <x v="2"/>
    <n v="18"/>
    <n v="151.63999999999999"/>
    <n v="29.9"/>
    <n v="2729.5199999999995"/>
  </r>
  <r>
    <s v="TXN-102180"/>
    <x v="2180"/>
    <x v="1"/>
    <x v="2"/>
    <n v="5"/>
    <n v="275.39"/>
    <n v="16.03"/>
    <n v="1376.9499999999998"/>
  </r>
  <r>
    <s v="TXN-102181"/>
    <x v="2181"/>
    <x v="2"/>
    <x v="2"/>
    <n v="6"/>
    <n v="205.05"/>
    <n v="20.92"/>
    <n v="1230.3000000000002"/>
  </r>
  <r>
    <s v="TXN-102182"/>
    <x v="2182"/>
    <x v="0"/>
    <x v="2"/>
    <n v="17"/>
    <n v="441.68"/>
    <n v="33.74"/>
    <n v="7508.56"/>
  </r>
  <r>
    <s v="TXN-102183"/>
    <x v="2183"/>
    <x v="3"/>
    <x v="3"/>
    <n v="11"/>
    <n v="170.29"/>
    <n v="31.54"/>
    <n v="1873.1899999999998"/>
  </r>
  <r>
    <s v="TXN-102184"/>
    <x v="2184"/>
    <x v="2"/>
    <x v="0"/>
    <n v="16"/>
    <n v="282.24"/>
    <n v="11.15"/>
    <n v="4515.84"/>
  </r>
  <r>
    <s v="TXN-102185"/>
    <x v="2185"/>
    <x v="0"/>
    <x v="2"/>
    <n v="9"/>
    <n v="150.91"/>
    <n v="43.02"/>
    <n v="1358.19"/>
  </r>
  <r>
    <s v="TXN-102186"/>
    <x v="2186"/>
    <x v="2"/>
    <x v="2"/>
    <n v="2"/>
    <n v="445.91"/>
    <n v="26.38"/>
    <n v="891.82"/>
  </r>
  <r>
    <s v="TXN-102187"/>
    <x v="2187"/>
    <x v="3"/>
    <x v="1"/>
    <n v="5"/>
    <n v="208.9"/>
    <n v="12.31"/>
    <n v="1044.5"/>
  </r>
  <r>
    <s v="TXN-102188"/>
    <x v="2188"/>
    <x v="3"/>
    <x v="3"/>
    <n v="1"/>
    <n v="291.02999999999997"/>
    <n v="10.53"/>
    <n v="291.02999999999997"/>
  </r>
  <r>
    <s v="TXN-102189"/>
    <x v="2189"/>
    <x v="0"/>
    <x v="3"/>
    <n v="4"/>
    <n v="70.56"/>
    <n v="48.45"/>
    <n v="282.24"/>
  </r>
  <r>
    <s v="TXN-102190"/>
    <x v="2190"/>
    <x v="3"/>
    <x v="0"/>
    <n v="4"/>
    <n v="334"/>
    <n v="17.670000000000002"/>
    <n v="1336"/>
  </r>
  <r>
    <s v="TXN-102191"/>
    <x v="2191"/>
    <x v="2"/>
    <x v="3"/>
    <n v="3"/>
    <n v="132.47"/>
    <n v="45.89"/>
    <n v="397.40999999999997"/>
  </r>
  <r>
    <s v="TXN-102192"/>
    <x v="2192"/>
    <x v="3"/>
    <x v="1"/>
    <n v="9"/>
    <n v="210.42"/>
    <n v="23.48"/>
    <n v="1893.78"/>
  </r>
  <r>
    <s v="TXN-102193"/>
    <x v="2193"/>
    <x v="2"/>
    <x v="1"/>
    <n v="12"/>
    <n v="399.22"/>
    <n v="22.37"/>
    <n v="4790.6400000000003"/>
  </r>
  <r>
    <s v="TXN-102194"/>
    <x v="2194"/>
    <x v="2"/>
    <x v="0"/>
    <n v="10"/>
    <n v="437.21"/>
    <n v="36.54"/>
    <n v="4372.0999999999995"/>
  </r>
  <r>
    <s v="TXN-102195"/>
    <x v="2195"/>
    <x v="3"/>
    <x v="1"/>
    <n v="2"/>
    <n v="199.98"/>
    <n v="5.44"/>
    <n v="399.96"/>
  </r>
  <r>
    <s v="TXN-102196"/>
    <x v="2196"/>
    <x v="0"/>
    <x v="2"/>
    <n v="11"/>
    <n v="378.22"/>
    <n v="20.21"/>
    <n v="4160.42"/>
  </r>
  <r>
    <s v="TXN-102197"/>
    <x v="2197"/>
    <x v="1"/>
    <x v="2"/>
    <n v="10"/>
    <n v="38.68"/>
    <n v="18.62"/>
    <n v="386.8"/>
  </r>
  <r>
    <s v="TXN-102198"/>
    <x v="2198"/>
    <x v="3"/>
    <x v="1"/>
    <n v="6"/>
    <n v="383.77"/>
    <n v="44.06"/>
    <n v="2302.62"/>
  </r>
  <r>
    <s v="TXN-102199"/>
    <x v="2199"/>
    <x v="2"/>
    <x v="0"/>
    <n v="18"/>
    <n v="289.02"/>
    <n v="28.81"/>
    <n v="5202.3599999999997"/>
  </r>
  <r>
    <s v="TXN-102200"/>
    <x v="2200"/>
    <x v="2"/>
    <x v="3"/>
    <n v="2"/>
    <n v="227.84"/>
    <n v="21.41"/>
    <n v="455.68"/>
  </r>
  <r>
    <s v="TXN-102201"/>
    <x v="2201"/>
    <x v="3"/>
    <x v="0"/>
    <n v="2"/>
    <n v="402.19"/>
    <n v="16.97"/>
    <n v="804.38"/>
  </r>
  <r>
    <s v="TXN-102202"/>
    <x v="2202"/>
    <x v="0"/>
    <x v="3"/>
    <n v="10"/>
    <n v="382.8"/>
    <n v="31.57"/>
    <n v="3828"/>
  </r>
  <r>
    <s v="TXN-102203"/>
    <x v="2203"/>
    <x v="0"/>
    <x v="1"/>
    <n v="16"/>
    <n v="144.52000000000001"/>
    <n v="11.83"/>
    <n v="2312.3200000000002"/>
  </r>
  <r>
    <s v="TXN-102204"/>
    <x v="2204"/>
    <x v="2"/>
    <x v="1"/>
    <n v="12"/>
    <n v="359.4"/>
    <n v="16.079999999999998"/>
    <n v="4312.7999999999993"/>
  </r>
  <r>
    <s v="TXN-102205"/>
    <x v="2205"/>
    <x v="2"/>
    <x v="2"/>
    <n v="1"/>
    <n v="58.73"/>
    <n v="18.21"/>
    <n v="58.73"/>
  </r>
  <r>
    <s v="TXN-102206"/>
    <x v="2206"/>
    <x v="0"/>
    <x v="3"/>
    <n v="8"/>
    <n v="372.99"/>
    <n v="32.36"/>
    <n v="2983.92"/>
  </r>
  <r>
    <s v="TXN-102207"/>
    <x v="2207"/>
    <x v="1"/>
    <x v="0"/>
    <n v="16"/>
    <n v="308.99"/>
    <n v="21.8"/>
    <n v="4943.84"/>
  </r>
  <r>
    <s v="TXN-102208"/>
    <x v="2208"/>
    <x v="3"/>
    <x v="1"/>
    <n v="18"/>
    <n v="53.68"/>
    <n v="27.76"/>
    <n v="966.24"/>
  </r>
  <r>
    <s v="TXN-102209"/>
    <x v="2209"/>
    <x v="2"/>
    <x v="0"/>
    <n v="13"/>
    <n v="312.3"/>
    <n v="34.270000000000003"/>
    <n v="4059.9"/>
  </r>
  <r>
    <s v="TXN-102210"/>
    <x v="2210"/>
    <x v="2"/>
    <x v="2"/>
    <n v="15"/>
    <n v="267.74"/>
    <n v="48.03"/>
    <n v="4016.1000000000004"/>
  </r>
  <r>
    <s v="TXN-102211"/>
    <x v="2211"/>
    <x v="0"/>
    <x v="3"/>
    <n v="12"/>
    <n v="273.83"/>
    <n v="39.42"/>
    <n v="3285.96"/>
  </r>
  <r>
    <s v="TXN-102212"/>
    <x v="2212"/>
    <x v="3"/>
    <x v="3"/>
    <n v="8"/>
    <n v="141.88"/>
    <n v="23.24"/>
    <n v="1135.04"/>
  </r>
  <r>
    <s v="TXN-102213"/>
    <x v="2213"/>
    <x v="0"/>
    <x v="1"/>
    <n v="10"/>
    <n v="131.29"/>
    <n v="38.67"/>
    <n v="1312.8999999999999"/>
  </r>
  <r>
    <s v="TXN-102214"/>
    <x v="2214"/>
    <x v="3"/>
    <x v="3"/>
    <n v="14"/>
    <n v="346.82"/>
    <n v="47.74"/>
    <n v="4855.4799999999996"/>
  </r>
  <r>
    <s v="TXN-102215"/>
    <x v="2215"/>
    <x v="3"/>
    <x v="1"/>
    <n v="5"/>
    <n v="127.09"/>
    <n v="27.47"/>
    <n v="635.45000000000005"/>
  </r>
  <r>
    <s v="TXN-102216"/>
    <x v="2216"/>
    <x v="3"/>
    <x v="2"/>
    <n v="18"/>
    <n v="209.4"/>
    <n v="23.47"/>
    <n v="3769.2000000000003"/>
  </r>
  <r>
    <s v="TXN-102217"/>
    <x v="2217"/>
    <x v="2"/>
    <x v="3"/>
    <n v="19"/>
    <n v="317.39"/>
    <n v="8.51"/>
    <n v="6030.41"/>
  </r>
  <r>
    <s v="TXN-102218"/>
    <x v="2218"/>
    <x v="1"/>
    <x v="1"/>
    <n v="15"/>
    <n v="50.09"/>
    <n v="45.16"/>
    <n v="751.35"/>
  </r>
  <r>
    <s v="TXN-102219"/>
    <x v="2219"/>
    <x v="0"/>
    <x v="0"/>
    <n v="6"/>
    <n v="273.83"/>
    <n v="16.09"/>
    <n v="1642.98"/>
  </r>
  <r>
    <s v="TXN-102220"/>
    <x v="2220"/>
    <x v="1"/>
    <x v="1"/>
    <n v="11"/>
    <n v="271.58"/>
    <n v="7.88"/>
    <n v="2987.3799999999997"/>
  </r>
  <r>
    <s v="TXN-102221"/>
    <x v="2221"/>
    <x v="0"/>
    <x v="3"/>
    <n v="11"/>
    <n v="312.8"/>
    <n v="29.17"/>
    <n v="3440.8"/>
  </r>
  <r>
    <s v="TXN-102222"/>
    <x v="2222"/>
    <x v="3"/>
    <x v="2"/>
    <n v="18"/>
    <n v="176.23"/>
    <n v="43.07"/>
    <n v="3172.14"/>
  </r>
  <r>
    <s v="TXN-102223"/>
    <x v="2223"/>
    <x v="2"/>
    <x v="3"/>
    <n v="18"/>
    <n v="210.58"/>
    <n v="23.3"/>
    <n v="3790.44"/>
  </r>
  <r>
    <s v="TXN-102224"/>
    <x v="2224"/>
    <x v="1"/>
    <x v="3"/>
    <n v="10"/>
    <n v="158.87"/>
    <n v="40.24"/>
    <n v="1588.7"/>
  </r>
  <r>
    <s v="TXN-102225"/>
    <x v="2225"/>
    <x v="2"/>
    <x v="1"/>
    <n v="2"/>
    <n v="366.65"/>
    <n v="42.64"/>
    <n v="733.3"/>
  </r>
  <r>
    <s v="TXN-102226"/>
    <x v="2226"/>
    <x v="0"/>
    <x v="0"/>
    <n v="9"/>
    <n v="72.25"/>
    <n v="25.45"/>
    <n v="650.25"/>
  </r>
  <r>
    <s v="TXN-102227"/>
    <x v="2227"/>
    <x v="2"/>
    <x v="3"/>
    <n v="14"/>
    <n v="433.9"/>
    <n v="31.59"/>
    <n v="6074.5999999999995"/>
  </r>
  <r>
    <s v="TXN-102228"/>
    <x v="2228"/>
    <x v="2"/>
    <x v="0"/>
    <n v="19"/>
    <n v="291.33999999999997"/>
    <n v="29.03"/>
    <n v="5535.4599999999991"/>
  </r>
  <r>
    <s v="TXN-102229"/>
    <x v="2229"/>
    <x v="1"/>
    <x v="1"/>
    <n v="10"/>
    <n v="400.86"/>
    <n v="47.26"/>
    <n v="4008.6000000000004"/>
  </r>
  <r>
    <s v="TXN-102230"/>
    <x v="2230"/>
    <x v="3"/>
    <x v="0"/>
    <n v="4"/>
    <n v="200.7"/>
    <n v="37.65"/>
    <n v="802.8"/>
  </r>
  <r>
    <s v="TXN-102231"/>
    <x v="2231"/>
    <x v="2"/>
    <x v="1"/>
    <n v="6"/>
    <n v="159.88"/>
    <n v="46.64"/>
    <n v="959.28"/>
  </r>
  <r>
    <s v="TXN-102232"/>
    <x v="2232"/>
    <x v="3"/>
    <x v="2"/>
    <n v="14"/>
    <n v="406.87"/>
    <n v="14.9"/>
    <n v="5696.18"/>
  </r>
  <r>
    <s v="TXN-102233"/>
    <x v="2233"/>
    <x v="0"/>
    <x v="0"/>
    <n v="4"/>
    <n v="58.46"/>
    <n v="18.96"/>
    <n v="233.84"/>
  </r>
  <r>
    <s v="TXN-102234"/>
    <x v="2234"/>
    <x v="2"/>
    <x v="0"/>
    <n v="15"/>
    <n v="66.38"/>
    <n v="8.19"/>
    <n v="995.69999999999993"/>
  </r>
  <r>
    <s v="TXN-102235"/>
    <x v="2235"/>
    <x v="1"/>
    <x v="2"/>
    <n v="16"/>
    <n v="145.57"/>
    <n v="27.5"/>
    <n v="2329.12"/>
  </r>
  <r>
    <s v="TXN-102236"/>
    <x v="2236"/>
    <x v="0"/>
    <x v="0"/>
    <n v="7"/>
    <n v="432.52"/>
    <n v="44.33"/>
    <n v="3027.64"/>
  </r>
  <r>
    <s v="TXN-102237"/>
    <x v="2237"/>
    <x v="0"/>
    <x v="2"/>
    <n v="17"/>
    <n v="290.57"/>
    <n v="19.71"/>
    <n v="4939.6899999999996"/>
  </r>
  <r>
    <s v="TXN-102238"/>
    <x v="2238"/>
    <x v="1"/>
    <x v="3"/>
    <n v="19"/>
    <n v="256.3"/>
    <n v="10.77"/>
    <n v="4869.7"/>
  </r>
  <r>
    <s v="TXN-102239"/>
    <x v="2239"/>
    <x v="2"/>
    <x v="1"/>
    <n v="19"/>
    <n v="321.98"/>
    <n v="8.08"/>
    <n v="6117.6200000000008"/>
  </r>
  <r>
    <s v="TXN-102240"/>
    <x v="2240"/>
    <x v="2"/>
    <x v="2"/>
    <n v="17"/>
    <n v="196.89"/>
    <n v="25.14"/>
    <n v="3347.1299999999997"/>
  </r>
  <r>
    <s v="TXN-102241"/>
    <x v="2241"/>
    <x v="0"/>
    <x v="0"/>
    <n v="6"/>
    <n v="344.88"/>
    <n v="12.38"/>
    <n v="2069.2799999999997"/>
  </r>
  <r>
    <s v="TXN-102242"/>
    <x v="2242"/>
    <x v="2"/>
    <x v="2"/>
    <n v="11"/>
    <n v="186.36"/>
    <n v="20.57"/>
    <n v="2049.96"/>
  </r>
  <r>
    <s v="TXN-102243"/>
    <x v="2243"/>
    <x v="3"/>
    <x v="0"/>
    <n v="16"/>
    <n v="374.55"/>
    <n v="41.9"/>
    <n v="5992.8"/>
  </r>
  <r>
    <s v="TXN-102244"/>
    <x v="2244"/>
    <x v="1"/>
    <x v="3"/>
    <n v="8"/>
    <n v="131.63999999999999"/>
    <n v="22.28"/>
    <n v="1053.1199999999999"/>
  </r>
  <r>
    <s v="TXN-102245"/>
    <x v="2245"/>
    <x v="3"/>
    <x v="2"/>
    <n v="11"/>
    <n v="136.09"/>
    <n v="32.44"/>
    <n v="1496.99"/>
  </r>
  <r>
    <s v="TXN-102246"/>
    <x v="2246"/>
    <x v="2"/>
    <x v="3"/>
    <n v="7"/>
    <n v="242.48"/>
    <n v="27.6"/>
    <n v="1697.36"/>
  </r>
  <r>
    <s v="TXN-102247"/>
    <x v="2247"/>
    <x v="0"/>
    <x v="1"/>
    <n v="19"/>
    <n v="202.67"/>
    <n v="37.33"/>
    <n v="3850.7299999999996"/>
  </r>
  <r>
    <s v="TXN-102248"/>
    <x v="2248"/>
    <x v="1"/>
    <x v="0"/>
    <n v="10"/>
    <n v="297.11"/>
    <n v="12.03"/>
    <n v="2971.1000000000004"/>
  </r>
  <r>
    <s v="TXN-102249"/>
    <x v="2249"/>
    <x v="2"/>
    <x v="0"/>
    <n v="9"/>
    <n v="173.78"/>
    <n v="46.42"/>
    <n v="1564.02"/>
  </r>
  <r>
    <s v="TXN-102250"/>
    <x v="2250"/>
    <x v="2"/>
    <x v="3"/>
    <n v="4"/>
    <n v="115.67"/>
    <n v="33.96"/>
    <n v="462.68"/>
  </r>
  <r>
    <s v="TXN-102251"/>
    <x v="2251"/>
    <x v="0"/>
    <x v="1"/>
    <n v="15"/>
    <n v="219.63"/>
    <n v="17.190000000000001"/>
    <n v="3294.45"/>
  </r>
  <r>
    <s v="TXN-102252"/>
    <x v="2252"/>
    <x v="0"/>
    <x v="2"/>
    <n v="13"/>
    <n v="259.24"/>
    <n v="10.55"/>
    <n v="3370.12"/>
  </r>
  <r>
    <s v="TXN-102253"/>
    <x v="2253"/>
    <x v="3"/>
    <x v="2"/>
    <n v="2"/>
    <n v="77.459999999999994"/>
    <n v="11.74"/>
    <n v="154.91999999999999"/>
  </r>
  <r>
    <s v="TXN-102254"/>
    <x v="2254"/>
    <x v="1"/>
    <x v="0"/>
    <n v="2"/>
    <n v="257.39"/>
    <n v="40.22"/>
    <n v="514.78"/>
  </r>
  <r>
    <s v="TXN-102255"/>
    <x v="2255"/>
    <x v="1"/>
    <x v="3"/>
    <n v="16"/>
    <n v="154.22"/>
    <n v="31.46"/>
    <n v="2467.52"/>
  </r>
  <r>
    <s v="TXN-102256"/>
    <x v="2256"/>
    <x v="0"/>
    <x v="3"/>
    <n v="9"/>
    <n v="186.02"/>
    <n v="22.13"/>
    <n v="1674.18"/>
  </r>
  <r>
    <s v="TXN-102257"/>
    <x v="2257"/>
    <x v="3"/>
    <x v="2"/>
    <n v="13"/>
    <n v="136.86000000000001"/>
    <n v="19.98"/>
    <n v="1779.1800000000003"/>
  </r>
  <r>
    <s v="TXN-102258"/>
    <x v="2258"/>
    <x v="1"/>
    <x v="1"/>
    <n v="3"/>
    <n v="420.2"/>
    <n v="43.51"/>
    <n v="1260.5999999999999"/>
  </r>
  <r>
    <s v="TXN-102259"/>
    <x v="2259"/>
    <x v="0"/>
    <x v="1"/>
    <n v="9"/>
    <n v="312.41000000000003"/>
    <n v="44.36"/>
    <n v="2811.69"/>
  </r>
  <r>
    <s v="TXN-102260"/>
    <x v="2260"/>
    <x v="2"/>
    <x v="2"/>
    <n v="13"/>
    <n v="129.54"/>
    <n v="31.16"/>
    <n v="1684.02"/>
  </r>
  <r>
    <s v="TXN-102261"/>
    <x v="2261"/>
    <x v="1"/>
    <x v="2"/>
    <n v="2"/>
    <n v="295.77"/>
    <n v="28.6"/>
    <n v="591.54"/>
  </r>
  <r>
    <s v="TXN-102262"/>
    <x v="2262"/>
    <x v="3"/>
    <x v="3"/>
    <n v="8"/>
    <n v="384.2"/>
    <n v="41.74"/>
    <n v="3073.6"/>
  </r>
  <r>
    <s v="TXN-102263"/>
    <x v="2263"/>
    <x v="3"/>
    <x v="1"/>
    <n v="9"/>
    <n v="190.01"/>
    <n v="38.72"/>
    <n v="1710.09"/>
  </r>
  <r>
    <s v="TXN-102264"/>
    <x v="2264"/>
    <x v="3"/>
    <x v="2"/>
    <n v="16"/>
    <n v="376.12"/>
    <n v="23.01"/>
    <n v="6017.92"/>
  </r>
  <r>
    <s v="TXN-102265"/>
    <x v="2265"/>
    <x v="2"/>
    <x v="2"/>
    <n v="2"/>
    <n v="82.59"/>
    <n v="8.7200000000000006"/>
    <n v="165.18"/>
  </r>
  <r>
    <s v="TXN-102266"/>
    <x v="2266"/>
    <x v="1"/>
    <x v="0"/>
    <n v="6"/>
    <n v="373"/>
    <n v="39.58"/>
    <n v="2238"/>
  </r>
  <r>
    <s v="TXN-102267"/>
    <x v="2267"/>
    <x v="1"/>
    <x v="2"/>
    <n v="8"/>
    <n v="250.26"/>
    <n v="12.59"/>
    <n v="2002.08"/>
  </r>
  <r>
    <s v="TXN-102268"/>
    <x v="2268"/>
    <x v="2"/>
    <x v="2"/>
    <n v="5"/>
    <n v="112.38"/>
    <n v="5.74"/>
    <n v="561.9"/>
  </r>
  <r>
    <s v="TXN-102269"/>
    <x v="2269"/>
    <x v="1"/>
    <x v="1"/>
    <n v="9"/>
    <n v="192.4"/>
    <n v="42.95"/>
    <n v="1731.6000000000001"/>
  </r>
  <r>
    <s v="TXN-102270"/>
    <x v="2270"/>
    <x v="2"/>
    <x v="3"/>
    <n v="1"/>
    <n v="444.78"/>
    <n v="31.02"/>
    <n v="444.78"/>
  </r>
  <r>
    <s v="TXN-102271"/>
    <x v="2271"/>
    <x v="2"/>
    <x v="1"/>
    <n v="9"/>
    <n v="355.96"/>
    <n v="45.12"/>
    <n v="3203.64"/>
  </r>
  <r>
    <s v="TXN-102272"/>
    <x v="2272"/>
    <x v="2"/>
    <x v="3"/>
    <n v="10"/>
    <n v="265.38"/>
    <n v="26.81"/>
    <n v="2653.8"/>
  </r>
  <r>
    <s v="TXN-102273"/>
    <x v="2273"/>
    <x v="3"/>
    <x v="0"/>
    <n v="4"/>
    <n v="65.540000000000006"/>
    <n v="46.69"/>
    <n v="262.16000000000003"/>
  </r>
  <r>
    <s v="TXN-102274"/>
    <x v="2274"/>
    <x v="1"/>
    <x v="2"/>
    <n v="3"/>
    <n v="197.04"/>
    <n v="20.93"/>
    <n v="591.12"/>
  </r>
  <r>
    <s v="TXN-102275"/>
    <x v="2275"/>
    <x v="2"/>
    <x v="0"/>
    <n v="10"/>
    <n v="129.80000000000001"/>
    <n v="37.6"/>
    <n v="1298"/>
  </r>
  <r>
    <s v="TXN-102276"/>
    <x v="2276"/>
    <x v="1"/>
    <x v="3"/>
    <n v="15"/>
    <n v="46.35"/>
    <n v="18.54"/>
    <n v="695.25"/>
  </r>
  <r>
    <s v="TXN-102277"/>
    <x v="2277"/>
    <x v="3"/>
    <x v="1"/>
    <n v="11"/>
    <n v="251.09"/>
    <n v="5.05"/>
    <n v="2761.9900000000002"/>
  </r>
  <r>
    <s v="TXN-102278"/>
    <x v="2278"/>
    <x v="2"/>
    <x v="1"/>
    <n v="14"/>
    <n v="401.85"/>
    <n v="22.09"/>
    <n v="5625.9000000000005"/>
  </r>
  <r>
    <s v="TXN-102279"/>
    <x v="2279"/>
    <x v="0"/>
    <x v="0"/>
    <n v="6"/>
    <n v="309.05"/>
    <n v="38.200000000000003"/>
    <n v="1854.3000000000002"/>
  </r>
  <r>
    <s v="TXN-102280"/>
    <x v="2280"/>
    <x v="3"/>
    <x v="3"/>
    <n v="12"/>
    <n v="123.99"/>
    <n v="11.75"/>
    <n v="1487.8799999999999"/>
  </r>
  <r>
    <s v="TXN-102281"/>
    <x v="2281"/>
    <x v="0"/>
    <x v="0"/>
    <n v="13"/>
    <n v="264.72000000000003"/>
    <n v="27.72"/>
    <n v="3441.3600000000006"/>
  </r>
  <r>
    <s v="TXN-102282"/>
    <x v="2282"/>
    <x v="1"/>
    <x v="0"/>
    <n v="17"/>
    <n v="425.34"/>
    <n v="14.55"/>
    <n v="7230.78"/>
  </r>
  <r>
    <s v="TXN-102283"/>
    <x v="2283"/>
    <x v="1"/>
    <x v="2"/>
    <n v="16"/>
    <n v="329.61"/>
    <n v="8.36"/>
    <n v="5273.76"/>
  </r>
  <r>
    <s v="TXN-102284"/>
    <x v="2284"/>
    <x v="3"/>
    <x v="0"/>
    <n v="3"/>
    <n v="315.08"/>
    <n v="32.79"/>
    <n v="945.24"/>
  </r>
  <r>
    <s v="TXN-102285"/>
    <x v="2285"/>
    <x v="1"/>
    <x v="2"/>
    <n v="2"/>
    <n v="436.16"/>
    <n v="47.84"/>
    <n v="872.32"/>
  </r>
  <r>
    <s v="TXN-102286"/>
    <x v="2286"/>
    <x v="0"/>
    <x v="2"/>
    <n v="11"/>
    <n v="362.61"/>
    <n v="18.98"/>
    <n v="3988.71"/>
  </r>
  <r>
    <s v="TXN-102287"/>
    <x v="2287"/>
    <x v="2"/>
    <x v="1"/>
    <n v="9"/>
    <n v="74.86"/>
    <n v="31.13"/>
    <n v="673.74"/>
  </r>
  <r>
    <s v="TXN-102288"/>
    <x v="2288"/>
    <x v="2"/>
    <x v="2"/>
    <n v="3"/>
    <n v="166.55"/>
    <n v="47.91"/>
    <n v="499.65000000000003"/>
  </r>
  <r>
    <s v="TXN-102289"/>
    <x v="2289"/>
    <x v="2"/>
    <x v="2"/>
    <n v="18"/>
    <n v="434.85"/>
    <n v="34.270000000000003"/>
    <n v="7827.3"/>
  </r>
  <r>
    <s v="TXN-102290"/>
    <x v="2290"/>
    <x v="3"/>
    <x v="1"/>
    <n v="15"/>
    <n v="228.28"/>
    <n v="35.29"/>
    <n v="3424.2"/>
  </r>
  <r>
    <s v="TXN-102291"/>
    <x v="2291"/>
    <x v="1"/>
    <x v="0"/>
    <n v="14"/>
    <n v="64.010000000000005"/>
    <n v="13.05"/>
    <n v="896.1400000000001"/>
  </r>
  <r>
    <s v="TXN-102292"/>
    <x v="2292"/>
    <x v="0"/>
    <x v="3"/>
    <n v="2"/>
    <n v="214.76"/>
    <n v="27.17"/>
    <n v="429.52"/>
  </r>
  <r>
    <s v="TXN-102293"/>
    <x v="2293"/>
    <x v="1"/>
    <x v="3"/>
    <n v="17"/>
    <n v="318.33999999999997"/>
    <n v="21.52"/>
    <n v="5411.78"/>
  </r>
  <r>
    <s v="TXN-102294"/>
    <x v="2294"/>
    <x v="1"/>
    <x v="3"/>
    <n v="8"/>
    <n v="448.93"/>
    <n v="26.19"/>
    <n v="3591.44"/>
  </r>
  <r>
    <s v="TXN-102295"/>
    <x v="2295"/>
    <x v="1"/>
    <x v="0"/>
    <n v="10"/>
    <n v="156.24"/>
    <n v="41.04"/>
    <n v="1562.4"/>
  </r>
  <r>
    <s v="TXN-102296"/>
    <x v="2296"/>
    <x v="2"/>
    <x v="2"/>
    <n v="18"/>
    <n v="238.87"/>
    <n v="25.73"/>
    <n v="4299.66"/>
  </r>
  <r>
    <s v="TXN-102297"/>
    <x v="2297"/>
    <x v="0"/>
    <x v="3"/>
    <n v="19"/>
    <n v="397.72"/>
    <n v="7.83"/>
    <n v="7556.68"/>
  </r>
  <r>
    <s v="TXN-102298"/>
    <x v="2298"/>
    <x v="0"/>
    <x v="0"/>
    <n v="8"/>
    <n v="169.86"/>
    <n v="45.75"/>
    <n v="1358.88"/>
  </r>
  <r>
    <s v="TXN-102299"/>
    <x v="2299"/>
    <x v="1"/>
    <x v="2"/>
    <n v="8"/>
    <n v="62.97"/>
    <n v="29.52"/>
    <n v="503.76"/>
  </r>
  <r>
    <s v="TXN-102300"/>
    <x v="2300"/>
    <x v="2"/>
    <x v="1"/>
    <n v="3"/>
    <n v="427.81"/>
    <n v="46.6"/>
    <n v="1283.43"/>
  </r>
  <r>
    <s v="TXN-102301"/>
    <x v="2301"/>
    <x v="2"/>
    <x v="3"/>
    <n v="3"/>
    <n v="227.73"/>
    <n v="30.76"/>
    <n v="683.18999999999994"/>
  </r>
  <r>
    <s v="TXN-102302"/>
    <x v="2302"/>
    <x v="0"/>
    <x v="2"/>
    <n v="12"/>
    <n v="233.96"/>
    <n v="8.1300000000000008"/>
    <n v="2807.52"/>
  </r>
  <r>
    <s v="TXN-102303"/>
    <x v="2303"/>
    <x v="2"/>
    <x v="3"/>
    <n v="17"/>
    <n v="285.41000000000003"/>
    <n v="29.88"/>
    <n v="4851.97"/>
  </r>
  <r>
    <s v="TXN-102304"/>
    <x v="2304"/>
    <x v="2"/>
    <x v="3"/>
    <n v="4"/>
    <n v="17.04"/>
    <n v="30.91"/>
    <n v="68.16"/>
  </r>
  <r>
    <s v="TXN-102305"/>
    <x v="2305"/>
    <x v="2"/>
    <x v="3"/>
    <n v="17"/>
    <n v="420.08"/>
    <n v="14.65"/>
    <n v="7141.36"/>
  </r>
  <r>
    <s v="TXN-102306"/>
    <x v="2306"/>
    <x v="3"/>
    <x v="2"/>
    <n v="14"/>
    <n v="172.55"/>
    <n v="26.2"/>
    <n v="2415.7000000000003"/>
  </r>
  <r>
    <s v="TXN-102307"/>
    <x v="2307"/>
    <x v="1"/>
    <x v="0"/>
    <n v="19"/>
    <n v="187.97"/>
    <n v="25.67"/>
    <n v="3571.43"/>
  </r>
  <r>
    <s v="TXN-102308"/>
    <x v="2308"/>
    <x v="0"/>
    <x v="2"/>
    <n v="9"/>
    <n v="91.15"/>
    <n v="33.03"/>
    <n v="820.35"/>
  </r>
  <r>
    <s v="TXN-102309"/>
    <x v="2309"/>
    <x v="0"/>
    <x v="3"/>
    <n v="12"/>
    <n v="179.81"/>
    <n v="16.68"/>
    <n v="2157.7200000000003"/>
  </r>
  <r>
    <s v="TXN-102310"/>
    <x v="2310"/>
    <x v="3"/>
    <x v="2"/>
    <n v="5"/>
    <n v="364.81"/>
    <n v="31.18"/>
    <n v="1824.05"/>
  </r>
  <r>
    <s v="TXN-102311"/>
    <x v="2311"/>
    <x v="1"/>
    <x v="1"/>
    <n v="11"/>
    <n v="363.1"/>
    <n v="15.84"/>
    <n v="3994.1000000000004"/>
  </r>
  <r>
    <s v="TXN-102312"/>
    <x v="2312"/>
    <x v="0"/>
    <x v="0"/>
    <n v="3"/>
    <n v="422.1"/>
    <n v="25.09"/>
    <n v="1266.3000000000002"/>
  </r>
  <r>
    <s v="TXN-102313"/>
    <x v="2313"/>
    <x v="2"/>
    <x v="2"/>
    <n v="15"/>
    <n v="190.7"/>
    <n v="10.52"/>
    <n v="2860.5"/>
  </r>
  <r>
    <s v="TXN-102314"/>
    <x v="2314"/>
    <x v="0"/>
    <x v="1"/>
    <n v="14"/>
    <n v="323.44"/>
    <n v="6.68"/>
    <n v="4528.16"/>
  </r>
  <r>
    <s v="TXN-102315"/>
    <x v="2315"/>
    <x v="2"/>
    <x v="0"/>
    <n v="11"/>
    <n v="235.89"/>
    <n v="19.43"/>
    <n v="2594.79"/>
  </r>
  <r>
    <s v="TXN-102316"/>
    <x v="2316"/>
    <x v="3"/>
    <x v="1"/>
    <n v="8"/>
    <n v="364.85"/>
    <n v="17.36"/>
    <n v="2918.8"/>
  </r>
  <r>
    <s v="TXN-102317"/>
    <x v="2317"/>
    <x v="2"/>
    <x v="0"/>
    <n v="4"/>
    <n v="325.10000000000002"/>
    <n v="23.31"/>
    <n v="1300.4000000000001"/>
  </r>
  <r>
    <s v="TXN-102318"/>
    <x v="2318"/>
    <x v="0"/>
    <x v="2"/>
    <n v="12"/>
    <n v="175.35"/>
    <n v="48.29"/>
    <n v="2104.1999999999998"/>
  </r>
  <r>
    <s v="TXN-102319"/>
    <x v="2319"/>
    <x v="0"/>
    <x v="1"/>
    <n v="8"/>
    <n v="161.78"/>
    <n v="28.5"/>
    <n v="1294.24"/>
  </r>
  <r>
    <s v="TXN-102320"/>
    <x v="2320"/>
    <x v="0"/>
    <x v="3"/>
    <n v="6"/>
    <n v="125.19"/>
    <n v="29.89"/>
    <n v="751.14"/>
  </r>
  <r>
    <s v="TXN-102321"/>
    <x v="2321"/>
    <x v="3"/>
    <x v="1"/>
    <n v="15"/>
    <n v="266"/>
    <n v="47.37"/>
    <n v="3990"/>
  </r>
  <r>
    <s v="TXN-102322"/>
    <x v="2322"/>
    <x v="3"/>
    <x v="0"/>
    <n v="12"/>
    <n v="434.29"/>
    <n v="46.45"/>
    <n v="5211.4800000000005"/>
  </r>
  <r>
    <s v="TXN-102323"/>
    <x v="2323"/>
    <x v="1"/>
    <x v="2"/>
    <n v="16"/>
    <n v="102.43"/>
    <n v="44.79"/>
    <n v="1638.88"/>
  </r>
  <r>
    <s v="TXN-102324"/>
    <x v="2324"/>
    <x v="0"/>
    <x v="0"/>
    <n v="16"/>
    <n v="56.89"/>
    <n v="9.41"/>
    <n v="910.24"/>
  </r>
  <r>
    <s v="TXN-102325"/>
    <x v="2325"/>
    <x v="2"/>
    <x v="1"/>
    <n v="4"/>
    <n v="67.38"/>
    <n v="33.54"/>
    <n v="269.52"/>
  </r>
  <r>
    <s v="TXN-102326"/>
    <x v="2326"/>
    <x v="3"/>
    <x v="1"/>
    <n v="11"/>
    <n v="355.76"/>
    <n v="41.36"/>
    <n v="3913.3599999999997"/>
  </r>
  <r>
    <s v="TXN-102327"/>
    <x v="2327"/>
    <x v="0"/>
    <x v="3"/>
    <n v="13"/>
    <n v="167.62"/>
    <n v="42.6"/>
    <n v="2179.06"/>
  </r>
  <r>
    <s v="TXN-102328"/>
    <x v="2328"/>
    <x v="0"/>
    <x v="2"/>
    <n v="9"/>
    <n v="112.99"/>
    <n v="31.01"/>
    <n v="1016.91"/>
  </r>
  <r>
    <s v="TXN-102329"/>
    <x v="2329"/>
    <x v="3"/>
    <x v="2"/>
    <n v="4"/>
    <n v="168.81"/>
    <n v="5.79"/>
    <n v="675.24"/>
  </r>
  <r>
    <s v="TXN-102330"/>
    <x v="2330"/>
    <x v="1"/>
    <x v="1"/>
    <n v="12"/>
    <n v="295.89999999999998"/>
    <n v="48.82"/>
    <n v="3550.7999999999997"/>
  </r>
  <r>
    <s v="TXN-102331"/>
    <x v="2331"/>
    <x v="3"/>
    <x v="2"/>
    <n v="9"/>
    <n v="253.08"/>
    <n v="26.25"/>
    <n v="2277.7200000000003"/>
  </r>
  <r>
    <s v="TXN-102332"/>
    <x v="2332"/>
    <x v="3"/>
    <x v="3"/>
    <n v="13"/>
    <n v="338.59"/>
    <n v="22.71"/>
    <n v="4401.67"/>
  </r>
  <r>
    <s v="TXN-102333"/>
    <x v="2333"/>
    <x v="2"/>
    <x v="0"/>
    <n v="16"/>
    <n v="162.83000000000001"/>
    <n v="22.77"/>
    <n v="2605.2800000000002"/>
  </r>
  <r>
    <s v="TXN-102334"/>
    <x v="2334"/>
    <x v="2"/>
    <x v="2"/>
    <n v="6"/>
    <n v="211.91"/>
    <n v="24.09"/>
    <n v="1271.46"/>
  </r>
  <r>
    <s v="TXN-102335"/>
    <x v="2335"/>
    <x v="1"/>
    <x v="1"/>
    <n v="10"/>
    <n v="59.81"/>
    <n v="15.9"/>
    <n v="598.1"/>
  </r>
  <r>
    <s v="TXN-102336"/>
    <x v="2336"/>
    <x v="0"/>
    <x v="0"/>
    <n v="13"/>
    <n v="47.24"/>
    <n v="19.73"/>
    <n v="614.12"/>
  </r>
  <r>
    <s v="TXN-102337"/>
    <x v="2337"/>
    <x v="3"/>
    <x v="0"/>
    <n v="7"/>
    <n v="216.35"/>
    <n v="49.34"/>
    <n v="1514.45"/>
  </r>
  <r>
    <s v="TXN-102338"/>
    <x v="2338"/>
    <x v="1"/>
    <x v="3"/>
    <n v="19"/>
    <n v="146.54"/>
    <n v="21.57"/>
    <n v="2784.2599999999998"/>
  </r>
  <r>
    <s v="TXN-102339"/>
    <x v="2339"/>
    <x v="2"/>
    <x v="1"/>
    <n v="19"/>
    <n v="281.76"/>
    <n v="28.7"/>
    <n v="5353.44"/>
  </r>
  <r>
    <s v="TXN-102340"/>
    <x v="2340"/>
    <x v="3"/>
    <x v="2"/>
    <n v="17"/>
    <n v="34.18"/>
    <n v="43.17"/>
    <n v="581.05999999999995"/>
  </r>
  <r>
    <s v="TXN-102341"/>
    <x v="2341"/>
    <x v="0"/>
    <x v="1"/>
    <n v="13"/>
    <n v="68.41"/>
    <n v="28.73"/>
    <n v="889.32999999999993"/>
  </r>
  <r>
    <s v="TXN-102342"/>
    <x v="2342"/>
    <x v="2"/>
    <x v="0"/>
    <n v="13"/>
    <n v="391.43"/>
    <n v="19.600000000000001"/>
    <n v="5088.59"/>
  </r>
  <r>
    <s v="TXN-102343"/>
    <x v="2343"/>
    <x v="2"/>
    <x v="1"/>
    <n v="2"/>
    <n v="261.56"/>
    <n v="28.57"/>
    <n v="523.12"/>
  </r>
  <r>
    <s v="TXN-102344"/>
    <x v="2344"/>
    <x v="2"/>
    <x v="2"/>
    <n v="10"/>
    <n v="324.89"/>
    <n v="10.130000000000001"/>
    <n v="3248.8999999999996"/>
  </r>
  <r>
    <s v="TXN-102345"/>
    <x v="2345"/>
    <x v="1"/>
    <x v="2"/>
    <n v="13"/>
    <n v="381.34"/>
    <n v="10.85"/>
    <n v="4957.42"/>
  </r>
  <r>
    <s v="TXN-102346"/>
    <x v="2346"/>
    <x v="0"/>
    <x v="3"/>
    <n v="9"/>
    <n v="217.04"/>
    <n v="36.229999999999997"/>
    <n v="1953.36"/>
  </r>
  <r>
    <s v="TXN-102347"/>
    <x v="2347"/>
    <x v="3"/>
    <x v="2"/>
    <n v="1"/>
    <n v="346.18"/>
    <n v="46.29"/>
    <n v="346.18"/>
  </r>
  <r>
    <s v="TXN-102348"/>
    <x v="2348"/>
    <x v="1"/>
    <x v="2"/>
    <n v="14"/>
    <n v="243.43"/>
    <n v="37.659999999999997"/>
    <n v="3408.02"/>
  </r>
  <r>
    <s v="TXN-102349"/>
    <x v="2349"/>
    <x v="1"/>
    <x v="1"/>
    <n v="16"/>
    <n v="112.28"/>
    <n v="8.36"/>
    <n v="1796.48"/>
  </r>
  <r>
    <s v="TXN-102350"/>
    <x v="2350"/>
    <x v="1"/>
    <x v="1"/>
    <n v="15"/>
    <n v="162.21"/>
    <n v="23.13"/>
    <n v="2433.15"/>
  </r>
  <r>
    <s v="TXN-102351"/>
    <x v="2351"/>
    <x v="2"/>
    <x v="0"/>
    <n v="1"/>
    <n v="228.56"/>
    <n v="5.1100000000000003"/>
    <n v="228.56"/>
  </r>
  <r>
    <s v="TXN-102352"/>
    <x v="2352"/>
    <x v="0"/>
    <x v="3"/>
    <n v="17"/>
    <n v="153.19"/>
    <n v="28"/>
    <n v="2604.23"/>
  </r>
  <r>
    <s v="TXN-102353"/>
    <x v="2353"/>
    <x v="1"/>
    <x v="1"/>
    <n v="13"/>
    <n v="161.29"/>
    <n v="13.69"/>
    <n v="2096.77"/>
  </r>
  <r>
    <s v="TXN-102354"/>
    <x v="2354"/>
    <x v="3"/>
    <x v="2"/>
    <n v="15"/>
    <n v="162.1"/>
    <n v="44.07"/>
    <n v="2431.5"/>
  </r>
  <r>
    <s v="TXN-102355"/>
    <x v="2355"/>
    <x v="0"/>
    <x v="0"/>
    <n v="16"/>
    <n v="68.87"/>
    <n v="9.6999999999999993"/>
    <n v="1101.92"/>
  </r>
  <r>
    <s v="TXN-102356"/>
    <x v="2356"/>
    <x v="3"/>
    <x v="1"/>
    <n v="16"/>
    <n v="52.28"/>
    <n v="5.0599999999999996"/>
    <n v="836.48"/>
  </r>
  <r>
    <s v="TXN-102357"/>
    <x v="2357"/>
    <x v="0"/>
    <x v="3"/>
    <n v="2"/>
    <n v="35.700000000000003"/>
    <n v="25.3"/>
    <n v="71.400000000000006"/>
  </r>
  <r>
    <s v="TXN-102358"/>
    <x v="2358"/>
    <x v="3"/>
    <x v="3"/>
    <n v="17"/>
    <n v="63.71"/>
    <n v="11.99"/>
    <n v="1083.07"/>
  </r>
  <r>
    <s v="TXN-102359"/>
    <x v="2359"/>
    <x v="2"/>
    <x v="0"/>
    <n v="11"/>
    <n v="164.84"/>
    <n v="38.21"/>
    <n v="1813.24"/>
  </r>
  <r>
    <s v="TXN-102360"/>
    <x v="2360"/>
    <x v="1"/>
    <x v="0"/>
    <n v="8"/>
    <n v="273.54000000000002"/>
    <n v="46.4"/>
    <n v="2188.3200000000002"/>
  </r>
  <r>
    <s v="TXN-102361"/>
    <x v="2361"/>
    <x v="3"/>
    <x v="0"/>
    <n v="3"/>
    <n v="97.25"/>
    <n v="6.89"/>
    <n v="291.75"/>
  </r>
  <r>
    <s v="TXN-102362"/>
    <x v="2362"/>
    <x v="0"/>
    <x v="0"/>
    <n v="12"/>
    <n v="401.34"/>
    <n v="22.8"/>
    <n v="4816.08"/>
  </r>
  <r>
    <s v="TXN-102363"/>
    <x v="2363"/>
    <x v="1"/>
    <x v="0"/>
    <n v="16"/>
    <n v="366.74"/>
    <n v="49.86"/>
    <n v="5867.84"/>
  </r>
  <r>
    <s v="TXN-102364"/>
    <x v="2364"/>
    <x v="1"/>
    <x v="2"/>
    <n v="14"/>
    <n v="241.67"/>
    <n v="37.97"/>
    <n v="3383.3799999999997"/>
  </r>
  <r>
    <s v="TXN-102365"/>
    <x v="2365"/>
    <x v="0"/>
    <x v="2"/>
    <n v="16"/>
    <n v="330.17"/>
    <n v="47.89"/>
    <n v="5282.72"/>
  </r>
  <r>
    <s v="TXN-102366"/>
    <x v="2366"/>
    <x v="3"/>
    <x v="1"/>
    <n v="17"/>
    <n v="174.67"/>
    <n v="12.38"/>
    <n v="2969.39"/>
  </r>
  <r>
    <s v="TXN-102367"/>
    <x v="2367"/>
    <x v="2"/>
    <x v="3"/>
    <n v="11"/>
    <n v="31.48"/>
    <n v="14.96"/>
    <n v="346.28000000000003"/>
  </r>
  <r>
    <s v="TXN-102368"/>
    <x v="2368"/>
    <x v="2"/>
    <x v="2"/>
    <n v="17"/>
    <n v="408.43"/>
    <n v="11.97"/>
    <n v="6943.31"/>
  </r>
  <r>
    <s v="TXN-102369"/>
    <x v="2369"/>
    <x v="3"/>
    <x v="2"/>
    <n v="19"/>
    <n v="71.03"/>
    <n v="18.61"/>
    <n v="1349.57"/>
  </r>
  <r>
    <s v="TXN-102370"/>
    <x v="2370"/>
    <x v="1"/>
    <x v="2"/>
    <n v="1"/>
    <n v="427.38"/>
    <n v="37.6"/>
    <n v="427.38"/>
  </r>
  <r>
    <s v="TXN-102371"/>
    <x v="2371"/>
    <x v="1"/>
    <x v="1"/>
    <n v="12"/>
    <n v="263.98"/>
    <n v="12.42"/>
    <n v="3167.76"/>
  </r>
  <r>
    <s v="TXN-102372"/>
    <x v="2372"/>
    <x v="1"/>
    <x v="0"/>
    <n v="15"/>
    <n v="148.27000000000001"/>
    <n v="28.59"/>
    <n v="2224.0500000000002"/>
  </r>
  <r>
    <s v="TXN-102373"/>
    <x v="2373"/>
    <x v="1"/>
    <x v="1"/>
    <n v="18"/>
    <n v="230.81"/>
    <n v="17.11"/>
    <n v="4154.58"/>
  </r>
  <r>
    <s v="TXN-102374"/>
    <x v="2374"/>
    <x v="3"/>
    <x v="3"/>
    <n v="14"/>
    <n v="233.46"/>
    <n v="42.31"/>
    <n v="3268.44"/>
  </r>
  <r>
    <s v="TXN-102375"/>
    <x v="2375"/>
    <x v="1"/>
    <x v="3"/>
    <n v="1"/>
    <n v="25.62"/>
    <n v="5.3"/>
    <n v="25.62"/>
  </r>
  <r>
    <s v="TXN-102376"/>
    <x v="2376"/>
    <x v="0"/>
    <x v="3"/>
    <n v="13"/>
    <n v="169.95"/>
    <n v="15.04"/>
    <n v="2209.35"/>
  </r>
  <r>
    <s v="TXN-102377"/>
    <x v="2377"/>
    <x v="1"/>
    <x v="3"/>
    <n v="15"/>
    <n v="336.97"/>
    <n v="32.24"/>
    <n v="5054.55"/>
  </r>
  <r>
    <s v="TXN-102378"/>
    <x v="2378"/>
    <x v="2"/>
    <x v="2"/>
    <n v="7"/>
    <n v="237.13"/>
    <n v="9.35"/>
    <n v="1659.9099999999999"/>
  </r>
  <r>
    <s v="TXN-102379"/>
    <x v="2379"/>
    <x v="1"/>
    <x v="2"/>
    <n v="15"/>
    <n v="121.62"/>
    <n v="25.98"/>
    <n v="1824.3000000000002"/>
  </r>
  <r>
    <s v="TXN-102380"/>
    <x v="2380"/>
    <x v="3"/>
    <x v="1"/>
    <n v="10"/>
    <n v="161.11000000000001"/>
    <n v="24.63"/>
    <n v="1611.1000000000001"/>
  </r>
  <r>
    <s v="TXN-102381"/>
    <x v="2381"/>
    <x v="2"/>
    <x v="0"/>
    <n v="14"/>
    <n v="390.5"/>
    <n v="43.36"/>
    <n v="5467"/>
  </r>
  <r>
    <s v="TXN-102382"/>
    <x v="2382"/>
    <x v="3"/>
    <x v="3"/>
    <n v="6"/>
    <n v="243.85"/>
    <n v="33.14"/>
    <n v="1463.1"/>
  </r>
  <r>
    <s v="TXN-102383"/>
    <x v="2383"/>
    <x v="3"/>
    <x v="1"/>
    <n v="14"/>
    <n v="245.07"/>
    <n v="33.79"/>
    <n v="3430.98"/>
  </r>
  <r>
    <s v="TXN-102384"/>
    <x v="2384"/>
    <x v="2"/>
    <x v="2"/>
    <n v="12"/>
    <n v="433.26"/>
    <n v="47.83"/>
    <n v="5199.12"/>
  </r>
  <r>
    <s v="TXN-102385"/>
    <x v="2385"/>
    <x v="3"/>
    <x v="2"/>
    <n v="11"/>
    <n v="154.91999999999999"/>
    <n v="49.21"/>
    <n v="1704.12"/>
  </r>
  <r>
    <s v="TXN-102386"/>
    <x v="2386"/>
    <x v="3"/>
    <x v="0"/>
    <n v="19"/>
    <n v="223.86"/>
    <n v="34.4"/>
    <n v="4253.34"/>
  </r>
  <r>
    <s v="TXN-102387"/>
    <x v="2387"/>
    <x v="1"/>
    <x v="0"/>
    <n v="2"/>
    <n v="368.19"/>
    <n v="28.49"/>
    <n v="736.38"/>
  </r>
  <r>
    <s v="TXN-102388"/>
    <x v="2388"/>
    <x v="0"/>
    <x v="0"/>
    <n v="1"/>
    <n v="345.25"/>
    <n v="32.36"/>
    <n v="345.25"/>
  </r>
  <r>
    <s v="TXN-102389"/>
    <x v="2389"/>
    <x v="3"/>
    <x v="1"/>
    <n v="8"/>
    <n v="130.99"/>
    <n v="22.21"/>
    <n v="1047.92"/>
  </r>
  <r>
    <s v="TXN-102390"/>
    <x v="2390"/>
    <x v="3"/>
    <x v="2"/>
    <n v="14"/>
    <n v="81.150000000000006"/>
    <n v="49.44"/>
    <n v="1136.1000000000001"/>
  </r>
  <r>
    <s v="TXN-102391"/>
    <x v="2391"/>
    <x v="3"/>
    <x v="2"/>
    <n v="9"/>
    <n v="319.95999999999998"/>
    <n v="36.729999999999997"/>
    <n v="2879.64"/>
  </r>
  <r>
    <s v="TXN-102392"/>
    <x v="2392"/>
    <x v="1"/>
    <x v="0"/>
    <n v="2"/>
    <n v="127.45"/>
    <n v="18.100000000000001"/>
    <n v="254.9"/>
  </r>
  <r>
    <s v="TXN-102393"/>
    <x v="2393"/>
    <x v="0"/>
    <x v="3"/>
    <n v="5"/>
    <n v="416.4"/>
    <n v="7.6"/>
    <n v="2082"/>
  </r>
  <r>
    <s v="TXN-102394"/>
    <x v="2394"/>
    <x v="2"/>
    <x v="0"/>
    <n v="8"/>
    <n v="71.66"/>
    <n v="7.01"/>
    <n v="573.28"/>
  </r>
  <r>
    <s v="TXN-102395"/>
    <x v="2395"/>
    <x v="1"/>
    <x v="1"/>
    <n v="16"/>
    <n v="153.81"/>
    <n v="14.22"/>
    <n v="2460.96"/>
  </r>
  <r>
    <s v="TXN-102396"/>
    <x v="2396"/>
    <x v="1"/>
    <x v="0"/>
    <n v="16"/>
    <n v="39.31"/>
    <n v="15.48"/>
    <n v="628.96"/>
  </r>
  <r>
    <s v="TXN-102397"/>
    <x v="2397"/>
    <x v="0"/>
    <x v="0"/>
    <n v="13"/>
    <n v="321.08999999999997"/>
    <n v="23.68"/>
    <n v="4174.17"/>
  </r>
  <r>
    <s v="TXN-102398"/>
    <x v="2398"/>
    <x v="0"/>
    <x v="1"/>
    <n v="15"/>
    <n v="402.75"/>
    <n v="14.67"/>
    <n v="6041.25"/>
  </r>
  <r>
    <s v="TXN-102399"/>
    <x v="2399"/>
    <x v="1"/>
    <x v="0"/>
    <n v="1"/>
    <n v="291.79000000000002"/>
    <n v="33.39"/>
    <n v="291.79000000000002"/>
  </r>
  <r>
    <s v="TXN-102400"/>
    <x v="2400"/>
    <x v="2"/>
    <x v="2"/>
    <n v="3"/>
    <n v="422.95"/>
    <n v="14.51"/>
    <n v="1268.8499999999999"/>
  </r>
  <r>
    <s v="TXN-102401"/>
    <x v="2401"/>
    <x v="1"/>
    <x v="3"/>
    <n v="6"/>
    <n v="71.33"/>
    <n v="13.45"/>
    <n v="427.98"/>
  </r>
  <r>
    <s v="TXN-102402"/>
    <x v="2402"/>
    <x v="0"/>
    <x v="0"/>
    <n v="14"/>
    <n v="53.62"/>
    <n v="26.21"/>
    <n v="750.68"/>
  </r>
  <r>
    <s v="TXN-102403"/>
    <x v="2403"/>
    <x v="2"/>
    <x v="1"/>
    <n v="4"/>
    <n v="379.79"/>
    <n v="44.99"/>
    <n v="1519.16"/>
  </r>
  <r>
    <s v="TXN-102404"/>
    <x v="2404"/>
    <x v="0"/>
    <x v="3"/>
    <n v="18"/>
    <n v="387.22"/>
    <n v="26.07"/>
    <n v="6969.9600000000009"/>
  </r>
  <r>
    <s v="TXN-102405"/>
    <x v="2405"/>
    <x v="2"/>
    <x v="1"/>
    <n v="15"/>
    <n v="376.59"/>
    <n v="23.62"/>
    <n v="5648.8499999999995"/>
  </r>
  <r>
    <s v="TXN-102406"/>
    <x v="2406"/>
    <x v="3"/>
    <x v="3"/>
    <n v="9"/>
    <n v="362.65"/>
    <n v="31.01"/>
    <n v="3263.85"/>
  </r>
  <r>
    <s v="TXN-102407"/>
    <x v="2407"/>
    <x v="0"/>
    <x v="3"/>
    <n v="18"/>
    <n v="172.89"/>
    <n v="16.57"/>
    <n v="3112.0199999999995"/>
  </r>
  <r>
    <s v="TXN-102408"/>
    <x v="2408"/>
    <x v="0"/>
    <x v="0"/>
    <n v="3"/>
    <n v="109.99"/>
    <n v="20.9"/>
    <n v="329.96999999999997"/>
  </r>
  <r>
    <s v="TXN-102409"/>
    <x v="2409"/>
    <x v="1"/>
    <x v="2"/>
    <n v="10"/>
    <n v="419.07"/>
    <n v="14.62"/>
    <n v="4190.7"/>
  </r>
  <r>
    <s v="TXN-102410"/>
    <x v="2410"/>
    <x v="0"/>
    <x v="0"/>
    <n v="17"/>
    <n v="148.88999999999999"/>
    <n v="30.73"/>
    <n v="2531.1299999999997"/>
  </r>
  <r>
    <s v="TXN-102411"/>
    <x v="2411"/>
    <x v="0"/>
    <x v="1"/>
    <n v="7"/>
    <n v="188.61"/>
    <n v="36.380000000000003"/>
    <n v="1320.27"/>
  </r>
  <r>
    <s v="TXN-102412"/>
    <x v="2412"/>
    <x v="3"/>
    <x v="1"/>
    <n v="15"/>
    <n v="319.45999999999998"/>
    <n v="35.32"/>
    <n v="4791.8999999999996"/>
  </r>
  <r>
    <s v="TXN-102413"/>
    <x v="2413"/>
    <x v="0"/>
    <x v="3"/>
    <n v="1"/>
    <n v="142.96"/>
    <n v="16.47"/>
    <n v="142.96"/>
  </r>
  <r>
    <s v="TXN-102414"/>
    <x v="2414"/>
    <x v="3"/>
    <x v="3"/>
    <n v="11"/>
    <n v="371.41"/>
    <n v="40.08"/>
    <n v="4085.51"/>
  </r>
  <r>
    <s v="TXN-102415"/>
    <x v="2415"/>
    <x v="3"/>
    <x v="2"/>
    <n v="17"/>
    <n v="45.93"/>
    <n v="16.52"/>
    <n v="780.81"/>
  </r>
  <r>
    <s v="TXN-102416"/>
    <x v="2416"/>
    <x v="3"/>
    <x v="0"/>
    <n v="5"/>
    <n v="359.27"/>
    <n v="11.76"/>
    <n v="1796.35"/>
  </r>
  <r>
    <s v="TXN-102417"/>
    <x v="2417"/>
    <x v="3"/>
    <x v="1"/>
    <n v="7"/>
    <n v="277"/>
    <n v="20.74"/>
    <n v="1939"/>
  </r>
  <r>
    <s v="TXN-102418"/>
    <x v="2418"/>
    <x v="2"/>
    <x v="3"/>
    <n v="19"/>
    <n v="264.47000000000003"/>
    <n v="31.9"/>
    <n v="5024.93"/>
  </r>
  <r>
    <s v="TXN-102419"/>
    <x v="2419"/>
    <x v="1"/>
    <x v="2"/>
    <n v="15"/>
    <n v="214.66"/>
    <n v="11.39"/>
    <n v="3219.9"/>
  </r>
  <r>
    <s v="TXN-102420"/>
    <x v="2420"/>
    <x v="2"/>
    <x v="1"/>
    <n v="3"/>
    <n v="135.88"/>
    <n v="34.159999999999997"/>
    <n v="407.64"/>
  </r>
  <r>
    <s v="TXN-102421"/>
    <x v="2421"/>
    <x v="0"/>
    <x v="3"/>
    <n v="15"/>
    <n v="217.14"/>
    <n v="43.84"/>
    <n v="3257.1"/>
  </r>
  <r>
    <s v="TXN-102422"/>
    <x v="2422"/>
    <x v="2"/>
    <x v="1"/>
    <n v="5"/>
    <n v="211.04"/>
    <n v="18.190000000000001"/>
    <n v="1055.2"/>
  </r>
  <r>
    <s v="TXN-102423"/>
    <x v="2423"/>
    <x v="2"/>
    <x v="2"/>
    <n v="12"/>
    <n v="269.14"/>
    <n v="25.26"/>
    <n v="3229.68"/>
  </r>
  <r>
    <s v="TXN-102424"/>
    <x v="2424"/>
    <x v="0"/>
    <x v="2"/>
    <n v="5"/>
    <n v="137.84"/>
    <n v="15.27"/>
    <n v="689.2"/>
  </r>
  <r>
    <s v="TXN-102425"/>
    <x v="2425"/>
    <x v="0"/>
    <x v="1"/>
    <n v="3"/>
    <n v="49.22"/>
    <n v="21.26"/>
    <n v="147.66"/>
  </r>
  <r>
    <s v="TXN-102426"/>
    <x v="2426"/>
    <x v="0"/>
    <x v="0"/>
    <n v="9"/>
    <n v="78.540000000000006"/>
    <n v="5.99"/>
    <n v="706.86"/>
  </r>
  <r>
    <s v="TXN-102427"/>
    <x v="2427"/>
    <x v="2"/>
    <x v="1"/>
    <n v="9"/>
    <n v="319.29000000000002"/>
    <n v="47.92"/>
    <n v="2873.61"/>
  </r>
  <r>
    <s v="TXN-102428"/>
    <x v="2428"/>
    <x v="2"/>
    <x v="3"/>
    <n v="7"/>
    <n v="25.27"/>
    <n v="23.72"/>
    <n v="176.89"/>
  </r>
  <r>
    <s v="TXN-102429"/>
    <x v="2429"/>
    <x v="0"/>
    <x v="0"/>
    <n v="2"/>
    <n v="387.62"/>
    <n v="40.5"/>
    <n v="775.24"/>
  </r>
  <r>
    <s v="TXN-102430"/>
    <x v="2430"/>
    <x v="1"/>
    <x v="3"/>
    <n v="16"/>
    <n v="317.22000000000003"/>
    <n v="11.42"/>
    <n v="5075.5200000000004"/>
  </r>
  <r>
    <s v="TXN-102431"/>
    <x v="2431"/>
    <x v="1"/>
    <x v="1"/>
    <n v="9"/>
    <n v="349.23"/>
    <n v="41.56"/>
    <n v="3143.07"/>
  </r>
  <r>
    <s v="TXN-102432"/>
    <x v="2432"/>
    <x v="3"/>
    <x v="0"/>
    <n v="13"/>
    <n v="378.74"/>
    <n v="43.71"/>
    <n v="4923.62"/>
  </r>
  <r>
    <s v="TXN-102433"/>
    <x v="2433"/>
    <x v="0"/>
    <x v="3"/>
    <n v="19"/>
    <n v="68.819999999999993"/>
    <n v="37.200000000000003"/>
    <n v="1307.58"/>
  </r>
  <r>
    <s v="TXN-102434"/>
    <x v="2434"/>
    <x v="3"/>
    <x v="1"/>
    <n v="17"/>
    <n v="372.85"/>
    <n v="45.64"/>
    <n v="6338.4500000000007"/>
  </r>
  <r>
    <s v="TXN-102435"/>
    <x v="2435"/>
    <x v="1"/>
    <x v="1"/>
    <n v="6"/>
    <n v="234.77"/>
    <n v="12.52"/>
    <n v="1408.6200000000001"/>
  </r>
  <r>
    <s v="TXN-102436"/>
    <x v="2436"/>
    <x v="3"/>
    <x v="0"/>
    <n v="4"/>
    <n v="400.26"/>
    <n v="26.44"/>
    <n v="1601.04"/>
  </r>
  <r>
    <s v="TXN-102437"/>
    <x v="2437"/>
    <x v="0"/>
    <x v="1"/>
    <n v="1"/>
    <n v="400.72"/>
    <n v="32.9"/>
    <n v="400.72"/>
  </r>
  <r>
    <s v="TXN-102438"/>
    <x v="2438"/>
    <x v="0"/>
    <x v="2"/>
    <n v="18"/>
    <n v="26.01"/>
    <n v="31.83"/>
    <n v="468.18"/>
  </r>
  <r>
    <s v="TXN-102439"/>
    <x v="2439"/>
    <x v="0"/>
    <x v="3"/>
    <n v="19"/>
    <n v="181.85"/>
    <n v="43.75"/>
    <n v="3455.15"/>
  </r>
  <r>
    <s v="TXN-102440"/>
    <x v="2440"/>
    <x v="2"/>
    <x v="3"/>
    <n v="9"/>
    <n v="244.22"/>
    <n v="14.71"/>
    <n v="2197.98"/>
  </r>
  <r>
    <s v="TXN-102441"/>
    <x v="2441"/>
    <x v="3"/>
    <x v="1"/>
    <n v="13"/>
    <n v="310.25"/>
    <n v="12.9"/>
    <n v="4033.25"/>
  </r>
  <r>
    <s v="TXN-102442"/>
    <x v="2442"/>
    <x v="1"/>
    <x v="1"/>
    <n v="8"/>
    <n v="139.85"/>
    <n v="16.399999999999999"/>
    <n v="1118.8"/>
  </r>
  <r>
    <s v="TXN-102443"/>
    <x v="2443"/>
    <x v="1"/>
    <x v="2"/>
    <n v="13"/>
    <n v="125.06"/>
    <n v="45.12"/>
    <n v="1625.78"/>
  </r>
  <r>
    <s v="TXN-102444"/>
    <x v="2444"/>
    <x v="1"/>
    <x v="0"/>
    <n v="15"/>
    <n v="181.16"/>
    <n v="47.35"/>
    <n v="2717.4"/>
  </r>
  <r>
    <s v="TXN-102445"/>
    <x v="2445"/>
    <x v="2"/>
    <x v="1"/>
    <n v="11"/>
    <n v="233.16"/>
    <n v="30.63"/>
    <n v="2564.7599999999998"/>
  </r>
  <r>
    <s v="TXN-102446"/>
    <x v="2446"/>
    <x v="2"/>
    <x v="1"/>
    <n v="12"/>
    <n v="428.77"/>
    <n v="27.56"/>
    <n v="5145.24"/>
  </r>
  <r>
    <s v="TXN-102447"/>
    <x v="2447"/>
    <x v="0"/>
    <x v="1"/>
    <n v="14"/>
    <n v="346.64"/>
    <n v="32.24"/>
    <n v="4852.96"/>
  </r>
  <r>
    <s v="TXN-102448"/>
    <x v="2448"/>
    <x v="1"/>
    <x v="1"/>
    <n v="4"/>
    <n v="202.04"/>
    <n v="32.729999999999997"/>
    <n v="808.16"/>
  </r>
  <r>
    <s v="TXN-102449"/>
    <x v="2449"/>
    <x v="2"/>
    <x v="3"/>
    <n v="1"/>
    <n v="39.119999999999997"/>
    <n v="12.66"/>
    <n v="39.119999999999997"/>
  </r>
  <r>
    <s v="TXN-102450"/>
    <x v="2450"/>
    <x v="0"/>
    <x v="1"/>
    <n v="4"/>
    <n v="88.72"/>
    <n v="35.89"/>
    <n v="354.88"/>
  </r>
  <r>
    <s v="TXN-102451"/>
    <x v="2451"/>
    <x v="1"/>
    <x v="3"/>
    <n v="19"/>
    <n v="213.6"/>
    <n v="25.36"/>
    <n v="4058.4"/>
  </r>
  <r>
    <s v="TXN-102452"/>
    <x v="2452"/>
    <x v="3"/>
    <x v="1"/>
    <n v="9"/>
    <n v="369.11"/>
    <n v="28.28"/>
    <n v="3321.9900000000002"/>
  </r>
  <r>
    <s v="TXN-102453"/>
    <x v="2453"/>
    <x v="0"/>
    <x v="0"/>
    <n v="10"/>
    <n v="180.91"/>
    <n v="6.36"/>
    <n v="1809.1"/>
  </r>
  <r>
    <s v="TXN-102454"/>
    <x v="2454"/>
    <x v="2"/>
    <x v="2"/>
    <n v="4"/>
    <n v="249.48"/>
    <n v="39.409999999999997"/>
    <n v="997.92"/>
  </r>
  <r>
    <s v="TXN-102455"/>
    <x v="2455"/>
    <x v="2"/>
    <x v="0"/>
    <n v="9"/>
    <n v="402.99"/>
    <n v="42.59"/>
    <n v="3626.91"/>
  </r>
  <r>
    <s v="TXN-102456"/>
    <x v="2456"/>
    <x v="0"/>
    <x v="1"/>
    <n v="13"/>
    <n v="412.54"/>
    <n v="32.869999999999997"/>
    <n v="5363.02"/>
  </r>
  <r>
    <s v="TXN-102457"/>
    <x v="2457"/>
    <x v="0"/>
    <x v="1"/>
    <n v="12"/>
    <n v="109.25"/>
    <n v="38.69"/>
    <n v="1311"/>
  </r>
  <r>
    <s v="TXN-102458"/>
    <x v="2458"/>
    <x v="2"/>
    <x v="1"/>
    <n v="11"/>
    <n v="34.44"/>
    <n v="28.52"/>
    <n v="378.84"/>
  </r>
  <r>
    <s v="TXN-102459"/>
    <x v="2459"/>
    <x v="3"/>
    <x v="0"/>
    <n v="12"/>
    <n v="148.19999999999999"/>
    <n v="32.83"/>
    <n v="1778.3999999999999"/>
  </r>
  <r>
    <s v="TXN-102460"/>
    <x v="2460"/>
    <x v="1"/>
    <x v="1"/>
    <n v="18"/>
    <n v="317.83"/>
    <n v="22.76"/>
    <n v="5720.94"/>
  </r>
  <r>
    <s v="TXN-102461"/>
    <x v="2461"/>
    <x v="3"/>
    <x v="0"/>
    <n v="12"/>
    <n v="428.76"/>
    <n v="40.630000000000003"/>
    <n v="5145.12"/>
  </r>
  <r>
    <s v="TXN-102462"/>
    <x v="2462"/>
    <x v="0"/>
    <x v="3"/>
    <n v="16"/>
    <n v="48.97"/>
    <n v="26.07"/>
    <n v="783.52"/>
  </r>
  <r>
    <s v="TXN-102463"/>
    <x v="2463"/>
    <x v="3"/>
    <x v="2"/>
    <n v="5"/>
    <n v="27.88"/>
    <n v="35.61"/>
    <n v="139.4"/>
  </r>
  <r>
    <s v="TXN-102464"/>
    <x v="2464"/>
    <x v="2"/>
    <x v="2"/>
    <n v="12"/>
    <n v="399.66"/>
    <n v="32.96"/>
    <n v="4795.92"/>
  </r>
  <r>
    <s v="TXN-102465"/>
    <x v="2465"/>
    <x v="0"/>
    <x v="0"/>
    <n v="11"/>
    <n v="340.57"/>
    <n v="36.6"/>
    <n v="3746.27"/>
  </r>
  <r>
    <s v="TXN-102466"/>
    <x v="2466"/>
    <x v="1"/>
    <x v="3"/>
    <n v="9"/>
    <n v="446.63"/>
    <n v="40.33"/>
    <n v="4019.67"/>
  </r>
  <r>
    <s v="TXN-102467"/>
    <x v="2467"/>
    <x v="2"/>
    <x v="0"/>
    <n v="18"/>
    <n v="187.91"/>
    <n v="28.07"/>
    <n v="3382.38"/>
  </r>
  <r>
    <s v="TXN-102468"/>
    <x v="2468"/>
    <x v="2"/>
    <x v="3"/>
    <n v="3"/>
    <n v="196.27"/>
    <n v="41.59"/>
    <n v="588.81000000000006"/>
  </r>
  <r>
    <s v="TXN-102469"/>
    <x v="2469"/>
    <x v="1"/>
    <x v="1"/>
    <n v="17"/>
    <n v="90.37"/>
    <n v="27.38"/>
    <n v="1536.29"/>
  </r>
  <r>
    <s v="TXN-102470"/>
    <x v="2470"/>
    <x v="1"/>
    <x v="3"/>
    <n v="14"/>
    <n v="65.84"/>
    <n v="48.05"/>
    <n v="921.76"/>
  </r>
  <r>
    <s v="TXN-102471"/>
    <x v="2471"/>
    <x v="3"/>
    <x v="3"/>
    <n v="1"/>
    <n v="266.95"/>
    <n v="38.869999999999997"/>
    <n v="266.95"/>
  </r>
  <r>
    <s v="TXN-102472"/>
    <x v="2472"/>
    <x v="0"/>
    <x v="3"/>
    <n v="17"/>
    <n v="173.78"/>
    <n v="12.7"/>
    <n v="2954.26"/>
  </r>
  <r>
    <s v="TXN-102473"/>
    <x v="2473"/>
    <x v="1"/>
    <x v="2"/>
    <n v="8"/>
    <n v="50.4"/>
    <n v="42.33"/>
    <n v="403.2"/>
  </r>
  <r>
    <s v="TXN-102474"/>
    <x v="2474"/>
    <x v="1"/>
    <x v="3"/>
    <n v="5"/>
    <n v="400.9"/>
    <n v="29.82"/>
    <n v="2004.5"/>
  </r>
  <r>
    <s v="TXN-102475"/>
    <x v="2475"/>
    <x v="0"/>
    <x v="1"/>
    <n v="5"/>
    <n v="101.69"/>
    <n v="49.3"/>
    <n v="508.45"/>
  </r>
  <r>
    <s v="TXN-102476"/>
    <x v="2476"/>
    <x v="1"/>
    <x v="1"/>
    <n v="9"/>
    <n v="340.76"/>
    <n v="37.35"/>
    <n v="3066.84"/>
  </r>
  <r>
    <s v="TXN-102477"/>
    <x v="2477"/>
    <x v="1"/>
    <x v="1"/>
    <n v="3"/>
    <n v="138.13"/>
    <n v="8.8000000000000007"/>
    <n v="414.39"/>
  </r>
  <r>
    <s v="TXN-102478"/>
    <x v="2478"/>
    <x v="3"/>
    <x v="3"/>
    <n v="19"/>
    <n v="368.71"/>
    <n v="22.77"/>
    <n v="7005.49"/>
  </r>
  <r>
    <s v="TXN-102479"/>
    <x v="2479"/>
    <x v="2"/>
    <x v="0"/>
    <n v="9"/>
    <n v="66.94"/>
    <n v="28.28"/>
    <n v="602.46"/>
  </r>
  <r>
    <s v="TXN-102480"/>
    <x v="2480"/>
    <x v="2"/>
    <x v="0"/>
    <n v="18"/>
    <n v="344.01"/>
    <n v="42.76"/>
    <n v="6192.18"/>
  </r>
  <r>
    <s v="TXN-102481"/>
    <x v="2481"/>
    <x v="2"/>
    <x v="1"/>
    <n v="16"/>
    <n v="58.13"/>
    <n v="37.82"/>
    <n v="930.08"/>
  </r>
  <r>
    <s v="TXN-102482"/>
    <x v="2482"/>
    <x v="2"/>
    <x v="2"/>
    <n v="1"/>
    <n v="209.68"/>
    <n v="21.62"/>
    <n v="209.68"/>
  </r>
  <r>
    <s v="TXN-102483"/>
    <x v="2483"/>
    <x v="1"/>
    <x v="0"/>
    <n v="2"/>
    <n v="334.42"/>
    <n v="34.4"/>
    <n v="668.84"/>
  </r>
  <r>
    <s v="TXN-102484"/>
    <x v="2484"/>
    <x v="0"/>
    <x v="3"/>
    <n v="14"/>
    <n v="90.76"/>
    <n v="30.96"/>
    <n v="1270.6400000000001"/>
  </r>
  <r>
    <s v="TXN-102485"/>
    <x v="2485"/>
    <x v="0"/>
    <x v="0"/>
    <n v="14"/>
    <n v="139.62"/>
    <n v="10.67"/>
    <n v="1954.68"/>
  </r>
  <r>
    <s v="TXN-102486"/>
    <x v="2486"/>
    <x v="3"/>
    <x v="1"/>
    <n v="1"/>
    <n v="391.24"/>
    <n v="15.57"/>
    <n v="391.24"/>
  </r>
  <r>
    <s v="TXN-102487"/>
    <x v="2487"/>
    <x v="3"/>
    <x v="2"/>
    <n v="16"/>
    <n v="400.08"/>
    <n v="20.350000000000001"/>
    <n v="6401.28"/>
  </r>
  <r>
    <s v="TXN-102488"/>
    <x v="2488"/>
    <x v="1"/>
    <x v="0"/>
    <n v="15"/>
    <n v="35.020000000000003"/>
    <n v="13.8"/>
    <n v="525.30000000000007"/>
  </r>
  <r>
    <s v="TXN-102489"/>
    <x v="2489"/>
    <x v="0"/>
    <x v="0"/>
    <n v="15"/>
    <n v="88.54"/>
    <n v="11.76"/>
    <n v="1328.1000000000001"/>
  </r>
  <r>
    <s v="TXN-102490"/>
    <x v="2490"/>
    <x v="0"/>
    <x v="1"/>
    <n v="12"/>
    <n v="66.540000000000006"/>
    <n v="7.62"/>
    <n v="798.48"/>
  </r>
  <r>
    <s v="TXN-102491"/>
    <x v="2491"/>
    <x v="2"/>
    <x v="2"/>
    <n v="16"/>
    <n v="93.58"/>
    <n v="44.29"/>
    <n v="1497.28"/>
  </r>
  <r>
    <s v="TXN-102492"/>
    <x v="2492"/>
    <x v="1"/>
    <x v="2"/>
    <n v="14"/>
    <n v="437.05"/>
    <n v="18"/>
    <n v="6118.7"/>
  </r>
  <r>
    <s v="TXN-102493"/>
    <x v="2493"/>
    <x v="1"/>
    <x v="1"/>
    <n v="15"/>
    <n v="255.19"/>
    <n v="18.059999999999999"/>
    <n v="3827.85"/>
  </r>
  <r>
    <s v="TXN-102494"/>
    <x v="2494"/>
    <x v="2"/>
    <x v="3"/>
    <n v="15"/>
    <n v="218.89"/>
    <n v="14.28"/>
    <n v="3283.35"/>
  </r>
  <r>
    <s v="TXN-102495"/>
    <x v="2495"/>
    <x v="1"/>
    <x v="0"/>
    <n v="19"/>
    <n v="443.25"/>
    <n v="26.39"/>
    <n v="8421.75"/>
  </r>
  <r>
    <s v="TXN-102496"/>
    <x v="2496"/>
    <x v="1"/>
    <x v="3"/>
    <n v="8"/>
    <n v="257.5"/>
    <n v="28.14"/>
    <n v="2060"/>
  </r>
  <r>
    <s v="TXN-102497"/>
    <x v="2497"/>
    <x v="3"/>
    <x v="0"/>
    <n v="2"/>
    <n v="302.76"/>
    <n v="14.37"/>
    <n v="605.52"/>
  </r>
  <r>
    <s v="TXN-102498"/>
    <x v="2498"/>
    <x v="0"/>
    <x v="0"/>
    <n v="2"/>
    <n v="160.09"/>
    <n v="32.39"/>
    <n v="320.18"/>
  </r>
  <r>
    <s v="TXN-102499"/>
    <x v="2499"/>
    <x v="1"/>
    <x v="3"/>
    <n v="10"/>
    <n v="181.53"/>
    <n v="37.53"/>
    <n v="1815.3"/>
  </r>
  <r>
    <s v="TXN-102500"/>
    <x v="2500"/>
    <x v="3"/>
    <x v="1"/>
    <n v="3"/>
    <n v="273.77"/>
    <n v="21.82"/>
    <n v="821.31"/>
  </r>
  <r>
    <s v="TXN-102501"/>
    <x v="2501"/>
    <x v="0"/>
    <x v="1"/>
    <n v="17"/>
    <n v="45.82"/>
    <n v="31.35"/>
    <n v="778.94"/>
  </r>
  <r>
    <s v="TXN-102502"/>
    <x v="2502"/>
    <x v="2"/>
    <x v="0"/>
    <n v="8"/>
    <n v="126.68"/>
    <n v="27.6"/>
    <n v="1013.44"/>
  </r>
  <r>
    <s v="TXN-102503"/>
    <x v="2503"/>
    <x v="3"/>
    <x v="1"/>
    <n v="4"/>
    <n v="101.01"/>
    <n v="13.8"/>
    <n v="404.04"/>
  </r>
  <r>
    <s v="TXN-102504"/>
    <x v="2504"/>
    <x v="3"/>
    <x v="0"/>
    <n v="14"/>
    <n v="22.41"/>
    <n v="37.85"/>
    <n v="313.74"/>
  </r>
  <r>
    <s v="TXN-102505"/>
    <x v="2505"/>
    <x v="0"/>
    <x v="1"/>
    <n v="10"/>
    <n v="248.78"/>
    <n v="41.07"/>
    <n v="2487.8000000000002"/>
  </r>
  <r>
    <s v="TXN-102506"/>
    <x v="2506"/>
    <x v="2"/>
    <x v="0"/>
    <n v="1"/>
    <n v="259.27999999999997"/>
    <n v="34.200000000000003"/>
    <n v="259.27999999999997"/>
  </r>
  <r>
    <s v="TXN-102507"/>
    <x v="2507"/>
    <x v="3"/>
    <x v="1"/>
    <n v="4"/>
    <n v="182.32"/>
    <n v="19.579999999999998"/>
    <n v="729.28"/>
  </r>
  <r>
    <s v="TXN-102508"/>
    <x v="2508"/>
    <x v="1"/>
    <x v="2"/>
    <n v="1"/>
    <n v="132.26"/>
    <n v="46.71"/>
    <n v="132.26"/>
  </r>
  <r>
    <s v="TXN-102509"/>
    <x v="2509"/>
    <x v="1"/>
    <x v="3"/>
    <n v="17"/>
    <n v="298.82"/>
    <n v="25.49"/>
    <n v="5079.9399999999996"/>
  </r>
  <r>
    <s v="TXN-102510"/>
    <x v="2510"/>
    <x v="1"/>
    <x v="2"/>
    <n v="17"/>
    <n v="74.010000000000005"/>
    <n v="16.96"/>
    <n v="1258.17"/>
  </r>
  <r>
    <s v="TXN-102511"/>
    <x v="2511"/>
    <x v="2"/>
    <x v="3"/>
    <n v="7"/>
    <n v="240.84"/>
    <n v="23.37"/>
    <n v="1685.88"/>
  </r>
  <r>
    <s v="TXN-102512"/>
    <x v="2512"/>
    <x v="3"/>
    <x v="3"/>
    <n v="15"/>
    <n v="349.23"/>
    <n v="36.14"/>
    <n v="5238.4500000000007"/>
  </r>
  <r>
    <s v="TXN-102513"/>
    <x v="2513"/>
    <x v="1"/>
    <x v="0"/>
    <n v="13"/>
    <n v="86.89"/>
    <n v="43.07"/>
    <n v="1129.57"/>
  </r>
  <r>
    <s v="TXN-102514"/>
    <x v="2514"/>
    <x v="2"/>
    <x v="3"/>
    <n v="2"/>
    <n v="342.79"/>
    <n v="21.05"/>
    <n v="685.58"/>
  </r>
  <r>
    <s v="TXN-102515"/>
    <x v="2515"/>
    <x v="1"/>
    <x v="2"/>
    <n v="19"/>
    <n v="346.07"/>
    <n v="15.47"/>
    <n v="6575.33"/>
  </r>
  <r>
    <s v="TXN-102516"/>
    <x v="2516"/>
    <x v="0"/>
    <x v="2"/>
    <n v="13"/>
    <n v="41.54"/>
    <n v="33.19"/>
    <n v="540.02"/>
  </r>
  <r>
    <s v="TXN-102517"/>
    <x v="2517"/>
    <x v="3"/>
    <x v="1"/>
    <n v="11"/>
    <n v="23.66"/>
    <n v="46.45"/>
    <n v="260.26"/>
  </r>
  <r>
    <s v="TXN-102518"/>
    <x v="2518"/>
    <x v="3"/>
    <x v="2"/>
    <n v="15"/>
    <n v="438.67"/>
    <n v="13.25"/>
    <n v="6580.05"/>
  </r>
  <r>
    <s v="TXN-102519"/>
    <x v="2519"/>
    <x v="2"/>
    <x v="1"/>
    <n v="10"/>
    <n v="99.52"/>
    <n v="41.14"/>
    <n v="995.19999999999993"/>
  </r>
  <r>
    <s v="TXN-102520"/>
    <x v="2520"/>
    <x v="2"/>
    <x v="3"/>
    <n v="9"/>
    <n v="372.72"/>
    <n v="26.45"/>
    <n v="3354.4800000000005"/>
  </r>
  <r>
    <s v="TXN-102521"/>
    <x v="2521"/>
    <x v="3"/>
    <x v="2"/>
    <n v="9"/>
    <n v="259.62"/>
    <n v="40.98"/>
    <n v="2336.58"/>
  </r>
  <r>
    <s v="TXN-102522"/>
    <x v="2522"/>
    <x v="1"/>
    <x v="3"/>
    <n v="1"/>
    <n v="130.41"/>
    <n v="27.75"/>
    <n v="130.41"/>
  </r>
  <r>
    <s v="TXN-102523"/>
    <x v="2523"/>
    <x v="1"/>
    <x v="2"/>
    <n v="17"/>
    <n v="71.97"/>
    <n v="21.98"/>
    <n v="1223.49"/>
  </r>
  <r>
    <s v="TXN-102524"/>
    <x v="2524"/>
    <x v="0"/>
    <x v="2"/>
    <n v="12"/>
    <n v="231.31"/>
    <n v="36.35"/>
    <n v="2775.7200000000003"/>
  </r>
  <r>
    <s v="TXN-102525"/>
    <x v="2525"/>
    <x v="1"/>
    <x v="1"/>
    <n v="10"/>
    <n v="192.5"/>
    <n v="45.53"/>
    <n v="1925"/>
  </r>
  <r>
    <s v="TXN-102526"/>
    <x v="2526"/>
    <x v="2"/>
    <x v="3"/>
    <n v="5"/>
    <n v="319.17"/>
    <n v="19.41"/>
    <n v="1595.8500000000001"/>
  </r>
  <r>
    <s v="TXN-102527"/>
    <x v="2527"/>
    <x v="2"/>
    <x v="2"/>
    <n v="18"/>
    <n v="408.36"/>
    <n v="25.73"/>
    <n v="7350.4800000000005"/>
  </r>
  <r>
    <s v="TXN-102528"/>
    <x v="2528"/>
    <x v="1"/>
    <x v="0"/>
    <n v="15"/>
    <n v="365.38"/>
    <n v="15.32"/>
    <n v="5480.7"/>
  </r>
  <r>
    <s v="TXN-102529"/>
    <x v="2529"/>
    <x v="2"/>
    <x v="3"/>
    <n v="6"/>
    <n v="134.75"/>
    <n v="13.25"/>
    <n v="808.5"/>
  </r>
  <r>
    <s v="TXN-102530"/>
    <x v="2530"/>
    <x v="3"/>
    <x v="3"/>
    <n v="7"/>
    <n v="397.4"/>
    <n v="40.01"/>
    <n v="2781.7999999999997"/>
  </r>
  <r>
    <s v="TXN-102531"/>
    <x v="2531"/>
    <x v="3"/>
    <x v="3"/>
    <n v="17"/>
    <n v="377.61"/>
    <n v="14.03"/>
    <n v="6419.37"/>
  </r>
  <r>
    <s v="TXN-102532"/>
    <x v="2532"/>
    <x v="1"/>
    <x v="1"/>
    <n v="6"/>
    <n v="419.21"/>
    <n v="40.700000000000003"/>
    <n v="2515.2599999999998"/>
  </r>
  <r>
    <s v="TXN-102533"/>
    <x v="2533"/>
    <x v="3"/>
    <x v="0"/>
    <n v="8"/>
    <n v="214.79"/>
    <n v="24.31"/>
    <n v="1718.32"/>
  </r>
  <r>
    <s v="TXN-102534"/>
    <x v="2534"/>
    <x v="3"/>
    <x v="3"/>
    <n v="12"/>
    <n v="349.45"/>
    <n v="49.78"/>
    <n v="4193.3999999999996"/>
  </r>
  <r>
    <s v="TXN-102535"/>
    <x v="2535"/>
    <x v="0"/>
    <x v="2"/>
    <n v="14"/>
    <n v="272.58"/>
    <n v="13.88"/>
    <n v="3816.12"/>
  </r>
  <r>
    <s v="TXN-102536"/>
    <x v="2536"/>
    <x v="0"/>
    <x v="2"/>
    <n v="12"/>
    <n v="150.41"/>
    <n v="9.18"/>
    <n v="1804.92"/>
  </r>
  <r>
    <s v="TXN-102537"/>
    <x v="2537"/>
    <x v="3"/>
    <x v="1"/>
    <n v="10"/>
    <n v="447.58"/>
    <n v="8.39"/>
    <n v="4475.8"/>
  </r>
  <r>
    <s v="TXN-102538"/>
    <x v="2538"/>
    <x v="1"/>
    <x v="2"/>
    <n v="15"/>
    <n v="32.14"/>
    <n v="42.59"/>
    <n v="482.1"/>
  </r>
  <r>
    <s v="TXN-102539"/>
    <x v="2539"/>
    <x v="0"/>
    <x v="3"/>
    <n v="7"/>
    <n v="86.01"/>
    <n v="24.7"/>
    <n v="602.07000000000005"/>
  </r>
  <r>
    <s v="TXN-102540"/>
    <x v="2540"/>
    <x v="2"/>
    <x v="2"/>
    <n v="9"/>
    <n v="403.31"/>
    <n v="5.14"/>
    <n v="3629.79"/>
  </r>
  <r>
    <s v="TXN-102541"/>
    <x v="2541"/>
    <x v="2"/>
    <x v="3"/>
    <n v="10"/>
    <n v="41.81"/>
    <n v="44.36"/>
    <n v="418.1"/>
  </r>
  <r>
    <s v="TXN-102542"/>
    <x v="2542"/>
    <x v="2"/>
    <x v="2"/>
    <n v="10"/>
    <n v="400.82"/>
    <n v="44.46"/>
    <n v="4008.2"/>
  </r>
  <r>
    <s v="TXN-102543"/>
    <x v="2543"/>
    <x v="1"/>
    <x v="0"/>
    <n v="16"/>
    <n v="326.26"/>
    <n v="41.29"/>
    <n v="5220.16"/>
  </r>
  <r>
    <s v="TXN-102544"/>
    <x v="2544"/>
    <x v="3"/>
    <x v="1"/>
    <n v="7"/>
    <n v="31.44"/>
    <n v="16.170000000000002"/>
    <n v="220.08"/>
  </r>
  <r>
    <s v="TXN-102545"/>
    <x v="2545"/>
    <x v="2"/>
    <x v="1"/>
    <n v="5"/>
    <n v="202.04"/>
    <n v="21.77"/>
    <n v="1010.1999999999999"/>
  </r>
  <r>
    <s v="TXN-102546"/>
    <x v="2546"/>
    <x v="1"/>
    <x v="0"/>
    <n v="3"/>
    <n v="343.32"/>
    <n v="38.520000000000003"/>
    <n v="1029.96"/>
  </r>
  <r>
    <s v="TXN-102547"/>
    <x v="2547"/>
    <x v="0"/>
    <x v="0"/>
    <n v="18"/>
    <n v="268.86"/>
    <n v="27.02"/>
    <n v="4839.4800000000005"/>
  </r>
  <r>
    <s v="TXN-102548"/>
    <x v="2548"/>
    <x v="3"/>
    <x v="1"/>
    <n v="11"/>
    <n v="422.14"/>
    <n v="11.92"/>
    <n v="4643.54"/>
  </r>
  <r>
    <s v="TXN-102549"/>
    <x v="2549"/>
    <x v="0"/>
    <x v="0"/>
    <n v="15"/>
    <n v="392.49"/>
    <n v="15.93"/>
    <n v="5887.35"/>
  </r>
  <r>
    <s v="TXN-102550"/>
    <x v="2550"/>
    <x v="1"/>
    <x v="3"/>
    <n v="5"/>
    <n v="160.04"/>
    <n v="48.77"/>
    <n v="800.19999999999993"/>
  </r>
  <r>
    <s v="TXN-102551"/>
    <x v="2551"/>
    <x v="2"/>
    <x v="2"/>
    <n v="12"/>
    <n v="52.27"/>
    <n v="11.8"/>
    <n v="627.24"/>
  </r>
  <r>
    <s v="TXN-102552"/>
    <x v="2552"/>
    <x v="2"/>
    <x v="1"/>
    <n v="4"/>
    <n v="425.78"/>
    <n v="37.67"/>
    <n v="1703.12"/>
  </r>
  <r>
    <s v="TXN-102553"/>
    <x v="2553"/>
    <x v="1"/>
    <x v="0"/>
    <n v="15"/>
    <n v="240.26"/>
    <n v="26.51"/>
    <n v="3603.8999999999996"/>
  </r>
  <r>
    <s v="TXN-102554"/>
    <x v="2554"/>
    <x v="2"/>
    <x v="3"/>
    <n v="9"/>
    <n v="47.83"/>
    <n v="38.69"/>
    <n v="430.46999999999997"/>
  </r>
  <r>
    <s v="TXN-102555"/>
    <x v="2555"/>
    <x v="3"/>
    <x v="1"/>
    <n v="7"/>
    <n v="370.3"/>
    <n v="34.75"/>
    <n v="2592.1"/>
  </r>
  <r>
    <s v="TXN-102556"/>
    <x v="2556"/>
    <x v="1"/>
    <x v="0"/>
    <n v="10"/>
    <n v="392.87"/>
    <n v="24.76"/>
    <n v="3928.7"/>
  </r>
  <r>
    <s v="TXN-102557"/>
    <x v="2557"/>
    <x v="0"/>
    <x v="1"/>
    <n v="13"/>
    <n v="293.33"/>
    <n v="20.93"/>
    <n v="3813.29"/>
  </r>
  <r>
    <s v="TXN-102558"/>
    <x v="2558"/>
    <x v="1"/>
    <x v="0"/>
    <n v="8"/>
    <n v="209.94"/>
    <n v="38.950000000000003"/>
    <n v="1679.52"/>
  </r>
  <r>
    <s v="TXN-102559"/>
    <x v="2559"/>
    <x v="3"/>
    <x v="1"/>
    <n v="12"/>
    <n v="303.20999999999998"/>
    <n v="19.54"/>
    <n v="3638.5199999999995"/>
  </r>
  <r>
    <s v="TXN-102560"/>
    <x v="2560"/>
    <x v="3"/>
    <x v="3"/>
    <n v="19"/>
    <n v="322.55"/>
    <n v="40.450000000000003"/>
    <n v="6128.45"/>
  </r>
  <r>
    <s v="TXN-102561"/>
    <x v="2561"/>
    <x v="1"/>
    <x v="3"/>
    <n v="1"/>
    <n v="403.52"/>
    <n v="35.590000000000003"/>
    <n v="403.52"/>
  </r>
  <r>
    <s v="TXN-102562"/>
    <x v="2562"/>
    <x v="1"/>
    <x v="2"/>
    <n v="16"/>
    <n v="430.82"/>
    <n v="31"/>
    <n v="6893.12"/>
  </r>
  <r>
    <s v="TXN-102563"/>
    <x v="2563"/>
    <x v="2"/>
    <x v="1"/>
    <n v="17"/>
    <n v="238.97"/>
    <n v="21.6"/>
    <n v="4062.49"/>
  </r>
  <r>
    <s v="TXN-102564"/>
    <x v="2564"/>
    <x v="3"/>
    <x v="2"/>
    <n v="18"/>
    <n v="362.45"/>
    <n v="14.23"/>
    <n v="6524.0999999999995"/>
  </r>
  <r>
    <s v="TXN-102565"/>
    <x v="2565"/>
    <x v="1"/>
    <x v="1"/>
    <n v="11"/>
    <n v="434.58"/>
    <n v="36.97"/>
    <n v="4780.38"/>
  </r>
  <r>
    <s v="TXN-102566"/>
    <x v="2566"/>
    <x v="1"/>
    <x v="0"/>
    <n v="18"/>
    <n v="81.22"/>
    <n v="9.11"/>
    <n v="1461.96"/>
  </r>
  <r>
    <s v="TXN-102567"/>
    <x v="2567"/>
    <x v="3"/>
    <x v="0"/>
    <n v="7"/>
    <n v="23.44"/>
    <n v="48.67"/>
    <n v="164.08"/>
  </r>
  <r>
    <s v="TXN-102568"/>
    <x v="2568"/>
    <x v="1"/>
    <x v="2"/>
    <n v="18"/>
    <n v="393.06"/>
    <n v="49.04"/>
    <n v="7075.08"/>
  </r>
  <r>
    <s v="TXN-102569"/>
    <x v="2569"/>
    <x v="2"/>
    <x v="1"/>
    <n v="8"/>
    <n v="100.35"/>
    <n v="10.86"/>
    <n v="802.8"/>
  </r>
  <r>
    <s v="TXN-102570"/>
    <x v="2570"/>
    <x v="3"/>
    <x v="2"/>
    <n v="6"/>
    <n v="33.96"/>
    <n v="9.68"/>
    <n v="203.76"/>
  </r>
  <r>
    <s v="TXN-102571"/>
    <x v="2571"/>
    <x v="2"/>
    <x v="3"/>
    <n v="7"/>
    <n v="85.06"/>
    <n v="23.57"/>
    <n v="595.42000000000007"/>
  </r>
  <r>
    <s v="TXN-102572"/>
    <x v="2572"/>
    <x v="2"/>
    <x v="2"/>
    <n v="10"/>
    <n v="182.4"/>
    <n v="48.37"/>
    <n v="1824"/>
  </r>
  <r>
    <s v="TXN-102573"/>
    <x v="2573"/>
    <x v="2"/>
    <x v="2"/>
    <n v="11"/>
    <n v="110.77"/>
    <n v="23.01"/>
    <n v="1218.47"/>
  </r>
  <r>
    <s v="TXN-102574"/>
    <x v="2574"/>
    <x v="2"/>
    <x v="0"/>
    <n v="13"/>
    <n v="148.13"/>
    <n v="21.37"/>
    <n v="1925.69"/>
  </r>
  <r>
    <s v="TXN-102575"/>
    <x v="2575"/>
    <x v="3"/>
    <x v="2"/>
    <n v="9"/>
    <n v="439.27"/>
    <n v="36.659999999999997"/>
    <n v="3953.43"/>
  </r>
  <r>
    <s v="TXN-102576"/>
    <x v="2576"/>
    <x v="2"/>
    <x v="1"/>
    <n v="7"/>
    <n v="321.56"/>
    <n v="13.04"/>
    <n v="2250.92"/>
  </r>
  <r>
    <s v="TXN-102577"/>
    <x v="2577"/>
    <x v="2"/>
    <x v="0"/>
    <n v="9"/>
    <n v="324.95"/>
    <n v="21.35"/>
    <n v="2924.5499999999997"/>
  </r>
  <r>
    <s v="TXN-102578"/>
    <x v="2578"/>
    <x v="1"/>
    <x v="2"/>
    <n v="13"/>
    <n v="56.64"/>
    <n v="18.11"/>
    <n v="736.32"/>
  </r>
  <r>
    <s v="TXN-102579"/>
    <x v="2579"/>
    <x v="3"/>
    <x v="3"/>
    <n v="3"/>
    <n v="333.6"/>
    <n v="32.07"/>
    <n v="1000.8000000000001"/>
  </r>
  <r>
    <s v="TXN-102580"/>
    <x v="2580"/>
    <x v="3"/>
    <x v="2"/>
    <n v="3"/>
    <n v="336.75"/>
    <n v="12.32"/>
    <n v="1010.25"/>
  </r>
  <r>
    <s v="TXN-102581"/>
    <x v="2581"/>
    <x v="0"/>
    <x v="2"/>
    <n v="1"/>
    <n v="302.16000000000003"/>
    <n v="29.69"/>
    <n v="302.16000000000003"/>
  </r>
  <r>
    <s v="TXN-102582"/>
    <x v="2582"/>
    <x v="3"/>
    <x v="2"/>
    <n v="2"/>
    <n v="114.76"/>
    <n v="43.59"/>
    <n v="229.52"/>
  </r>
  <r>
    <s v="TXN-102583"/>
    <x v="2583"/>
    <x v="3"/>
    <x v="0"/>
    <n v="3"/>
    <n v="199.31"/>
    <n v="28.14"/>
    <n v="597.93000000000006"/>
  </r>
  <r>
    <s v="TXN-102584"/>
    <x v="2584"/>
    <x v="0"/>
    <x v="1"/>
    <n v="15"/>
    <n v="383.21"/>
    <n v="35.76"/>
    <n v="5748.15"/>
  </r>
  <r>
    <s v="TXN-102585"/>
    <x v="2585"/>
    <x v="3"/>
    <x v="3"/>
    <n v="6"/>
    <n v="306.7"/>
    <n v="8.39"/>
    <n v="1840.1999999999998"/>
  </r>
  <r>
    <s v="TXN-102586"/>
    <x v="2586"/>
    <x v="3"/>
    <x v="2"/>
    <n v="13"/>
    <n v="333.89"/>
    <n v="25.21"/>
    <n v="4340.57"/>
  </r>
  <r>
    <s v="TXN-102587"/>
    <x v="2587"/>
    <x v="3"/>
    <x v="1"/>
    <n v="1"/>
    <n v="270.70999999999998"/>
    <n v="9.27"/>
    <n v="270.70999999999998"/>
  </r>
  <r>
    <s v="TXN-102588"/>
    <x v="2588"/>
    <x v="3"/>
    <x v="1"/>
    <n v="19"/>
    <n v="210.85"/>
    <n v="31.98"/>
    <n v="4006.15"/>
  </r>
  <r>
    <s v="TXN-102589"/>
    <x v="2589"/>
    <x v="0"/>
    <x v="0"/>
    <n v="1"/>
    <n v="345.31"/>
    <n v="17.649999999999999"/>
    <n v="345.31"/>
  </r>
  <r>
    <s v="TXN-102590"/>
    <x v="2590"/>
    <x v="3"/>
    <x v="3"/>
    <n v="2"/>
    <n v="45.01"/>
    <n v="17.93"/>
    <n v="90.02"/>
  </r>
  <r>
    <s v="TXN-102591"/>
    <x v="2591"/>
    <x v="3"/>
    <x v="0"/>
    <n v="15"/>
    <n v="307.99"/>
    <n v="8.4499999999999993"/>
    <n v="4619.8500000000004"/>
  </r>
  <r>
    <s v="TXN-102592"/>
    <x v="2592"/>
    <x v="0"/>
    <x v="1"/>
    <n v="14"/>
    <n v="448.79"/>
    <n v="18.96"/>
    <n v="6283.06"/>
  </r>
  <r>
    <s v="TXN-102593"/>
    <x v="2593"/>
    <x v="1"/>
    <x v="1"/>
    <n v="19"/>
    <n v="354.49"/>
    <n v="27.8"/>
    <n v="6735.31"/>
  </r>
  <r>
    <s v="TXN-102594"/>
    <x v="2594"/>
    <x v="2"/>
    <x v="1"/>
    <n v="11"/>
    <n v="141.75"/>
    <n v="31.31"/>
    <n v="1559.25"/>
  </r>
  <r>
    <s v="TXN-102595"/>
    <x v="2595"/>
    <x v="1"/>
    <x v="0"/>
    <n v="15"/>
    <n v="136.21"/>
    <n v="8"/>
    <n v="2043.15"/>
  </r>
  <r>
    <s v="TXN-102596"/>
    <x v="2596"/>
    <x v="0"/>
    <x v="3"/>
    <n v="6"/>
    <n v="305.41000000000003"/>
    <n v="34.32"/>
    <n v="1832.46"/>
  </r>
  <r>
    <s v="TXN-102597"/>
    <x v="2597"/>
    <x v="2"/>
    <x v="2"/>
    <n v="9"/>
    <n v="404.75"/>
    <n v="27"/>
    <n v="3642.75"/>
  </r>
  <r>
    <s v="TXN-102598"/>
    <x v="2598"/>
    <x v="0"/>
    <x v="0"/>
    <n v="5"/>
    <n v="266.62"/>
    <n v="29.16"/>
    <n v="1333.1"/>
  </r>
  <r>
    <s v="TXN-102599"/>
    <x v="2599"/>
    <x v="0"/>
    <x v="1"/>
    <n v="2"/>
    <n v="244.66"/>
    <n v="42.48"/>
    <n v="489.32"/>
  </r>
  <r>
    <s v="TXN-102600"/>
    <x v="2600"/>
    <x v="3"/>
    <x v="0"/>
    <n v="6"/>
    <n v="85.19"/>
    <n v="20.399999999999999"/>
    <n v="511.14"/>
  </r>
  <r>
    <s v="TXN-102601"/>
    <x v="2601"/>
    <x v="2"/>
    <x v="1"/>
    <n v="18"/>
    <n v="326.37"/>
    <n v="12.83"/>
    <n v="5874.66"/>
  </r>
  <r>
    <s v="TXN-102602"/>
    <x v="2602"/>
    <x v="3"/>
    <x v="2"/>
    <n v="19"/>
    <n v="320.64999999999998"/>
    <n v="29.83"/>
    <n v="6092.3499999999995"/>
  </r>
  <r>
    <s v="TXN-102603"/>
    <x v="2603"/>
    <x v="2"/>
    <x v="2"/>
    <n v="9"/>
    <n v="435.64"/>
    <n v="47.53"/>
    <n v="3920.7599999999998"/>
  </r>
  <r>
    <s v="TXN-102604"/>
    <x v="2604"/>
    <x v="0"/>
    <x v="3"/>
    <n v="6"/>
    <n v="145.93"/>
    <n v="28.3"/>
    <n v="875.58"/>
  </r>
  <r>
    <s v="TXN-102605"/>
    <x v="2605"/>
    <x v="0"/>
    <x v="1"/>
    <n v="14"/>
    <n v="344.18"/>
    <n v="42.44"/>
    <n v="4818.5200000000004"/>
  </r>
  <r>
    <s v="TXN-102606"/>
    <x v="2606"/>
    <x v="1"/>
    <x v="3"/>
    <n v="13"/>
    <n v="204.1"/>
    <n v="39.07"/>
    <n v="2653.2999999999997"/>
  </r>
  <r>
    <s v="TXN-102607"/>
    <x v="2607"/>
    <x v="2"/>
    <x v="3"/>
    <n v="11"/>
    <n v="258.16000000000003"/>
    <n v="28.32"/>
    <n v="2839.76"/>
  </r>
  <r>
    <s v="TXN-102608"/>
    <x v="2608"/>
    <x v="3"/>
    <x v="2"/>
    <n v="12"/>
    <n v="370.25"/>
    <n v="34.14"/>
    <n v="4443"/>
  </r>
  <r>
    <s v="TXN-102609"/>
    <x v="2609"/>
    <x v="1"/>
    <x v="0"/>
    <n v="19"/>
    <n v="111.96"/>
    <n v="23.3"/>
    <n v="2127.2399999999998"/>
  </r>
  <r>
    <s v="TXN-102610"/>
    <x v="2610"/>
    <x v="1"/>
    <x v="0"/>
    <n v="19"/>
    <n v="164.48"/>
    <n v="28.88"/>
    <n v="3125.12"/>
  </r>
  <r>
    <s v="TXN-102611"/>
    <x v="2611"/>
    <x v="1"/>
    <x v="3"/>
    <n v="19"/>
    <n v="351.5"/>
    <n v="27.83"/>
    <n v="6678.5"/>
  </r>
  <r>
    <s v="TXN-102612"/>
    <x v="2612"/>
    <x v="3"/>
    <x v="2"/>
    <n v="13"/>
    <n v="263.36"/>
    <n v="36.909999999999997"/>
    <n v="3423.6800000000003"/>
  </r>
  <r>
    <s v="TXN-102613"/>
    <x v="2613"/>
    <x v="1"/>
    <x v="1"/>
    <n v="14"/>
    <n v="55.66"/>
    <n v="23.45"/>
    <n v="779.24"/>
  </r>
  <r>
    <s v="TXN-102614"/>
    <x v="2614"/>
    <x v="3"/>
    <x v="0"/>
    <n v="18"/>
    <n v="202.42"/>
    <n v="9.49"/>
    <n v="3643.56"/>
  </r>
  <r>
    <s v="TXN-102615"/>
    <x v="2615"/>
    <x v="1"/>
    <x v="3"/>
    <n v="12"/>
    <n v="270.39"/>
    <n v="40.49"/>
    <n v="3244.68"/>
  </r>
  <r>
    <s v="TXN-102616"/>
    <x v="2616"/>
    <x v="3"/>
    <x v="0"/>
    <n v="4"/>
    <n v="410.69"/>
    <n v="35.82"/>
    <n v="1642.76"/>
  </r>
  <r>
    <s v="TXN-102617"/>
    <x v="2617"/>
    <x v="0"/>
    <x v="0"/>
    <n v="10"/>
    <n v="97.4"/>
    <n v="47.76"/>
    <n v="974"/>
  </r>
  <r>
    <s v="TXN-102618"/>
    <x v="2618"/>
    <x v="0"/>
    <x v="1"/>
    <n v="17"/>
    <n v="365.69"/>
    <n v="24.29"/>
    <n v="6216.73"/>
  </r>
  <r>
    <s v="TXN-102619"/>
    <x v="2619"/>
    <x v="0"/>
    <x v="2"/>
    <n v="4"/>
    <n v="72.260000000000005"/>
    <n v="8.52"/>
    <n v="289.04000000000002"/>
  </r>
  <r>
    <s v="TXN-102620"/>
    <x v="2620"/>
    <x v="0"/>
    <x v="1"/>
    <n v="12"/>
    <n v="120.75"/>
    <n v="10.47"/>
    <n v="1449"/>
  </r>
  <r>
    <s v="TXN-102621"/>
    <x v="2621"/>
    <x v="0"/>
    <x v="2"/>
    <n v="13"/>
    <n v="121.23"/>
    <n v="39.799999999999997"/>
    <n v="1575.99"/>
  </r>
  <r>
    <s v="TXN-102622"/>
    <x v="2622"/>
    <x v="1"/>
    <x v="0"/>
    <n v="4"/>
    <n v="396.76"/>
    <n v="8.0500000000000007"/>
    <n v="1587.04"/>
  </r>
  <r>
    <s v="TXN-102623"/>
    <x v="2623"/>
    <x v="1"/>
    <x v="3"/>
    <n v="10"/>
    <n v="101.97"/>
    <n v="45.85"/>
    <n v="1019.7"/>
  </r>
  <r>
    <s v="TXN-102624"/>
    <x v="2624"/>
    <x v="1"/>
    <x v="1"/>
    <n v="3"/>
    <n v="357.43"/>
    <n v="17.670000000000002"/>
    <n v="1072.29"/>
  </r>
  <r>
    <s v="TXN-102625"/>
    <x v="2625"/>
    <x v="3"/>
    <x v="2"/>
    <n v="15"/>
    <n v="216.15"/>
    <n v="45.45"/>
    <n v="3242.25"/>
  </r>
  <r>
    <s v="TXN-102626"/>
    <x v="2626"/>
    <x v="3"/>
    <x v="0"/>
    <n v="2"/>
    <n v="449.6"/>
    <n v="39.81"/>
    <n v="899.2"/>
  </r>
  <r>
    <s v="TXN-102627"/>
    <x v="2627"/>
    <x v="3"/>
    <x v="2"/>
    <n v="17"/>
    <n v="380.09"/>
    <n v="44.2"/>
    <n v="6461.53"/>
  </r>
  <r>
    <s v="TXN-102628"/>
    <x v="2628"/>
    <x v="3"/>
    <x v="2"/>
    <n v="6"/>
    <n v="336.9"/>
    <n v="14.63"/>
    <n v="2021.3999999999999"/>
  </r>
  <r>
    <s v="TXN-102629"/>
    <x v="2629"/>
    <x v="0"/>
    <x v="2"/>
    <n v="8"/>
    <n v="393.83"/>
    <n v="31.81"/>
    <n v="3150.64"/>
  </r>
  <r>
    <s v="TXN-102630"/>
    <x v="2630"/>
    <x v="0"/>
    <x v="0"/>
    <n v="3"/>
    <n v="290.99"/>
    <n v="9.2100000000000009"/>
    <n v="872.97"/>
  </r>
  <r>
    <s v="TXN-102631"/>
    <x v="2631"/>
    <x v="0"/>
    <x v="3"/>
    <n v="18"/>
    <n v="382.07"/>
    <n v="14.1"/>
    <n v="6877.26"/>
  </r>
  <r>
    <s v="TXN-102632"/>
    <x v="2632"/>
    <x v="2"/>
    <x v="3"/>
    <n v="1"/>
    <n v="128.96"/>
    <n v="18.95"/>
    <n v="128.96"/>
  </r>
  <r>
    <s v="TXN-102633"/>
    <x v="2633"/>
    <x v="1"/>
    <x v="3"/>
    <n v="16"/>
    <n v="57.95"/>
    <n v="38.340000000000003"/>
    <n v="927.2"/>
  </r>
  <r>
    <s v="TXN-102634"/>
    <x v="2634"/>
    <x v="3"/>
    <x v="2"/>
    <n v="7"/>
    <n v="283.12"/>
    <n v="6.11"/>
    <n v="1981.8400000000001"/>
  </r>
  <r>
    <s v="TXN-102635"/>
    <x v="2635"/>
    <x v="3"/>
    <x v="0"/>
    <n v="3"/>
    <n v="204.37"/>
    <n v="45.64"/>
    <n v="613.11"/>
  </r>
  <r>
    <s v="TXN-102636"/>
    <x v="2636"/>
    <x v="0"/>
    <x v="2"/>
    <n v="4"/>
    <n v="200.79"/>
    <n v="8.19"/>
    <n v="803.16"/>
  </r>
  <r>
    <s v="TXN-102637"/>
    <x v="2637"/>
    <x v="3"/>
    <x v="3"/>
    <n v="9"/>
    <n v="244.37"/>
    <n v="21.94"/>
    <n v="2199.33"/>
  </r>
  <r>
    <s v="TXN-102638"/>
    <x v="2638"/>
    <x v="3"/>
    <x v="3"/>
    <n v="5"/>
    <n v="172.52"/>
    <n v="8.65"/>
    <n v="862.6"/>
  </r>
  <r>
    <s v="TXN-102639"/>
    <x v="2639"/>
    <x v="1"/>
    <x v="0"/>
    <n v="19"/>
    <n v="287.52"/>
    <n v="39.6"/>
    <n v="5462.8799999999992"/>
  </r>
  <r>
    <s v="TXN-102640"/>
    <x v="2640"/>
    <x v="0"/>
    <x v="2"/>
    <n v="15"/>
    <n v="28.78"/>
    <n v="11.36"/>
    <n v="431.70000000000005"/>
  </r>
  <r>
    <s v="TXN-102641"/>
    <x v="2641"/>
    <x v="1"/>
    <x v="1"/>
    <n v="8"/>
    <n v="436.92"/>
    <n v="44.81"/>
    <n v="3495.36"/>
  </r>
  <r>
    <s v="TXN-102642"/>
    <x v="2642"/>
    <x v="2"/>
    <x v="1"/>
    <n v="6"/>
    <n v="417.29"/>
    <n v="28.86"/>
    <n v="2503.7400000000002"/>
  </r>
  <r>
    <s v="TXN-102643"/>
    <x v="2643"/>
    <x v="2"/>
    <x v="3"/>
    <n v="18"/>
    <n v="421.87"/>
    <n v="47.68"/>
    <n v="7593.66"/>
  </r>
  <r>
    <s v="TXN-102644"/>
    <x v="2644"/>
    <x v="2"/>
    <x v="0"/>
    <n v="19"/>
    <n v="174.09"/>
    <n v="18.07"/>
    <n v="3307.71"/>
  </r>
  <r>
    <s v="TXN-102645"/>
    <x v="2645"/>
    <x v="0"/>
    <x v="2"/>
    <n v="15"/>
    <n v="246.61"/>
    <n v="25.44"/>
    <n v="3699.15"/>
  </r>
  <r>
    <s v="TXN-102646"/>
    <x v="2646"/>
    <x v="3"/>
    <x v="2"/>
    <n v="7"/>
    <n v="430.07"/>
    <n v="36.24"/>
    <n v="3010.49"/>
  </r>
  <r>
    <s v="TXN-102647"/>
    <x v="2647"/>
    <x v="0"/>
    <x v="3"/>
    <n v="10"/>
    <n v="407.57"/>
    <n v="42.44"/>
    <n v="4075.7"/>
  </r>
  <r>
    <s v="TXN-102648"/>
    <x v="2648"/>
    <x v="0"/>
    <x v="3"/>
    <n v="6"/>
    <n v="358.86"/>
    <n v="23.96"/>
    <n v="2153.16"/>
  </r>
  <r>
    <s v="TXN-102649"/>
    <x v="2649"/>
    <x v="3"/>
    <x v="2"/>
    <n v="14"/>
    <n v="192.49"/>
    <n v="45.16"/>
    <n v="2694.86"/>
  </r>
  <r>
    <s v="TXN-102650"/>
    <x v="2650"/>
    <x v="1"/>
    <x v="2"/>
    <n v="17"/>
    <n v="260.70999999999998"/>
    <n v="10.31"/>
    <n v="4432.07"/>
  </r>
  <r>
    <s v="TXN-102651"/>
    <x v="2651"/>
    <x v="2"/>
    <x v="3"/>
    <n v="9"/>
    <n v="360.02"/>
    <n v="36.89"/>
    <n v="3240.18"/>
  </r>
  <r>
    <s v="TXN-102652"/>
    <x v="2652"/>
    <x v="1"/>
    <x v="2"/>
    <n v="19"/>
    <n v="134.12"/>
    <n v="20.67"/>
    <n v="2548.2800000000002"/>
  </r>
  <r>
    <s v="TXN-102653"/>
    <x v="2653"/>
    <x v="2"/>
    <x v="1"/>
    <n v="5"/>
    <n v="287.69"/>
    <n v="9.56"/>
    <n v="1438.45"/>
  </r>
  <r>
    <s v="TXN-102654"/>
    <x v="2654"/>
    <x v="0"/>
    <x v="3"/>
    <n v="7"/>
    <n v="375.24"/>
    <n v="22.4"/>
    <n v="2626.6800000000003"/>
  </r>
  <r>
    <s v="TXN-102655"/>
    <x v="2655"/>
    <x v="2"/>
    <x v="2"/>
    <n v="19"/>
    <n v="322.89"/>
    <n v="44.61"/>
    <n v="6134.91"/>
  </r>
  <r>
    <s v="TXN-102656"/>
    <x v="2656"/>
    <x v="0"/>
    <x v="3"/>
    <n v="7"/>
    <n v="223.83"/>
    <n v="49.12"/>
    <n v="1566.8100000000002"/>
  </r>
  <r>
    <s v="TXN-102657"/>
    <x v="2657"/>
    <x v="1"/>
    <x v="0"/>
    <n v="2"/>
    <n v="269.51"/>
    <n v="22.68"/>
    <n v="539.02"/>
  </r>
  <r>
    <s v="TXN-102658"/>
    <x v="2658"/>
    <x v="0"/>
    <x v="3"/>
    <n v="16"/>
    <n v="445.08"/>
    <n v="44.89"/>
    <n v="7121.28"/>
  </r>
  <r>
    <s v="TXN-102659"/>
    <x v="2659"/>
    <x v="1"/>
    <x v="3"/>
    <n v="13"/>
    <n v="277.06"/>
    <n v="27.93"/>
    <n v="3601.78"/>
  </r>
  <r>
    <s v="TXN-102660"/>
    <x v="2660"/>
    <x v="3"/>
    <x v="0"/>
    <n v="8"/>
    <n v="356.85"/>
    <n v="37.270000000000003"/>
    <n v="2854.8"/>
  </r>
  <r>
    <s v="TXN-102661"/>
    <x v="2661"/>
    <x v="3"/>
    <x v="1"/>
    <n v="6"/>
    <n v="331.21"/>
    <n v="7.04"/>
    <n v="1987.2599999999998"/>
  </r>
  <r>
    <s v="TXN-102662"/>
    <x v="2662"/>
    <x v="3"/>
    <x v="2"/>
    <n v="6"/>
    <n v="320.3"/>
    <n v="30.08"/>
    <n v="1921.8000000000002"/>
  </r>
  <r>
    <s v="TXN-102663"/>
    <x v="2663"/>
    <x v="0"/>
    <x v="0"/>
    <n v="9"/>
    <n v="326.76"/>
    <n v="8.16"/>
    <n v="2940.84"/>
  </r>
  <r>
    <s v="TXN-102664"/>
    <x v="2664"/>
    <x v="3"/>
    <x v="3"/>
    <n v="4"/>
    <n v="212.94"/>
    <n v="17.09"/>
    <n v="851.76"/>
  </r>
  <r>
    <s v="TXN-102665"/>
    <x v="2665"/>
    <x v="2"/>
    <x v="2"/>
    <n v="11"/>
    <n v="221.52"/>
    <n v="30.51"/>
    <n v="2436.7200000000003"/>
  </r>
  <r>
    <s v="TXN-102666"/>
    <x v="2666"/>
    <x v="1"/>
    <x v="0"/>
    <n v="5"/>
    <n v="218.79"/>
    <n v="41.32"/>
    <n v="1093.95"/>
  </r>
  <r>
    <s v="TXN-102667"/>
    <x v="2667"/>
    <x v="1"/>
    <x v="2"/>
    <n v="17"/>
    <n v="29.95"/>
    <n v="30.24"/>
    <n v="509.15"/>
  </r>
  <r>
    <s v="TXN-102668"/>
    <x v="2668"/>
    <x v="2"/>
    <x v="2"/>
    <n v="7"/>
    <n v="120.24"/>
    <n v="47.13"/>
    <n v="841.68"/>
  </r>
  <r>
    <s v="TXN-102669"/>
    <x v="2669"/>
    <x v="0"/>
    <x v="0"/>
    <n v="15"/>
    <n v="82.66"/>
    <n v="41.46"/>
    <n v="1239.8999999999999"/>
  </r>
  <r>
    <s v="TXN-102670"/>
    <x v="2670"/>
    <x v="0"/>
    <x v="2"/>
    <n v="15"/>
    <n v="400.66"/>
    <n v="12.03"/>
    <n v="6009.9000000000005"/>
  </r>
  <r>
    <s v="TXN-102671"/>
    <x v="2671"/>
    <x v="1"/>
    <x v="1"/>
    <n v="14"/>
    <n v="134.97"/>
    <n v="22.5"/>
    <n v="1889.58"/>
  </r>
  <r>
    <s v="TXN-102672"/>
    <x v="2672"/>
    <x v="3"/>
    <x v="0"/>
    <n v="13"/>
    <n v="75.650000000000006"/>
    <n v="35.08"/>
    <n v="983.45"/>
  </r>
  <r>
    <s v="TXN-102673"/>
    <x v="2673"/>
    <x v="0"/>
    <x v="1"/>
    <n v="11"/>
    <n v="67.540000000000006"/>
    <n v="47.23"/>
    <n v="742.94"/>
  </r>
  <r>
    <s v="TXN-102674"/>
    <x v="2674"/>
    <x v="0"/>
    <x v="3"/>
    <n v="13"/>
    <n v="319.64999999999998"/>
    <n v="49.45"/>
    <n v="4155.45"/>
  </r>
  <r>
    <s v="TXN-102675"/>
    <x v="2675"/>
    <x v="2"/>
    <x v="2"/>
    <n v="9"/>
    <n v="18.14"/>
    <n v="39.340000000000003"/>
    <n v="163.26"/>
  </r>
  <r>
    <s v="TXN-102676"/>
    <x v="2676"/>
    <x v="2"/>
    <x v="3"/>
    <n v="10"/>
    <n v="220.28"/>
    <n v="30.82"/>
    <n v="2202.8000000000002"/>
  </r>
  <r>
    <s v="TXN-102677"/>
    <x v="2677"/>
    <x v="3"/>
    <x v="3"/>
    <n v="4"/>
    <n v="67.150000000000006"/>
    <n v="39.049999999999997"/>
    <n v="268.60000000000002"/>
  </r>
  <r>
    <s v="TXN-102678"/>
    <x v="2678"/>
    <x v="0"/>
    <x v="2"/>
    <n v="17"/>
    <n v="384.68"/>
    <n v="17.3"/>
    <n v="6539.56"/>
  </r>
  <r>
    <s v="TXN-102679"/>
    <x v="2679"/>
    <x v="0"/>
    <x v="0"/>
    <n v="14"/>
    <n v="431.95"/>
    <n v="17.760000000000002"/>
    <n v="6047.3"/>
  </r>
  <r>
    <s v="TXN-102680"/>
    <x v="2680"/>
    <x v="2"/>
    <x v="2"/>
    <n v="18"/>
    <n v="432.08"/>
    <n v="34.450000000000003"/>
    <n v="7777.44"/>
  </r>
  <r>
    <s v="TXN-102681"/>
    <x v="2681"/>
    <x v="0"/>
    <x v="3"/>
    <n v="11"/>
    <n v="207.53"/>
    <n v="44.23"/>
    <n v="2282.83"/>
  </r>
  <r>
    <s v="TXN-102682"/>
    <x v="2682"/>
    <x v="1"/>
    <x v="3"/>
    <n v="16"/>
    <n v="295.54000000000002"/>
    <n v="48.64"/>
    <n v="4728.6400000000003"/>
  </r>
  <r>
    <s v="TXN-102683"/>
    <x v="2683"/>
    <x v="2"/>
    <x v="0"/>
    <n v="1"/>
    <n v="276.07"/>
    <n v="20.36"/>
    <n v="276.07"/>
  </r>
  <r>
    <s v="TXN-102684"/>
    <x v="2684"/>
    <x v="3"/>
    <x v="2"/>
    <n v="7"/>
    <n v="167.59"/>
    <n v="40.840000000000003"/>
    <n v="1173.1300000000001"/>
  </r>
  <r>
    <s v="TXN-102685"/>
    <x v="2685"/>
    <x v="2"/>
    <x v="3"/>
    <n v="10"/>
    <n v="208.45"/>
    <n v="43.32"/>
    <n v="2084.5"/>
  </r>
  <r>
    <s v="TXN-102686"/>
    <x v="2686"/>
    <x v="0"/>
    <x v="1"/>
    <n v="9"/>
    <n v="43.45"/>
    <n v="33.04"/>
    <n v="391.05"/>
  </r>
  <r>
    <s v="TXN-102687"/>
    <x v="2687"/>
    <x v="3"/>
    <x v="3"/>
    <n v="3"/>
    <n v="361.23"/>
    <n v="20.64"/>
    <n v="1083.69"/>
  </r>
  <r>
    <s v="TXN-102688"/>
    <x v="2688"/>
    <x v="2"/>
    <x v="3"/>
    <n v="14"/>
    <n v="120.13"/>
    <n v="32.86"/>
    <n v="1681.82"/>
  </r>
  <r>
    <s v="TXN-102689"/>
    <x v="2689"/>
    <x v="1"/>
    <x v="0"/>
    <n v="15"/>
    <n v="215.6"/>
    <n v="31.3"/>
    <n v="3234"/>
  </r>
  <r>
    <s v="TXN-102690"/>
    <x v="2690"/>
    <x v="1"/>
    <x v="1"/>
    <n v="2"/>
    <n v="224.33"/>
    <n v="32.29"/>
    <n v="448.66"/>
  </r>
  <r>
    <s v="TXN-102691"/>
    <x v="2691"/>
    <x v="2"/>
    <x v="3"/>
    <n v="14"/>
    <n v="259.13"/>
    <n v="32.869999999999997"/>
    <n v="3627.8199999999997"/>
  </r>
  <r>
    <s v="TXN-102692"/>
    <x v="2692"/>
    <x v="1"/>
    <x v="3"/>
    <n v="16"/>
    <n v="370.87"/>
    <n v="43.12"/>
    <n v="5933.92"/>
  </r>
  <r>
    <s v="TXN-102693"/>
    <x v="2693"/>
    <x v="1"/>
    <x v="1"/>
    <n v="7"/>
    <n v="316.12"/>
    <n v="12.65"/>
    <n v="2212.84"/>
  </r>
  <r>
    <s v="TXN-102694"/>
    <x v="2694"/>
    <x v="1"/>
    <x v="2"/>
    <n v="4"/>
    <n v="303.60000000000002"/>
    <n v="21.53"/>
    <n v="1214.4000000000001"/>
  </r>
  <r>
    <s v="TXN-102695"/>
    <x v="2695"/>
    <x v="3"/>
    <x v="2"/>
    <n v="18"/>
    <n v="244.37"/>
    <n v="31.37"/>
    <n v="4398.66"/>
  </r>
  <r>
    <s v="TXN-102696"/>
    <x v="2696"/>
    <x v="1"/>
    <x v="3"/>
    <n v="5"/>
    <n v="57.19"/>
    <n v="17.75"/>
    <n v="285.95"/>
  </r>
  <r>
    <s v="TXN-102697"/>
    <x v="2697"/>
    <x v="1"/>
    <x v="3"/>
    <n v="6"/>
    <n v="190.17"/>
    <n v="49.02"/>
    <n v="1141.02"/>
  </r>
  <r>
    <s v="TXN-102698"/>
    <x v="2698"/>
    <x v="1"/>
    <x v="2"/>
    <n v="7"/>
    <n v="431.45"/>
    <n v="16.84"/>
    <n v="3020.15"/>
  </r>
  <r>
    <s v="TXN-102699"/>
    <x v="2699"/>
    <x v="3"/>
    <x v="0"/>
    <n v="15"/>
    <n v="448.07"/>
    <n v="26.13"/>
    <n v="6721.05"/>
  </r>
  <r>
    <s v="TXN-102700"/>
    <x v="2700"/>
    <x v="2"/>
    <x v="1"/>
    <n v="1"/>
    <n v="332.9"/>
    <n v="44.48"/>
    <n v="332.9"/>
  </r>
  <r>
    <s v="TXN-102701"/>
    <x v="2701"/>
    <x v="0"/>
    <x v="1"/>
    <n v="4"/>
    <n v="114.36"/>
    <n v="8.6"/>
    <n v="457.44"/>
  </r>
  <r>
    <s v="TXN-102702"/>
    <x v="2702"/>
    <x v="1"/>
    <x v="0"/>
    <n v="1"/>
    <n v="59.77"/>
    <n v="41.93"/>
    <n v="59.77"/>
  </r>
  <r>
    <s v="TXN-102703"/>
    <x v="2703"/>
    <x v="2"/>
    <x v="0"/>
    <n v="11"/>
    <n v="195.72"/>
    <n v="30.7"/>
    <n v="2152.92"/>
  </r>
  <r>
    <s v="TXN-102704"/>
    <x v="2704"/>
    <x v="1"/>
    <x v="0"/>
    <n v="18"/>
    <n v="387.68"/>
    <n v="6.43"/>
    <n v="6978.24"/>
  </r>
  <r>
    <s v="TXN-102705"/>
    <x v="2705"/>
    <x v="3"/>
    <x v="0"/>
    <n v="14"/>
    <n v="329.15"/>
    <n v="45.63"/>
    <n v="4608.0999999999995"/>
  </r>
  <r>
    <s v="TXN-102706"/>
    <x v="2706"/>
    <x v="2"/>
    <x v="0"/>
    <n v="11"/>
    <n v="399.55"/>
    <n v="6.76"/>
    <n v="4395.05"/>
  </r>
  <r>
    <s v="TXN-102707"/>
    <x v="2707"/>
    <x v="3"/>
    <x v="0"/>
    <n v="10"/>
    <n v="283.05"/>
    <n v="28.18"/>
    <n v="2830.5"/>
  </r>
  <r>
    <s v="TXN-102708"/>
    <x v="2708"/>
    <x v="1"/>
    <x v="1"/>
    <n v="17"/>
    <n v="72.13"/>
    <n v="7.21"/>
    <n v="1226.21"/>
  </r>
  <r>
    <s v="TXN-102709"/>
    <x v="2709"/>
    <x v="1"/>
    <x v="0"/>
    <n v="4"/>
    <n v="65.38"/>
    <n v="8.1999999999999993"/>
    <n v="261.52"/>
  </r>
  <r>
    <s v="TXN-102710"/>
    <x v="2710"/>
    <x v="3"/>
    <x v="2"/>
    <n v="15"/>
    <n v="36.36"/>
    <n v="44.92"/>
    <n v="545.4"/>
  </r>
  <r>
    <s v="TXN-102711"/>
    <x v="2711"/>
    <x v="0"/>
    <x v="0"/>
    <n v="16"/>
    <n v="261.89999999999998"/>
    <n v="39.46"/>
    <n v="4190.3999999999996"/>
  </r>
  <r>
    <s v="TXN-102712"/>
    <x v="2712"/>
    <x v="3"/>
    <x v="0"/>
    <n v="13"/>
    <n v="121.03"/>
    <n v="13.86"/>
    <n v="1573.39"/>
  </r>
  <r>
    <s v="TXN-102713"/>
    <x v="2713"/>
    <x v="1"/>
    <x v="1"/>
    <n v="9"/>
    <n v="334.59"/>
    <n v="32.92"/>
    <n v="3011.31"/>
  </r>
  <r>
    <s v="TXN-102714"/>
    <x v="2714"/>
    <x v="3"/>
    <x v="1"/>
    <n v="11"/>
    <n v="313.68"/>
    <n v="40.76"/>
    <n v="3450.48"/>
  </r>
  <r>
    <s v="TXN-102715"/>
    <x v="2715"/>
    <x v="0"/>
    <x v="0"/>
    <n v="11"/>
    <n v="153.72"/>
    <n v="45.03"/>
    <n v="1690.92"/>
  </r>
  <r>
    <s v="TXN-102716"/>
    <x v="2716"/>
    <x v="3"/>
    <x v="1"/>
    <n v="6"/>
    <n v="92.32"/>
    <n v="26.07"/>
    <n v="553.91999999999996"/>
  </r>
  <r>
    <s v="TXN-102717"/>
    <x v="2717"/>
    <x v="0"/>
    <x v="3"/>
    <n v="1"/>
    <n v="59.99"/>
    <n v="45.39"/>
    <n v="59.99"/>
  </r>
  <r>
    <s v="TXN-102718"/>
    <x v="2718"/>
    <x v="0"/>
    <x v="1"/>
    <n v="6"/>
    <n v="335.86"/>
    <n v="27.85"/>
    <n v="2015.16"/>
  </r>
  <r>
    <s v="TXN-102719"/>
    <x v="2719"/>
    <x v="3"/>
    <x v="1"/>
    <n v="13"/>
    <n v="211.22"/>
    <n v="35.97"/>
    <n v="2745.86"/>
  </r>
  <r>
    <s v="TXN-102720"/>
    <x v="2720"/>
    <x v="3"/>
    <x v="1"/>
    <n v="5"/>
    <n v="156.07"/>
    <n v="49.06"/>
    <n v="780.34999999999991"/>
  </r>
  <r>
    <s v="TXN-102721"/>
    <x v="2721"/>
    <x v="2"/>
    <x v="1"/>
    <n v="15"/>
    <n v="387.72"/>
    <n v="15.62"/>
    <n v="5815.8"/>
  </r>
  <r>
    <s v="TXN-102722"/>
    <x v="2722"/>
    <x v="1"/>
    <x v="2"/>
    <n v="18"/>
    <n v="273.42"/>
    <n v="12.58"/>
    <n v="4921.5600000000004"/>
  </r>
  <r>
    <s v="TXN-102723"/>
    <x v="2723"/>
    <x v="0"/>
    <x v="2"/>
    <n v="14"/>
    <n v="240.57"/>
    <n v="20.39"/>
    <n v="3367.98"/>
  </r>
  <r>
    <s v="TXN-102724"/>
    <x v="2724"/>
    <x v="2"/>
    <x v="2"/>
    <n v="15"/>
    <n v="338.5"/>
    <n v="12.4"/>
    <n v="5077.5"/>
  </r>
  <r>
    <s v="TXN-102725"/>
    <x v="2725"/>
    <x v="3"/>
    <x v="0"/>
    <n v="5"/>
    <n v="369.87"/>
    <n v="17.79"/>
    <n v="1849.35"/>
  </r>
  <r>
    <s v="TXN-102726"/>
    <x v="2726"/>
    <x v="1"/>
    <x v="0"/>
    <n v="4"/>
    <n v="313.60000000000002"/>
    <n v="38.43"/>
    <n v="1254.4000000000001"/>
  </r>
  <r>
    <s v="TXN-102727"/>
    <x v="2727"/>
    <x v="2"/>
    <x v="3"/>
    <n v="2"/>
    <n v="206.68"/>
    <n v="26.49"/>
    <n v="413.36"/>
  </r>
  <r>
    <s v="TXN-102728"/>
    <x v="2728"/>
    <x v="0"/>
    <x v="2"/>
    <n v="7"/>
    <n v="180.31"/>
    <n v="21.88"/>
    <n v="1262.17"/>
  </r>
  <r>
    <s v="TXN-102729"/>
    <x v="2729"/>
    <x v="2"/>
    <x v="0"/>
    <n v="10"/>
    <n v="350.79"/>
    <n v="21.59"/>
    <n v="3507.9"/>
  </r>
  <r>
    <s v="TXN-102730"/>
    <x v="2730"/>
    <x v="0"/>
    <x v="1"/>
    <n v="16"/>
    <n v="240.53"/>
    <n v="13.75"/>
    <n v="3848.48"/>
  </r>
  <r>
    <s v="TXN-102731"/>
    <x v="2731"/>
    <x v="3"/>
    <x v="1"/>
    <n v="10"/>
    <n v="321.56"/>
    <n v="25.13"/>
    <n v="3215.6"/>
  </r>
  <r>
    <s v="TXN-102732"/>
    <x v="2732"/>
    <x v="1"/>
    <x v="2"/>
    <n v="18"/>
    <n v="402.38"/>
    <n v="33.11"/>
    <n v="7242.84"/>
  </r>
  <r>
    <s v="TXN-102733"/>
    <x v="2733"/>
    <x v="1"/>
    <x v="3"/>
    <n v="17"/>
    <n v="413.45"/>
    <n v="11.26"/>
    <n v="7028.65"/>
  </r>
  <r>
    <s v="TXN-102734"/>
    <x v="2734"/>
    <x v="1"/>
    <x v="3"/>
    <n v="13"/>
    <n v="136.16999999999999"/>
    <n v="48.78"/>
    <n v="1770.2099999999998"/>
  </r>
  <r>
    <s v="TXN-102735"/>
    <x v="2735"/>
    <x v="3"/>
    <x v="1"/>
    <n v="1"/>
    <n v="97.14"/>
    <n v="24.95"/>
    <n v="97.14"/>
  </r>
  <r>
    <s v="TXN-102736"/>
    <x v="2736"/>
    <x v="0"/>
    <x v="3"/>
    <n v="1"/>
    <n v="129.03"/>
    <n v="47.66"/>
    <n v="129.03"/>
  </r>
  <r>
    <s v="TXN-102737"/>
    <x v="2737"/>
    <x v="3"/>
    <x v="2"/>
    <n v="15"/>
    <n v="341.97"/>
    <n v="11.06"/>
    <n v="5129.55"/>
  </r>
  <r>
    <s v="TXN-102738"/>
    <x v="2738"/>
    <x v="1"/>
    <x v="1"/>
    <n v="1"/>
    <n v="176.29"/>
    <n v="39.520000000000003"/>
    <n v="176.29"/>
  </r>
  <r>
    <s v="TXN-102739"/>
    <x v="2739"/>
    <x v="3"/>
    <x v="0"/>
    <n v="6"/>
    <n v="90.84"/>
    <n v="32.79"/>
    <n v="545.04"/>
  </r>
  <r>
    <s v="TXN-102740"/>
    <x v="2740"/>
    <x v="3"/>
    <x v="0"/>
    <n v="13"/>
    <n v="58.25"/>
    <n v="41.9"/>
    <n v="757.25"/>
  </r>
  <r>
    <s v="TXN-102741"/>
    <x v="2741"/>
    <x v="3"/>
    <x v="3"/>
    <n v="1"/>
    <n v="157.72"/>
    <n v="32.03"/>
    <n v="157.72"/>
  </r>
  <r>
    <s v="TXN-102742"/>
    <x v="2742"/>
    <x v="0"/>
    <x v="1"/>
    <n v="5"/>
    <n v="74.650000000000006"/>
    <n v="48.33"/>
    <n v="373.25"/>
  </r>
  <r>
    <s v="TXN-102743"/>
    <x v="2743"/>
    <x v="2"/>
    <x v="1"/>
    <n v="9"/>
    <n v="83.44"/>
    <n v="33.21"/>
    <n v="750.96"/>
  </r>
  <r>
    <s v="TXN-102744"/>
    <x v="2744"/>
    <x v="2"/>
    <x v="0"/>
    <n v="17"/>
    <n v="312.64999999999998"/>
    <n v="40.31"/>
    <n v="5315.0499999999993"/>
  </r>
  <r>
    <s v="TXN-102745"/>
    <x v="2745"/>
    <x v="3"/>
    <x v="1"/>
    <n v="16"/>
    <n v="24.07"/>
    <n v="44.49"/>
    <n v="385.12"/>
  </r>
  <r>
    <s v="TXN-102746"/>
    <x v="2746"/>
    <x v="2"/>
    <x v="1"/>
    <n v="8"/>
    <n v="66.58"/>
    <n v="37.159999999999997"/>
    <n v="532.64"/>
  </r>
  <r>
    <s v="TXN-102747"/>
    <x v="2747"/>
    <x v="2"/>
    <x v="1"/>
    <n v="17"/>
    <n v="382.38"/>
    <n v="28.59"/>
    <n v="6500.46"/>
  </r>
  <r>
    <s v="TXN-102748"/>
    <x v="2748"/>
    <x v="3"/>
    <x v="3"/>
    <n v="15"/>
    <n v="382.62"/>
    <n v="17.28"/>
    <n v="5739.3"/>
  </r>
  <r>
    <s v="TXN-102749"/>
    <x v="2749"/>
    <x v="3"/>
    <x v="1"/>
    <n v="1"/>
    <n v="158.56"/>
    <n v="43.45"/>
    <n v="158.56"/>
  </r>
  <r>
    <s v="TXN-102750"/>
    <x v="2750"/>
    <x v="1"/>
    <x v="2"/>
    <n v="12"/>
    <n v="53.72"/>
    <n v="26.63"/>
    <n v="644.64"/>
  </r>
  <r>
    <s v="TXN-102751"/>
    <x v="2751"/>
    <x v="2"/>
    <x v="3"/>
    <n v="5"/>
    <n v="321.81"/>
    <n v="32.93"/>
    <n v="1609.05"/>
  </r>
  <r>
    <s v="TXN-102752"/>
    <x v="2752"/>
    <x v="0"/>
    <x v="1"/>
    <n v="6"/>
    <n v="171.98"/>
    <n v="8.57"/>
    <n v="1031.8799999999999"/>
  </r>
  <r>
    <s v="TXN-102753"/>
    <x v="2753"/>
    <x v="3"/>
    <x v="1"/>
    <n v="1"/>
    <n v="35.25"/>
    <n v="27.38"/>
    <n v="35.25"/>
  </r>
  <r>
    <s v="TXN-102754"/>
    <x v="2754"/>
    <x v="1"/>
    <x v="2"/>
    <n v="1"/>
    <n v="84.08"/>
    <n v="36.42"/>
    <n v="84.08"/>
  </r>
  <r>
    <s v="TXN-102755"/>
    <x v="2755"/>
    <x v="0"/>
    <x v="3"/>
    <n v="10"/>
    <n v="75.12"/>
    <n v="31.28"/>
    <n v="751.2"/>
  </r>
  <r>
    <s v="TXN-102756"/>
    <x v="2756"/>
    <x v="2"/>
    <x v="0"/>
    <n v="10"/>
    <n v="271.47000000000003"/>
    <n v="25.18"/>
    <n v="2714.7000000000003"/>
  </r>
  <r>
    <s v="TXN-102757"/>
    <x v="2757"/>
    <x v="1"/>
    <x v="0"/>
    <n v="3"/>
    <n v="405.73"/>
    <n v="15.05"/>
    <n v="1217.19"/>
  </r>
  <r>
    <s v="TXN-102758"/>
    <x v="2758"/>
    <x v="3"/>
    <x v="3"/>
    <n v="17"/>
    <n v="360.09"/>
    <n v="18.940000000000001"/>
    <n v="6121.53"/>
  </r>
  <r>
    <s v="TXN-102759"/>
    <x v="2759"/>
    <x v="0"/>
    <x v="1"/>
    <n v="19"/>
    <n v="252.96"/>
    <n v="36.53"/>
    <n v="4806.24"/>
  </r>
  <r>
    <s v="TXN-102760"/>
    <x v="2760"/>
    <x v="3"/>
    <x v="1"/>
    <n v="11"/>
    <n v="198.93"/>
    <n v="15.09"/>
    <n v="2188.23"/>
  </r>
  <r>
    <s v="TXN-102761"/>
    <x v="2761"/>
    <x v="2"/>
    <x v="0"/>
    <n v="18"/>
    <n v="284.32"/>
    <n v="32.979999999999997"/>
    <n v="5117.76"/>
  </r>
  <r>
    <s v="TXN-102762"/>
    <x v="2762"/>
    <x v="0"/>
    <x v="0"/>
    <n v="2"/>
    <n v="208.34"/>
    <n v="31.54"/>
    <n v="416.68"/>
  </r>
  <r>
    <s v="TXN-102763"/>
    <x v="2763"/>
    <x v="2"/>
    <x v="0"/>
    <n v="9"/>
    <n v="122.43"/>
    <n v="48.67"/>
    <n v="1101.8700000000001"/>
  </r>
  <r>
    <s v="TXN-102764"/>
    <x v="2764"/>
    <x v="2"/>
    <x v="2"/>
    <n v="17"/>
    <n v="310.61"/>
    <n v="7.74"/>
    <n v="5280.37"/>
  </r>
  <r>
    <s v="TXN-102765"/>
    <x v="2765"/>
    <x v="1"/>
    <x v="0"/>
    <n v="14"/>
    <n v="394.92"/>
    <n v="9.8699999999999992"/>
    <n v="5528.88"/>
  </r>
  <r>
    <s v="TXN-102766"/>
    <x v="2766"/>
    <x v="3"/>
    <x v="2"/>
    <n v="4"/>
    <n v="177.51"/>
    <n v="27.77"/>
    <n v="710.04"/>
  </r>
  <r>
    <s v="TXN-102767"/>
    <x v="2767"/>
    <x v="0"/>
    <x v="3"/>
    <n v="17"/>
    <n v="381.15"/>
    <n v="28.72"/>
    <n v="6479.5499999999993"/>
  </r>
  <r>
    <s v="TXN-102768"/>
    <x v="2768"/>
    <x v="2"/>
    <x v="1"/>
    <n v="17"/>
    <n v="202.81"/>
    <n v="6.8"/>
    <n v="3447.77"/>
  </r>
  <r>
    <s v="TXN-102769"/>
    <x v="2769"/>
    <x v="2"/>
    <x v="0"/>
    <n v="12"/>
    <n v="189.88"/>
    <n v="42.16"/>
    <n v="2278.56"/>
  </r>
  <r>
    <s v="TXN-102770"/>
    <x v="2770"/>
    <x v="0"/>
    <x v="1"/>
    <n v="18"/>
    <n v="27.81"/>
    <n v="27.26"/>
    <n v="500.58"/>
  </r>
  <r>
    <s v="TXN-102771"/>
    <x v="2771"/>
    <x v="2"/>
    <x v="1"/>
    <n v="3"/>
    <n v="317.60000000000002"/>
    <n v="20.6"/>
    <n v="952.80000000000007"/>
  </r>
  <r>
    <s v="TXN-102772"/>
    <x v="2772"/>
    <x v="1"/>
    <x v="0"/>
    <n v="11"/>
    <n v="366.36"/>
    <n v="19.350000000000001"/>
    <n v="4029.96"/>
  </r>
  <r>
    <s v="TXN-102773"/>
    <x v="2773"/>
    <x v="1"/>
    <x v="0"/>
    <n v="18"/>
    <n v="303.82"/>
    <n v="43.76"/>
    <n v="5468.76"/>
  </r>
  <r>
    <s v="TXN-102774"/>
    <x v="2774"/>
    <x v="1"/>
    <x v="3"/>
    <n v="4"/>
    <n v="81.27"/>
    <n v="13.85"/>
    <n v="325.08"/>
  </r>
  <r>
    <s v="TXN-102775"/>
    <x v="2775"/>
    <x v="1"/>
    <x v="2"/>
    <n v="17"/>
    <n v="60.38"/>
    <n v="12.22"/>
    <n v="1026.46"/>
  </r>
  <r>
    <s v="TXN-102776"/>
    <x v="2776"/>
    <x v="2"/>
    <x v="2"/>
    <n v="18"/>
    <n v="264.41000000000003"/>
    <n v="14.59"/>
    <n v="4759.38"/>
  </r>
  <r>
    <s v="TXN-102777"/>
    <x v="2777"/>
    <x v="0"/>
    <x v="1"/>
    <n v="5"/>
    <n v="189.96"/>
    <n v="33.130000000000003"/>
    <n v="949.80000000000007"/>
  </r>
  <r>
    <s v="TXN-102778"/>
    <x v="2778"/>
    <x v="0"/>
    <x v="0"/>
    <n v="14"/>
    <n v="201.94"/>
    <n v="41.49"/>
    <n v="2827.16"/>
  </r>
  <r>
    <s v="TXN-102779"/>
    <x v="2779"/>
    <x v="0"/>
    <x v="3"/>
    <n v="10"/>
    <n v="436.01"/>
    <n v="19.89"/>
    <n v="4360.1000000000004"/>
  </r>
  <r>
    <s v="TXN-102780"/>
    <x v="2780"/>
    <x v="0"/>
    <x v="3"/>
    <n v="15"/>
    <n v="330.04"/>
    <n v="12.81"/>
    <n v="4950.6000000000004"/>
  </r>
  <r>
    <s v="TXN-102781"/>
    <x v="2781"/>
    <x v="3"/>
    <x v="3"/>
    <n v="1"/>
    <n v="194.42"/>
    <n v="14.41"/>
    <n v="194.42"/>
  </r>
  <r>
    <s v="TXN-102782"/>
    <x v="2782"/>
    <x v="0"/>
    <x v="3"/>
    <n v="16"/>
    <n v="23.8"/>
    <n v="32.86"/>
    <n v="380.8"/>
  </r>
  <r>
    <s v="TXN-102783"/>
    <x v="2783"/>
    <x v="3"/>
    <x v="3"/>
    <n v="11"/>
    <n v="30.31"/>
    <n v="16.07"/>
    <n v="333.40999999999997"/>
  </r>
  <r>
    <s v="TXN-102784"/>
    <x v="2784"/>
    <x v="3"/>
    <x v="2"/>
    <n v="6"/>
    <n v="313.05"/>
    <n v="44.48"/>
    <n v="1878.3000000000002"/>
  </r>
  <r>
    <s v="TXN-102785"/>
    <x v="2785"/>
    <x v="1"/>
    <x v="2"/>
    <n v="16"/>
    <n v="379.5"/>
    <n v="9.68"/>
    <n v="6072"/>
  </r>
  <r>
    <s v="TXN-102786"/>
    <x v="2786"/>
    <x v="3"/>
    <x v="2"/>
    <n v="2"/>
    <n v="323"/>
    <n v="6.46"/>
    <n v="646"/>
  </r>
  <r>
    <s v="TXN-102787"/>
    <x v="2787"/>
    <x v="2"/>
    <x v="0"/>
    <n v="1"/>
    <n v="191.86"/>
    <n v="8.98"/>
    <n v="191.86"/>
  </r>
  <r>
    <s v="TXN-102788"/>
    <x v="2788"/>
    <x v="3"/>
    <x v="1"/>
    <n v="9"/>
    <n v="29.03"/>
    <n v="43.05"/>
    <n v="261.27"/>
  </r>
  <r>
    <s v="TXN-102789"/>
    <x v="2789"/>
    <x v="1"/>
    <x v="3"/>
    <n v="12"/>
    <n v="435.84"/>
    <n v="34.31"/>
    <n v="5230.08"/>
  </r>
  <r>
    <s v="TXN-102790"/>
    <x v="2790"/>
    <x v="3"/>
    <x v="0"/>
    <n v="17"/>
    <n v="444.06"/>
    <n v="48.1"/>
    <n v="7549.02"/>
  </r>
  <r>
    <s v="TXN-102791"/>
    <x v="2791"/>
    <x v="2"/>
    <x v="3"/>
    <n v="15"/>
    <n v="254.2"/>
    <n v="20.13"/>
    <n v="3813"/>
  </r>
  <r>
    <s v="TXN-102792"/>
    <x v="2792"/>
    <x v="2"/>
    <x v="2"/>
    <n v="19"/>
    <n v="46.21"/>
    <n v="14.57"/>
    <n v="877.99"/>
  </r>
  <r>
    <s v="TXN-102793"/>
    <x v="2793"/>
    <x v="2"/>
    <x v="0"/>
    <n v="10"/>
    <n v="250.55"/>
    <n v="30.29"/>
    <n v="2505.5"/>
  </r>
  <r>
    <s v="TXN-102794"/>
    <x v="2794"/>
    <x v="1"/>
    <x v="2"/>
    <n v="12"/>
    <n v="403.22"/>
    <n v="29.2"/>
    <n v="4838.6400000000003"/>
  </r>
  <r>
    <s v="TXN-102795"/>
    <x v="2795"/>
    <x v="1"/>
    <x v="3"/>
    <n v="14"/>
    <n v="310.95"/>
    <n v="31.6"/>
    <n v="4353.3"/>
  </r>
  <r>
    <s v="TXN-102796"/>
    <x v="2796"/>
    <x v="0"/>
    <x v="3"/>
    <n v="9"/>
    <n v="328.34"/>
    <n v="20.64"/>
    <n v="2955.06"/>
  </r>
  <r>
    <s v="TXN-102797"/>
    <x v="2797"/>
    <x v="1"/>
    <x v="1"/>
    <n v="13"/>
    <n v="52.42"/>
    <n v="5.27"/>
    <n v="681.46"/>
  </r>
  <r>
    <s v="TXN-102798"/>
    <x v="2798"/>
    <x v="2"/>
    <x v="3"/>
    <n v="3"/>
    <n v="61.78"/>
    <n v="6.58"/>
    <n v="185.34"/>
  </r>
  <r>
    <s v="TXN-102799"/>
    <x v="2799"/>
    <x v="2"/>
    <x v="2"/>
    <n v="14"/>
    <n v="70.83"/>
    <n v="34.869999999999997"/>
    <n v="991.62"/>
  </r>
  <r>
    <s v="TXN-102800"/>
    <x v="2800"/>
    <x v="1"/>
    <x v="3"/>
    <n v="10"/>
    <n v="408.45"/>
    <n v="28.55"/>
    <n v="4084.5"/>
  </r>
  <r>
    <s v="TXN-102801"/>
    <x v="2801"/>
    <x v="3"/>
    <x v="1"/>
    <n v="16"/>
    <n v="243.98"/>
    <n v="41.95"/>
    <n v="3903.68"/>
  </r>
  <r>
    <s v="TXN-102802"/>
    <x v="2802"/>
    <x v="1"/>
    <x v="1"/>
    <n v="7"/>
    <n v="359.44"/>
    <n v="18.52"/>
    <n v="2516.08"/>
  </r>
  <r>
    <s v="TXN-102803"/>
    <x v="2803"/>
    <x v="1"/>
    <x v="2"/>
    <n v="4"/>
    <n v="65.59"/>
    <n v="41.7"/>
    <n v="262.36"/>
  </r>
  <r>
    <s v="TXN-102804"/>
    <x v="2804"/>
    <x v="2"/>
    <x v="0"/>
    <n v="11"/>
    <n v="418.56"/>
    <n v="24.15"/>
    <n v="4604.16"/>
  </r>
  <r>
    <s v="TXN-102805"/>
    <x v="2805"/>
    <x v="0"/>
    <x v="3"/>
    <n v="16"/>
    <n v="372.29"/>
    <n v="9.35"/>
    <n v="5956.64"/>
  </r>
  <r>
    <s v="TXN-102806"/>
    <x v="2806"/>
    <x v="2"/>
    <x v="1"/>
    <n v="4"/>
    <n v="113.16"/>
    <n v="49.01"/>
    <n v="452.64"/>
  </r>
  <r>
    <s v="TXN-102807"/>
    <x v="2807"/>
    <x v="0"/>
    <x v="3"/>
    <n v="17"/>
    <n v="395.33"/>
    <n v="28.04"/>
    <n v="6720.61"/>
  </r>
  <r>
    <s v="TXN-102808"/>
    <x v="2808"/>
    <x v="2"/>
    <x v="3"/>
    <n v="13"/>
    <n v="129.97"/>
    <n v="33.33"/>
    <n v="1689.61"/>
  </r>
  <r>
    <s v="TXN-102809"/>
    <x v="2809"/>
    <x v="1"/>
    <x v="0"/>
    <n v="11"/>
    <n v="104.72"/>
    <n v="35.19"/>
    <n v="1151.92"/>
  </r>
  <r>
    <s v="TXN-102810"/>
    <x v="2810"/>
    <x v="2"/>
    <x v="1"/>
    <n v="3"/>
    <n v="130.31"/>
    <n v="21.31"/>
    <n v="390.93"/>
  </r>
  <r>
    <s v="TXN-102811"/>
    <x v="2811"/>
    <x v="2"/>
    <x v="3"/>
    <n v="9"/>
    <n v="410.88"/>
    <n v="38.64"/>
    <n v="3697.92"/>
  </r>
  <r>
    <s v="TXN-102812"/>
    <x v="2812"/>
    <x v="2"/>
    <x v="1"/>
    <n v="6"/>
    <n v="413.32"/>
    <n v="44.16"/>
    <n v="2479.92"/>
  </r>
  <r>
    <s v="TXN-102813"/>
    <x v="2813"/>
    <x v="1"/>
    <x v="2"/>
    <n v="11"/>
    <n v="158.44999999999999"/>
    <n v="22.42"/>
    <n v="1742.9499999999998"/>
  </r>
  <r>
    <s v="TXN-102814"/>
    <x v="2814"/>
    <x v="1"/>
    <x v="2"/>
    <n v="16"/>
    <n v="322.01"/>
    <n v="34.57"/>
    <n v="5152.16"/>
  </r>
  <r>
    <s v="TXN-102815"/>
    <x v="2815"/>
    <x v="1"/>
    <x v="3"/>
    <n v="19"/>
    <n v="309.11"/>
    <n v="39.07"/>
    <n v="5873.09"/>
  </r>
  <r>
    <s v="TXN-102816"/>
    <x v="2816"/>
    <x v="1"/>
    <x v="1"/>
    <n v="5"/>
    <n v="365.95"/>
    <n v="13.56"/>
    <n v="1829.75"/>
  </r>
  <r>
    <s v="TXN-102817"/>
    <x v="2817"/>
    <x v="0"/>
    <x v="3"/>
    <n v="14"/>
    <n v="144.33000000000001"/>
    <n v="19.97"/>
    <n v="2020.6200000000001"/>
  </r>
  <r>
    <s v="TXN-102818"/>
    <x v="2818"/>
    <x v="0"/>
    <x v="1"/>
    <n v="17"/>
    <n v="237.16"/>
    <n v="9.9"/>
    <n v="4031.72"/>
  </r>
  <r>
    <s v="TXN-102819"/>
    <x v="2819"/>
    <x v="3"/>
    <x v="1"/>
    <n v="3"/>
    <n v="305.60000000000002"/>
    <n v="32.1"/>
    <n v="916.80000000000007"/>
  </r>
  <r>
    <s v="TXN-102820"/>
    <x v="2820"/>
    <x v="1"/>
    <x v="0"/>
    <n v="4"/>
    <n v="26.91"/>
    <n v="41.04"/>
    <n v="107.64"/>
  </r>
  <r>
    <s v="TXN-102821"/>
    <x v="2821"/>
    <x v="0"/>
    <x v="0"/>
    <n v="16"/>
    <n v="179.19"/>
    <n v="32.49"/>
    <n v="2867.04"/>
  </r>
  <r>
    <s v="TXN-102822"/>
    <x v="2822"/>
    <x v="2"/>
    <x v="0"/>
    <n v="16"/>
    <n v="317.86"/>
    <n v="13.09"/>
    <n v="5085.76"/>
  </r>
  <r>
    <s v="TXN-102823"/>
    <x v="2823"/>
    <x v="1"/>
    <x v="3"/>
    <n v="4"/>
    <n v="125.25"/>
    <n v="29.59"/>
    <n v="501"/>
  </r>
  <r>
    <s v="TXN-102824"/>
    <x v="2824"/>
    <x v="3"/>
    <x v="0"/>
    <n v="19"/>
    <n v="431.62"/>
    <n v="42.57"/>
    <n v="8200.7800000000007"/>
  </r>
  <r>
    <s v="TXN-102825"/>
    <x v="2825"/>
    <x v="3"/>
    <x v="0"/>
    <n v="17"/>
    <n v="28.61"/>
    <n v="18.62"/>
    <n v="486.37"/>
  </r>
  <r>
    <s v="TXN-102826"/>
    <x v="2826"/>
    <x v="3"/>
    <x v="2"/>
    <n v="13"/>
    <n v="431.79"/>
    <n v="42.47"/>
    <n v="5613.27"/>
  </r>
  <r>
    <s v="TXN-102827"/>
    <x v="2827"/>
    <x v="2"/>
    <x v="1"/>
    <n v="1"/>
    <n v="109.68"/>
    <n v="40.31"/>
    <n v="109.68"/>
  </r>
  <r>
    <s v="TXN-102828"/>
    <x v="2828"/>
    <x v="0"/>
    <x v="1"/>
    <n v="12"/>
    <n v="36.71"/>
    <n v="5.98"/>
    <n v="440.52"/>
  </r>
  <r>
    <s v="TXN-102829"/>
    <x v="2829"/>
    <x v="2"/>
    <x v="0"/>
    <n v="4"/>
    <n v="142.58000000000001"/>
    <n v="15.78"/>
    <n v="570.32000000000005"/>
  </r>
  <r>
    <s v="TXN-102830"/>
    <x v="2830"/>
    <x v="1"/>
    <x v="1"/>
    <n v="11"/>
    <n v="357.14"/>
    <n v="29.43"/>
    <n v="3928.54"/>
  </r>
  <r>
    <s v="TXN-102831"/>
    <x v="2831"/>
    <x v="3"/>
    <x v="2"/>
    <n v="5"/>
    <n v="342.44"/>
    <n v="37.29"/>
    <n v="1712.2"/>
  </r>
  <r>
    <s v="TXN-102832"/>
    <x v="2832"/>
    <x v="2"/>
    <x v="2"/>
    <n v="2"/>
    <n v="106.24"/>
    <n v="44.62"/>
    <n v="212.48"/>
  </r>
  <r>
    <s v="TXN-102833"/>
    <x v="2833"/>
    <x v="2"/>
    <x v="0"/>
    <n v="17"/>
    <n v="101.01"/>
    <n v="33.85"/>
    <n v="1717.17"/>
  </r>
  <r>
    <s v="TXN-102834"/>
    <x v="2834"/>
    <x v="0"/>
    <x v="2"/>
    <n v="8"/>
    <n v="294.7"/>
    <n v="22.12"/>
    <n v="2357.6"/>
  </r>
  <r>
    <s v="TXN-102835"/>
    <x v="2835"/>
    <x v="0"/>
    <x v="1"/>
    <n v="6"/>
    <n v="214.54"/>
    <n v="13.31"/>
    <n v="1287.24"/>
  </r>
  <r>
    <s v="TXN-102836"/>
    <x v="2836"/>
    <x v="3"/>
    <x v="3"/>
    <n v="9"/>
    <n v="359.75"/>
    <n v="39.200000000000003"/>
    <n v="3237.75"/>
  </r>
  <r>
    <s v="TXN-102837"/>
    <x v="2837"/>
    <x v="2"/>
    <x v="1"/>
    <n v="13"/>
    <n v="25.99"/>
    <n v="14.31"/>
    <n v="337.87"/>
  </r>
  <r>
    <s v="TXN-102838"/>
    <x v="2838"/>
    <x v="2"/>
    <x v="3"/>
    <n v="11"/>
    <n v="280.72000000000003"/>
    <n v="36.29"/>
    <n v="3087.92"/>
  </r>
  <r>
    <s v="TXN-102839"/>
    <x v="2839"/>
    <x v="0"/>
    <x v="0"/>
    <n v="16"/>
    <n v="332.98"/>
    <n v="13.15"/>
    <n v="5327.68"/>
  </r>
  <r>
    <s v="TXN-102840"/>
    <x v="2840"/>
    <x v="2"/>
    <x v="3"/>
    <n v="16"/>
    <n v="447.13"/>
    <n v="9.1"/>
    <n v="7154.08"/>
  </r>
  <r>
    <s v="TXN-102841"/>
    <x v="2841"/>
    <x v="2"/>
    <x v="2"/>
    <n v="2"/>
    <n v="310.43"/>
    <n v="16.3"/>
    <n v="620.86"/>
  </r>
  <r>
    <s v="TXN-102842"/>
    <x v="2842"/>
    <x v="2"/>
    <x v="1"/>
    <n v="10"/>
    <n v="116.24"/>
    <n v="17.82"/>
    <n v="1162.3999999999999"/>
  </r>
  <r>
    <s v="TXN-102843"/>
    <x v="2843"/>
    <x v="0"/>
    <x v="3"/>
    <n v="12"/>
    <n v="62.51"/>
    <n v="34.119999999999997"/>
    <n v="750.12"/>
  </r>
  <r>
    <s v="TXN-102844"/>
    <x v="2844"/>
    <x v="3"/>
    <x v="1"/>
    <n v="8"/>
    <n v="293.98"/>
    <n v="12.24"/>
    <n v="2351.84"/>
  </r>
  <r>
    <s v="TXN-102845"/>
    <x v="2845"/>
    <x v="1"/>
    <x v="0"/>
    <n v="11"/>
    <n v="242.82"/>
    <n v="46.86"/>
    <n v="2671.02"/>
  </r>
  <r>
    <s v="TXN-102846"/>
    <x v="2846"/>
    <x v="3"/>
    <x v="0"/>
    <n v="10"/>
    <n v="406.18"/>
    <n v="29.95"/>
    <n v="4061.8"/>
  </r>
  <r>
    <s v="TXN-102847"/>
    <x v="2847"/>
    <x v="1"/>
    <x v="2"/>
    <n v="13"/>
    <n v="331.21"/>
    <n v="27.09"/>
    <n v="4305.7299999999996"/>
  </r>
  <r>
    <s v="TXN-102848"/>
    <x v="2848"/>
    <x v="2"/>
    <x v="0"/>
    <n v="17"/>
    <n v="236.98"/>
    <n v="24.56"/>
    <n v="4028.66"/>
  </r>
  <r>
    <s v="TXN-102849"/>
    <x v="2849"/>
    <x v="3"/>
    <x v="3"/>
    <n v="7"/>
    <n v="190.86"/>
    <n v="30.5"/>
    <n v="1336.02"/>
  </r>
  <r>
    <s v="TXN-102850"/>
    <x v="2850"/>
    <x v="1"/>
    <x v="0"/>
    <n v="3"/>
    <n v="191.2"/>
    <n v="6.01"/>
    <n v="573.59999999999991"/>
  </r>
  <r>
    <s v="TXN-102851"/>
    <x v="2851"/>
    <x v="0"/>
    <x v="2"/>
    <n v="13"/>
    <n v="113.83"/>
    <n v="49.55"/>
    <n v="1479.79"/>
  </r>
  <r>
    <s v="TXN-102852"/>
    <x v="2852"/>
    <x v="0"/>
    <x v="1"/>
    <n v="19"/>
    <n v="23.03"/>
    <n v="30.09"/>
    <n v="437.57000000000005"/>
  </r>
  <r>
    <s v="TXN-102853"/>
    <x v="2853"/>
    <x v="3"/>
    <x v="1"/>
    <n v="7"/>
    <n v="265.3"/>
    <n v="6.58"/>
    <n v="1857.1000000000001"/>
  </r>
  <r>
    <s v="TXN-102854"/>
    <x v="2854"/>
    <x v="3"/>
    <x v="0"/>
    <n v="9"/>
    <n v="107.79"/>
    <n v="31.55"/>
    <n v="970.11"/>
  </r>
  <r>
    <s v="TXN-102855"/>
    <x v="2855"/>
    <x v="2"/>
    <x v="3"/>
    <n v="19"/>
    <n v="106.02"/>
    <n v="24.67"/>
    <n v="2014.3799999999999"/>
  </r>
  <r>
    <s v="TXN-102856"/>
    <x v="2856"/>
    <x v="3"/>
    <x v="2"/>
    <n v="13"/>
    <n v="69.98"/>
    <n v="6.08"/>
    <n v="909.74"/>
  </r>
  <r>
    <s v="TXN-102857"/>
    <x v="2857"/>
    <x v="2"/>
    <x v="3"/>
    <n v="8"/>
    <n v="97.88"/>
    <n v="46.6"/>
    <n v="783.04"/>
  </r>
  <r>
    <s v="TXN-102858"/>
    <x v="2858"/>
    <x v="2"/>
    <x v="2"/>
    <n v="18"/>
    <n v="29.31"/>
    <n v="5.48"/>
    <n v="527.57999999999993"/>
  </r>
  <r>
    <s v="TXN-102859"/>
    <x v="2859"/>
    <x v="0"/>
    <x v="0"/>
    <n v="2"/>
    <n v="308.45"/>
    <n v="31"/>
    <n v="616.9"/>
  </r>
  <r>
    <s v="TXN-102860"/>
    <x v="2860"/>
    <x v="0"/>
    <x v="2"/>
    <n v="18"/>
    <n v="189.91"/>
    <n v="48.28"/>
    <n v="3418.38"/>
  </r>
  <r>
    <s v="TXN-102861"/>
    <x v="2861"/>
    <x v="1"/>
    <x v="2"/>
    <n v="18"/>
    <n v="259.48"/>
    <n v="15.69"/>
    <n v="4670.6400000000003"/>
  </r>
  <r>
    <s v="TXN-102862"/>
    <x v="2862"/>
    <x v="0"/>
    <x v="0"/>
    <n v="11"/>
    <n v="292.26"/>
    <n v="16.440000000000001"/>
    <n v="3214.8599999999997"/>
  </r>
  <r>
    <s v="TXN-102863"/>
    <x v="2863"/>
    <x v="0"/>
    <x v="3"/>
    <n v="1"/>
    <n v="438.04"/>
    <n v="5.0199999999999996"/>
    <n v="438.04"/>
  </r>
  <r>
    <s v="TXN-102864"/>
    <x v="2864"/>
    <x v="3"/>
    <x v="0"/>
    <n v="14"/>
    <n v="45.16"/>
    <n v="7.99"/>
    <n v="632.24"/>
  </r>
  <r>
    <s v="TXN-102865"/>
    <x v="2865"/>
    <x v="0"/>
    <x v="2"/>
    <n v="16"/>
    <n v="197.09"/>
    <n v="7.02"/>
    <n v="3153.44"/>
  </r>
  <r>
    <s v="TXN-102866"/>
    <x v="2866"/>
    <x v="1"/>
    <x v="0"/>
    <n v="11"/>
    <n v="122.34"/>
    <n v="42.02"/>
    <n v="1345.74"/>
  </r>
  <r>
    <s v="TXN-102867"/>
    <x v="2867"/>
    <x v="3"/>
    <x v="2"/>
    <n v="1"/>
    <n v="222.63"/>
    <n v="42.65"/>
    <n v="222.63"/>
  </r>
  <r>
    <s v="TXN-102868"/>
    <x v="2868"/>
    <x v="1"/>
    <x v="0"/>
    <n v="7"/>
    <n v="415.45"/>
    <n v="37.700000000000003"/>
    <n v="2908.15"/>
  </r>
  <r>
    <s v="TXN-102869"/>
    <x v="2869"/>
    <x v="0"/>
    <x v="1"/>
    <n v="16"/>
    <n v="330.07"/>
    <n v="20.87"/>
    <n v="5281.12"/>
  </r>
  <r>
    <s v="TXN-102870"/>
    <x v="2870"/>
    <x v="1"/>
    <x v="1"/>
    <n v="14"/>
    <n v="303.12"/>
    <n v="41.96"/>
    <n v="4243.68"/>
  </r>
  <r>
    <s v="TXN-102871"/>
    <x v="2871"/>
    <x v="3"/>
    <x v="0"/>
    <n v="15"/>
    <n v="207.22"/>
    <n v="29.29"/>
    <n v="3108.3"/>
  </r>
  <r>
    <s v="TXN-102872"/>
    <x v="2872"/>
    <x v="2"/>
    <x v="3"/>
    <n v="14"/>
    <n v="307.10000000000002"/>
    <n v="18.690000000000001"/>
    <n v="4299.4000000000005"/>
  </r>
  <r>
    <s v="TXN-102873"/>
    <x v="2873"/>
    <x v="1"/>
    <x v="2"/>
    <n v="11"/>
    <n v="29.57"/>
    <n v="24.68"/>
    <n v="325.27"/>
  </r>
  <r>
    <s v="TXN-102874"/>
    <x v="2874"/>
    <x v="1"/>
    <x v="1"/>
    <n v="16"/>
    <n v="270.22000000000003"/>
    <n v="7.96"/>
    <n v="4323.5200000000004"/>
  </r>
  <r>
    <s v="TXN-102875"/>
    <x v="2875"/>
    <x v="3"/>
    <x v="3"/>
    <n v="19"/>
    <n v="256.12"/>
    <n v="47.52"/>
    <n v="4866.28"/>
  </r>
  <r>
    <s v="TXN-102876"/>
    <x v="2876"/>
    <x v="3"/>
    <x v="2"/>
    <n v="17"/>
    <n v="166.12"/>
    <n v="32.86"/>
    <n v="2824.04"/>
  </r>
  <r>
    <s v="TXN-102877"/>
    <x v="2877"/>
    <x v="1"/>
    <x v="1"/>
    <n v="6"/>
    <n v="103.06"/>
    <n v="37.909999999999997"/>
    <n v="618.36"/>
  </r>
  <r>
    <s v="TXN-102878"/>
    <x v="2878"/>
    <x v="0"/>
    <x v="1"/>
    <n v="11"/>
    <n v="366.38"/>
    <n v="35.450000000000003"/>
    <n v="4030.18"/>
  </r>
  <r>
    <s v="TXN-102879"/>
    <x v="2879"/>
    <x v="1"/>
    <x v="0"/>
    <n v="17"/>
    <n v="38.9"/>
    <n v="35.049999999999997"/>
    <n v="661.3"/>
  </r>
  <r>
    <s v="TXN-102880"/>
    <x v="2880"/>
    <x v="3"/>
    <x v="2"/>
    <n v="9"/>
    <n v="45.77"/>
    <n v="5.78"/>
    <n v="411.93"/>
  </r>
  <r>
    <s v="TXN-102881"/>
    <x v="2881"/>
    <x v="2"/>
    <x v="3"/>
    <n v="18"/>
    <n v="206.91"/>
    <n v="28.64"/>
    <n v="3724.38"/>
  </r>
  <r>
    <s v="TXN-102882"/>
    <x v="2882"/>
    <x v="2"/>
    <x v="3"/>
    <n v="17"/>
    <n v="125.23"/>
    <n v="41.98"/>
    <n v="2128.91"/>
  </r>
  <r>
    <s v="TXN-102883"/>
    <x v="2883"/>
    <x v="0"/>
    <x v="3"/>
    <n v="12"/>
    <n v="339.4"/>
    <n v="7"/>
    <n v="4072.7999999999997"/>
  </r>
  <r>
    <s v="TXN-102884"/>
    <x v="2884"/>
    <x v="1"/>
    <x v="2"/>
    <n v="5"/>
    <n v="291.06"/>
    <n v="48.03"/>
    <n v="1455.3"/>
  </r>
  <r>
    <s v="TXN-102885"/>
    <x v="2885"/>
    <x v="2"/>
    <x v="3"/>
    <n v="11"/>
    <n v="351.17"/>
    <n v="24.09"/>
    <n v="3862.8700000000003"/>
  </r>
  <r>
    <s v="TXN-102886"/>
    <x v="2886"/>
    <x v="1"/>
    <x v="3"/>
    <n v="4"/>
    <n v="156.57"/>
    <n v="18.05"/>
    <n v="626.28"/>
  </r>
  <r>
    <s v="TXN-102887"/>
    <x v="2887"/>
    <x v="3"/>
    <x v="3"/>
    <n v="4"/>
    <n v="337.26"/>
    <n v="28.93"/>
    <n v="1349.04"/>
  </r>
  <r>
    <s v="TXN-102888"/>
    <x v="2888"/>
    <x v="2"/>
    <x v="0"/>
    <n v="3"/>
    <n v="390.17"/>
    <n v="41.05"/>
    <n v="1170.51"/>
  </r>
  <r>
    <s v="TXN-102889"/>
    <x v="2889"/>
    <x v="0"/>
    <x v="0"/>
    <n v="17"/>
    <n v="165.52"/>
    <n v="26.36"/>
    <n v="2813.84"/>
  </r>
  <r>
    <s v="TXN-102890"/>
    <x v="2890"/>
    <x v="3"/>
    <x v="2"/>
    <n v="7"/>
    <n v="163.18"/>
    <n v="34.03"/>
    <n v="1142.26"/>
  </r>
  <r>
    <s v="TXN-102891"/>
    <x v="2891"/>
    <x v="0"/>
    <x v="2"/>
    <n v="4"/>
    <n v="406.53"/>
    <n v="27.5"/>
    <n v="1626.12"/>
  </r>
  <r>
    <s v="TXN-102892"/>
    <x v="2892"/>
    <x v="3"/>
    <x v="3"/>
    <n v="13"/>
    <n v="37.130000000000003"/>
    <n v="33.409999999999997"/>
    <n v="482.69000000000005"/>
  </r>
  <r>
    <s v="TXN-102893"/>
    <x v="2893"/>
    <x v="2"/>
    <x v="0"/>
    <n v="12"/>
    <n v="167.66"/>
    <n v="11.21"/>
    <n v="2011.92"/>
  </r>
  <r>
    <s v="TXN-102894"/>
    <x v="2894"/>
    <x v="0"/>
    <x v="1"/>
    <n v="1"/>
    <n v="67.06"/>
    <n v="6.74"/>
    <n v="67.06"/>
  </r>
  <r>
    <s v="TXN-102895"/>
    <x v="2895"/>
    <x v="0"/>
    <x v="1"/>
    <n v="19"/>
    <n v="28.09"/>
    <n v="11.16"/>
    <n v="533.71"/>
  </r>
  <r>
    <s v="TXN-102896"/>
    <x v="2896"/>
    <x v="3"/>
    <x v="3"/>
    <n v="18"/>
    <n v="64.540000000000006"/>
    <n v="17.86"/>
    <n v="1161.72"/>
  </r>
  <r>
    <s v="TXN-102897"/>
    <x v="2897"/>
    <x v="0"/>
    <x v="3"/>
    <n v="11"/>
    <n v="202.88"/>
    <n v="16.399999999999999"/>
    <n v="2231.6799999999998"/>
  </r>
  <r>
    <s v="TXN-102898"/>
    <x v="2898"/>
    <x v="3"/>
    <x v="0"/>
    <n v="3"/>
    <n v="313.98"/>
    <n v="32.68"/>
    <n v="941.94"/>
  </r>
  <r>
    <s v="TXN-102899"/>
    <x v="2899"/>
    <x v="3"/>
    <x v="0"/>
    <n v="17"/>
    <n v="141.19"/>
    <n v="25.52"/>
    <n v="2400.23"/>
  </r>
  <r>
    <s v="TXN-102900"/>
    <x v="2900"/>
    <x v="3"/>
    <x v="0"/>
    <n v="12"/>
    <n v="384.68"/>
    <n v="6.75"/>
    <n v="4616.16"/>
  </r>
  <r>
    <s v="TXN-102901"/>
    <x v="2901"/>
    <x v="3"/>
    <x v="2"/>
    <n v="10"/>
    <n v="205.64"/>
    <n v="6.57"/>
    <n v="2056.3999999999996"/>
  </r>
  <r>
    <s v="TXN-102902"/>
    <x v="2902"/>
    <x v="2"/>
    <x v="2"/>
    <n v="8"/>
    <n v="436.2"/>
    <n v="9.08"/>
    <n v="3489.6"/>
  </r>
  <r>
    <s v="TXN-102903"/>
    <x v="2903"/>
    <x v="3"/>
    <x v="3"/>
    <n v="15"/>
    <n v="430.08"/>
    <n v="20.89"/>
    <n v="6451.2"/>
  </r>
  <r>
    <s v="TXN-102904"/>
    <x v="2904"/>
    <x v="1"/>
    <x v="2"/>
    <n v="5"/>
    <n v="351.49"/>
    <n v="5.28"/>
    <n v="1757.45"/>
  </r>
  <r>
    <s v="TXN-102905"/>
    <x v="2905"/>
    <x v="0"/>
    <x v="0"/>
    <n v="4"/>
    <n v="420.63"/>
    <n v="27.23"/>
    <n v="1682.52"/>
  </r>
  <r>
    <s v="TXN-102906"/>
    <x v="2906"/>
    <x v="1"/>
    <x v="0"/>
    <n v="19"/>
    <n v="322.73"/>
    <n v="21.23"/>
    <n v="6131.8700000000008"/>
  </r>
  <r>
    <s v="TXN-102907"/>
    <x v="2907"/>
    <x v="2"/>
    <x v="2"/>
    <n v="4"/>
    <n v="404.63"/>
    <n v="29.99"/>
    <n v="1618.52"/>
  </r>
  <r>
    <s v="TXN-102908"/>
    <x v="2908"/>
    <x v="1"/>
    <x v="1"/>
    <n v="15"/>
    <n v="118.25"/>
    <n v="37.44"/>
    <n v="1773.75"/>
  </r>
  <r>
    <s v="TXN-102909"/>
    <x v="2909"/>
    <x v="0"/>
    <x v="3"/>
    <n v="17"/>
    <n v="165.59"/>
    <n v="16.29"/>
    <n v="2815.03"/>
  </r>
  <r>
    <s v="TXN-102910"/>
    <x v="2910"/>
    <x v="1"/>
    <x v="1"/>
    <n v="12"/>
    <n v="342.65"/>
    <n v="12.07"/>
    <n v="4111.7999999999993"/>
  </r>
  <r>
    <s v="TXN-102911"/>
    <x v="2911"/>
    <x v="2"/>
    <x v="3"/>
    <n v="3"/>
    <n v="199.97"/>
    <n v="17.510000000000002"/>
    <n v="599.91"/>
  </r>
  <r>
    <s v="TXN-102912"/>
    <x v="2912"/>
    <x v="3"/>
    <x v="1"/>
    <n v="10"/>
    <n v="379.32"/>
    <n v="5.08"/>
    <n v="3793.2"/>
  </r>
  <r>
    <s v="TXN-102913"/>
    <x v="2913"/>
    <x v="1"/>
    <x v="2"/>
    <n v="15"/>
    <n v="396.83"/>
    <n v="10.4"/>
    <n v="5952.45"/>
  </r>
  <r>
    <s v="TXN-102914"/>
    <x v="2914"/>
    <x v="2"/>
    <x v="3"/>
    <n v="10"/>
    <n v="145.72999999999999"/>
    <n v="38.79"/>
    <n v="1457.3"/>
  </r>
  <r>
    <s v="TXN-102915"/>
    <x v="2915"/>
    <x v="2"/>
    <x v="3"/>
    <n v="18"/>
    <n v="373.29"/>
    <n v="15.03"/>
    <n v="6719.22"/>
  </r>
  <r>
    <s v="TXN-102916"/>
    <x v="2916"/>
    <x v="0"/>
    <x v="3"/>
    <n v="1"/>
    <n v="82.53"/>
    <n v="49.74"/>
    <n v="82.53"/>
  </r>
  <r>
    <s v="TXN-102917"/>
    <x v="2917"/>
    <x v="0"/>
    <x v="0"/>
    <n v="3"/>
    <n v="160.71"/>
    <n v="12.55"/>
    <n v="482.13"/>
  </r>
  <r>
    <s v="TXN-102918"/>
    <x v="2918"/>
    <x v="1"/>
    <x v="0"/>
    <n v="12"/>
    <n v="240.56"/>
    <n v="40.49"/>
    <n v="2886.7200000000003"/>
  </r>
  <r>
    <s v="TXN-102919"/>
    <x v="2919"/>
    <x v="3"/>
    <x v="1"/>
    <n v="1"/>
    <n v="113.89"/>
    <n v="36.729999999999997"/>
    <n v="113.89"/>
  </r>
  <r>
    <s v="TXN-102920"/>
    <x v="2920"/>
    <x v="2"/>
    <x v="2"/>
    <n v="3"/>
    <n v="267.19"/>
    <n v="19.5"/>
    <n v="801.56999999999994"/>
  </r>
  <r>
    <s v="TXN-102921"/>
    <x v="2921"/>
    <x v="1"/>
    <x v="0"/>
    <n v="3"/>
    <n v="266.94"/>
    <n v="19.88"/>
    <n v="800.81999999999994"/>
  </r>
  <r>
    <s v="TXN-102922"/>
    <x v="2922"/>
    <x v="2"/>
    <x v="3"/>
    <n v="5"/>
    <n v="105.4"/>
    <n v="30.36"/>
    <n v="527"/>
  </r>
  <r>
    <s v="TXN-102923"/>
    <x v="2923"/>
    <x v="2"/>
    <x v="0"/>
    <n v="19"/>
    <n v="361.21"/>
    <n v="43.36"/>
    <n v="6862.99"/>
  </r>
  <r>
    <s v="TXN-102924"/>
    <x v="2924"/>
    <x v="3"/>
    <x v="2"/>
    <n v="1"/>
    <n v="289.95"/>
    <n v="22.38"/>
    <n v="289.95"/>
  </r>
  <r>
    <s v="TXN-102925"/>
    <x v="2925"/>
    <x v="3"/>
    <x v="0"/>
    <n v="4"/>
    <n v="153.57"/>
    <n v="7.75"/>
    <n v="614.28"/>
  </r>
  <r>
    <s v="TXN-102926"/>
    <x v="2926"/>
    <x v="1"/>
    <x v="3"/>
    <n v="4"/>
    <n v="116.38"/>
    <n v="21.85"/>
    <n v="465.52"/>
  </r>
  <r>
    <s v="TXN-102927"/>
    <x v="2927"/>
    <x v="3"/>
    <x v="1"/>
    <n v="17"/>
    <n v="397.32"/>
    <n v="14.33"/>
    <n v="6754.44"/>
  </r>
  <r>
    <s v="TXN-102928"/>
    <x v="2928"/>
    <x v="3"/>
    <x v="3"/>
    <n v="14"/>
    <n v="378.63"/>
    <n v="47.26"/>
    <n v="5300.82"/>
  </r>
  <r>
    <s v="TXN-102929"/>
    <x v="2929"/>
    <x v="1"/>
    <x v="2"/>
    <n v="18"/>
    <n v="115.33"/>
    <n v="36.380000000000003"/>
    <n v="2075.94"/>
  </r>
  <r>
    <s v="TXN-102930"/>
    <x v="2930"/>
    <x v="3"/>
    <x v="1"/>
    <n v="1"/>
    <n v="30.97"/>
    <n v="7.29"/>
    <n v="30.97"/>
  </r>
  <r>
    <s v="TXN-102931"/>
    <x v="2931"/>
    <x v="0"/>
    <x v="0"/>
    <n v="16"/>
    <n v="365.07"/>
    <n v="18.18"/>
    <n v="5841.12"/>
  </r>
  <r>
    <s v="TXN-102932"/>
    <x v="2932"/>
    <x v="2"/>
    <x v="0"/>
    <n v="3"/>
    <n v="282.94"/>
    <n v="7.26"/>
    <n v="848.81999999999994"/>
  </r>
  <r>
    <s v="TXN-102933"/>
    <x v="2933"/>
    <x v="2"/>
    <x v="0"/>
    <n v="9"/>
    <n v="59.33"/>
    <n v="42.35"/>
    <n v="533.97"/>
  </r>
  <r>
    <s v="TXN-102934"/>
    <x v="2934"/>
    <x v="2"/>
    <x v="1"/>
    <n v="4"/>
    <n v="270.70999999999998"/>
    <n v="45.78"/>
    <n v="1082.8399999999999"/>
  </r>
  <r>
    <s v="TXN-102935"/>
    <x v="2935"/>
    <x v="2"/>
    <x v="3"/>
    <n v="5"/>
    <n v="211.97"/>
    <n v="10.050000000000001"/>
    <n v="1059.8499999999999"/>
  </r>
  <r>
    <s v="TXN-102936"/>
    <x v="2936"/>
    <x v="1"/>
    <x v="1"/>
    <n v="11"/>
    <n v="352.04"/>
    <n v="24.81"/>
    <n v="3872.44"/>
  </r>
  <r>
    <s v="TXN-102937"/>
    <x v="2937"/>
    <x v="2"/>
    <x v="1"/>
    <n v="9"/>
    <n v="106.35"/>
    <n v="46.93"/>
    <n v="957.15"/>
  </r>
  <r>
    <s v="TXN-102938"/>
    <x v="2938"/>
    <x v="2"/>
    <x v="2"/>
    <n v="3"/>
    <n v="212.4"/>
    <n v="11.53"/>
    <n v="637.20000000000005"/>
  </r>
  <r>
    <s v="TXN-102939"/>
    <x v="2939"/>
    <x v="2"/>
    <x v="1"/>
    <n v="6"/>
    <n v="83.39"/>
    <n v="18.14"/>
    <n v="500.34000000000003"/>
  </r>
  <r>
    <s v="TXN-102940"/>
    <x v="2940"/>
    <x v="2"/>
    <x v="0"/>
    <n v="11"/>
    <n v="431.55"/>
    <n v="18.690000000000001"/>
    <n v="4747.05"/>
  </r>
  <r>
    <s v="TXN-102941"/>
    <x v="2941"/>
    <x v="0"/>
    <x v="3"/>
    <n v="9"/>
    <n v="353.86"/>
    <n v="6.35"/>
    <n v="3184.7400000000002"/>
  </r>
  <r>
    <s v="TXN-102942"/>
    <x v="2942"/>
    <x v="2"/>
    <x v="3"/>
    <n v="15"/>
    <n v="335.61"/>
    <n v="6.63"/>
    <n v="5034.1500000000005"/>
  </r>
  <r>
    <s v="TXN-102943"/>
    <x v="2943"/>
    <x v="0"/>
    <x v="3"/>
    <n v="3"/>
    <n v="315.39"/>
    <n v="47.88"/>
    <n v="946.17"/>
  </r>
  <r>
    <s v="TXN-102944"/>
    <x v="2944"/>
    <x v="1"/>
    <x v="0"/>
    <n v="1"/>
    <n v="199.44"/>
    <n v="30.7"/>
    <n v="199.44"/>
  </r>
  <r>
    <s v="TXN-102945"/>
    <x v="2945"/>
    <x v="3"/>
    <x v="0"/>
    <n v="19"/>
    <n v="416.67"/>
    <n v="18.8"/>
    <n v="7916.7300000000005"/>
  </r>
  <r>
    <s v="TXN-102946"/>
    <x v="2946"/>
    <x v="2"/>
    <x v="0"/>
    <n v="14"/>
    <n v="47.18"/>
    <n v="22.04"/>
    <n v="660.52"/>
  </r>
  <r>
    <s v="TXN-102947"/>
    <x v="2947"/>
    <x v="3"/>
    <x v="0"/>
    <n v="17"/>
    <n v="364.52"/>
    <n v="37.17"/>
    <n v="6196.84"/>
  </r>
  <r>
    <s v="TXN-102948"/>
    <x v="2948"/>
    <x v="3"/>
    <x v="0"/>
    <n v="14"/>
    <n v="109.02"/>
    <n v="21.49"/>
    <n v="1526.28"/>
  </r>
  <r>
    <s v="TXN-102949"/>
    <x v="2949"/>
    <x v="1"/>
    <x v="1"/>
    <n v="17"/>
    <n v="156.29"/>
    <n v="15.25"/>
    <n v="2656.93"/>
  </r>
  <r>
    <s v="TXN-102950"/>
    <x v="2950"/>
    <x v="3"/>
    <x v="0"/>
    <n v="14"/>
    <n v="241.19"/>
    <n v="9.58"/>
    <n v="3376.66"/>
  </r>
  <r>
    <s v="TXN-102951"/>
    <x v="2951"/>
    <x v="0"/>
    <x v="0"/>
    <n v="12"/>
    <n v="355.56"/>
    <n v="37.799999999999997"/>
    <n v="4266.72"/>
  </r>
  <r>
    <s v="TXN-102952"/>
    <x v="2952"/>
    <x v="3"/>
    <x v="0"/>
    <n v="16"/>
    <n v="379.84"/>
    <n v="13.13"/>
    <n v="6077.44"/>
  </r>
  <r>
    <s v="TXN-102953"/>
    <x v="2953"/>
    <x v="3"/>
    <x v="0"/>
    <n v="1"/>
    <n v="269.13"/>
    <n v="8.1300000000000008"/>
    <n v="269.13"/>
  </r>
  <r>
    <s v="TXN-102954"/>
    <x v="2954"/>
    <x v="3"/>
    <x v="3"/>
    <n v="13"/>
    <n v="190.62"/>
    <n v="24.21"/>
    <n v="2478.06"/>
  </r>
  <r>
    <s v="TXN-102955"/>
    <x v="2955"/>
    <x v="2"/>
    <x v="0"/>
    <n v="6"/>
    <n v="426.76"/>
    <n v="6.78"/>
    <n v="2560.56"/>
  </r>
  <r>
    <s v="TXN-102956"/>
    <x v="2956"/>
    <x v="2"/>
    <x v="1"/>
    <n v="17"/>
    <n v="122.61"/>
    <n v="48.42"/>
    <n v="2084.37"/>
  </r>
  <r>
    <s v="TXN-102957"/>
    <x v="2957"/>
    <x v="0"/>
    <x v="1"/>
    <n v="12"/>
    <n v="364.44"/>
    <n v="33.229999999999997"/>
    <n v="4373.28"/>
  </r>
  <r>
    <s v="TXN-102958"/>
    <x v="2958"/>
    <x v="0"/>
    <x v="1"/>
    <n v="19"/>
    <n v="281.44"/>
    <n v="11.87"/>
    <n v="5347.36"/>
  </r>
  <r>
    <s v="TXN-102959"/>
    <x v="2959"/>
    <x v="2"/>
    <x v="2"/>
    <n v="6"/>
    <n v="179.26"/>
    <n v="12.76"/>
    <n v="1075.56"/>
  </r>
  <r>
    <s v="TXN-102960"/>
    <x v="2960"/>
    <x v="0"/>
    <x v="3"/>
    <n v="7"/>
    <n v="16.09"/>
    <n v="30.64"/>
    <n v="112.63"/>
  </r>
  <r>
    <s v="TXN-102961"/>
    <x v="2961"/>
    <x v="2"/>
    <x v="0"/>
    <n v="1"/>
    <n v="209.55"/>
    <n v="21.05"/>
    <n v="209.55"/>
  </r>
  <r>
    <s v="TXN-102962"/>
    <x v="2962"/>
    <x v="1"/>
    <x v="2"/>
    <n v="1"/>
    <n v="135.72999999999999"/>
    <n v="39.840000000000003"/>
    <n v="135.72999999999999"/>
  </r>
  <r>
    <s v="TXN-102963"/>
    <x v="2963"/>
    <x v="3"/>
    <x v="0"/>
    <n v="5"/>
    <n v="60.84"/>
    <n v="29.56"/>
    <n v="304.20000000000005"/>
  </r>
  <r>
    <s v="TXN-102964"/>
    <x v="2964"/>
    <x v="3"/>
    <x v="2"/>
    <n v="6"/>
    <n v="48.16"/>
    <n v="24.5"/>
    <n v="288.95999999999998"/>
  </r>
  <r>
    <s v="TXN-102965"/>
    <x v="2965"/>
    <x v="0"/>
    <x v="2"/>
    <n v="16"/>
    <n v="166.51"/>
    <n v="48.33"/>
    <n v="2664.16"/>
  </r>
  <r>
    <s v="TXN-102966"/>
    <x v="2966"/>
    <x v="2"/>
    <x v="1"/>
    <n v="16"/>
    <n v="282.61"/>
    <n v="22.58"/>
    <n v="4521.76"/>
  </r>
  <r>
    <s v="TXN-102967"/>
    <x v="2967"/>
    <x v="2"/>
    <x v="1"/>
    <n v="14"/>
    <n v="379.4"/>
    <n v="23.03"/>
    <n v="5311.5999999999995"/>
  </r>
  <r>
    <s v="TXN-102968"/>
    <x v="2968"/>
    <x v="0"/>
    <x v="2"/>
    <n v="1"/>
    <n v="95.26"/>
    <n v="34.96"/>
    <n v="95.26"/>
  </r>
  <r>
    <s v="TXN-102969"/>
    <x v="2969"/>
    <x v="2"/>
    <x v="1"/>
    <n v="13"/>
    <n v="200.01"/>
    <n v="41.43"/>
    <n v="2600.13"/>
  </r>
  <r>
    <s v="TXN-102970"/>
    <x v="2970"/>
    <x v="1"/>
    <x v="2"/>
    <n v="10"/>
    <n v="185.8"/>
    <n v="33.18"/>
    <n v="1858"/>
  </r>
  <r>
    <s v="TXN-102971"/>
    <x v="2971"/>
    <x v="3"/>
    <x v="3"/>
    <n v="10"/>
    <n v="238.57"/>
    <n v="36.44"/>
    <n v="2385.6999999999998"/>
  </r>
  <r>
    <s v="TXN-102972"/>
    <x v="2972"/>
    <x v="0"/>
    <x v="1"/>
    <n v="9"/>
    <n v="367.27"/>
    <n v="21.78"/>
    <n v="3305.43"/>
  </r>
  <r>
    <s v="TXN-102973"/>
    <x v="2973"/>
    <x v="0"/>
    <x v="1"/>
    <n v="13"/>
    <n v="256.06"/>
    <n v="26.58"/>
    <n v="3328.78"/>
  </r>
  <r>
    <s v="TXN-102974"/>
    <x v="2974"/>
    <x v="2"/>
    <x v="1"/>
    <n v="3"/>
    <n v="383.37"/>
    <n v="13.87"/>
    <n v="1150.1100000000001"/>
  </r>
  <r>
    <s v="TXN-102975"/>
    <x v="2975"/>
    <x v="0"/>
    <x v="3"/>
    <n v="18"/>
    <n v="240.81"/>
    <n v="35.61"/>
    <n v="4334.58"/>
  </r>
  <r>
    <s v="TXN-102976"/>
    <x v="2976"/>
    <x v="1"/>
    <x v="2"/>
    <n v="2"/>
    <n v="277.87"/>
    <n v="14.97"/>
    <n v="555.74"/>
  </r>
  <r>
    <s v="TXN-102977"/>
    <x v="2977"/>
    <x v="2"/>
    <x v="0"/>
    <n v="17"/>
    <n v="205.54"/>
    <n v="5.0599999999999996"/>
    <n v="3494.18"/>
  </r>
  <r>
    <s v="TXN-102978"/>
    <x v="2978"/>
    <x v="2"/>
    <x v="1"/>
    <n v="19"/>
    <n v="373.14"/>
    <n v="47.02"/>
    <n v="7089.66"/>
  </r>
  <r>
    <s v="TXN-102979"/>
    <x v="2979"/>
    <x v="2"/>
    <x v="2"/>
    <n v="13"/>
    <n v="416.9"/>
    <n v="18.77"/>
    <n v="5419.7"/>
  </r>
  <r>
    <s v="TXN-102980"/>
    <x v="2980"/>
    <x v="2"/>
    <x v="3"/>
    <n v="13"/>
    <n v="293.20999999999998"/>
    <n v="13.85"/>
    <n v="3811.7299999999996"/>
  </r>
  <r>
    <s v="TXN-102981"/>
    <x v="2981"/>
    <x v="1"/>
    <x v="0"/>
    <n v="1"/>
    <n v="372.13"/>
    <n v="17.07"/>
    <n v="372.13"/>
  </r>
  <r>
    <s v="TXN-102982"/>
    <x v="2982"/>
    <x v="2"/>
    <x v="1"/>
    <n v="2"/>
    <n v="41.14"/>
    <n v="19.87"/>
    <n v="82.28"/>
  </r>
  <r>
    <s v="TXN-102983"/>
    <x v="2983"/>
    <x v="0"/>
    <x v="3"/>
    <n v="1"/>
    <n v="409.21"/>
    <n v="26.35"/>
    <n v="409.21"/>
  </r>
  <r>
    <s v="TXN-102984"/>
    <x v="2984"/>
    <x v="1"/>
    <x v="3"/>
    <n v="5"/>
    <n v="97.59"/>
    <n v="8.1199999999999992"/>
    <n v="487.95000000000005"/>
  </r>
  <r>
    <s v="TXN-102985"/>
    <x v="2985"/>
    <x v="3"/>
    <x v="0"/>
    <n v="3"/>
    <n v="126.96"/>
    <n v="7.37"/>
    <n v="380.88"/>
  </r>
  <r>
    <s v="TXN-102986"/>
    <x v="2986"/>
    <x v="3"/>
    <x v="2"/>
    <n v="7"/>
    <n v="38.67"/>
    <n v="18.18"/>
    <n v="270.69"/>
  </r>
  <r>
    <s v="TXN-102987"/>
    <x v="2987"/>
    <x v="0"/>
    <x v="1"/>
    <n v="13"/>
    <n v="434.97"/>
    <n v="18.309999999999999"/>
    <n v="5654.6100000000006"/>
  </r>
  <r>
    <s v="TXN-102988"/>
    <x v="2988"/>
    <x v="0"/>
    <x v="1"/>
    <n v="18"/>
    <n v="385.7"/>
    <n v="10.29"/>
    <n v="6942.5999999999995"/>
  </r>
  <r>
    <s v="TXN-102989"/>
    <x v="2989"/>
    <x v="1"/>
    <x v="2"/>
    <n v="7"/>
    <n v="412.28"/>
    <n v="23.22"/>
    <n v="2885.96"/>
  </r>
  <r>
    <s v="TXN-102990"/>
    <x v="2990"/>
    <x v="3"/>
    <x v="2"/>
    <n v="1"/>
    <n v="383.62"/>
    <n v="17.78"/>
    <n v="383.62"/>
  </r>
  <r>
    <s v="TXN-102991"/>
    <x v="2991"/>
    <x v="3"/>
    <x v="2"/>
    <n v="5"/>
    <n v="223.86"/>
    <n v="6.17"/>
    <n v="1119.3000000000002"/>
  </r>
  <r>
    <s v="TXN-102992"/>
    <x v="2992"/>
    <x v="3"/>
    <x v="0"/>
    <n v="17"/>
    <n v="417.01"/>
    <n v="44.86"/>
    <n v="7089.17"/>
  </r>
  <r>
    <s v="TXN-102993"/>
    <x v="2993"/>
    <x v="3"/>
    <x v="0"/>
    <n v="8"/>
    <n v="436.74"/>
    <n v="44.87"/>
    <n v="3493.92"/>
  </r>
  <r>
    <s v="TXN-102994"/>
    <x v="2994"/>
    <x v="3"/>
    <x v="1"/>
    <n v="15"/>
    <n v="233.87"/>
    <n v="14.41"/>
    <n v="3508.05"/>
  </r>
  <r>
    <s v="TXN-102995"/>
    <x v="2995"/>
    <x v="2"/>
    <x v="0"/>
    <n v="4"/>
    <n v="91.81"/>
    <n v="12.33"/>
    <n v="367.24"/>
  </r>
  <r>
    <s v="TXN-102996"/>
    <x v="2996"/>
    <x v="0"/>
    <x v="3"/>
    <n v="2"/>
    <n v="301.67"/>
    <n v="29.63"/>
    <n v="603.34"/>
  </r>
  <r>
    <s v="TXN-102997"/>
    <x v="2997"/>
    <x v="2"/>
    <x v="1"/>
    <n v="5"/>
    <n v="439.33"/>
    <n v="33.380000000000003"/>
    <n v="2196.65"/>
  </r>
  <r>
    <s v="TXN-102998"/>
    <x v="2998"/>
    <x v="3"/>
    <x v="0"/>
    <n v="1"/>
    <n v="394.45"/>
    <n v="48.09"/>
    <n v="394.45"/>
  </r>
  <r>
    <s v="TXN-102999"/>
    <x v="2999"/>
    <x v="1"/>
    <x v="2"/>
    <n v="5"/>
    <n v="389.96"/>
    <n v="21.98"/>
    <n v="1949.8"/>
  </r>
  <r>
    <s v="TXN-103000"/>
    <x v="3000"/>
    <x v="1"/>
    <x v="3"/>
    <n v="6"/>
    <n v="421.24"/>
    <n v="32.82"/>
    <n v="2527.44"/>
  </r>
  <r>
    <s v="TXN-103001"/>
    <x v="3001"/>
    <x v="3"/>
    <x v="2"/>
    <n v="2"/>
    <n v="403.92"/>
    <n v="44.52"/>
    <n v="807.84"/>
  </r>
  <r>
    <s v="TXN-103002"/>
    <x v="3002"/>
    <x v="3"/>
    <x v="1"/>
    <n v="1"/>
    <n v="352.79"/>
    <n v="25.25"/>
    <n v="352.79"/>
  </r>
  <r>
    <s v="TXN-103003"/>
    <x v="3003"/>
    <x v="1"/>
    <x v="2"/>
    <n v="4"/>
    <n v="327.58999999999997"/>
    <n v="10.51"/>
    <n v="1310.3599999999999"/>
  </r>
  <r>
    <s v="TXN-103004"/>
    <x v="3004"/>
    <x v="2"/>
    <x v="0"/>
    <n v="7"/>
    <n v="130.54"/>
    <n v="21.99"/>
    <n v="913.78"/>
  </r>
  <r>
    <s v="TXN-103005"/>
    <x v="3005"/>
    <x v="2"/>
    <x v="0"/>
    <n v="1"/>
    <n v="285.47000000000003"/>
    <n v="11.15"/>
    <n v="285.47000000000003"/>
  </r>
  <r>
    <s v="TXN-103006"/>
    <x v="3006"/>
    <x v="3"/>
    <x v="1"/>
    <n v="1"/>
    <n v="242.09"/>
    <n v="5.75"/>
    <n v="242.09"/>
  </r>
  <r>
    <s v="TXN-103007"/>
    <x v="3007"/>
    <x v="2"/>
    <x v="2"/>
    <n v="8"/>
    <n v="390.01"/>
    <n v="38.82"/>
    <n v="3120.08"/>
  </r>
  <r>
    <s v="TXN-103008"/>
    <x v="3008"/>
    <x v="1"/>
    <x v="1"/>
    <n v="16"/>
    <n v="229.15"/>
    <n v="15.73"/>
    <n v="3666.4"/>
  </r>
  <r>
    <s v="TXN-103009"/>
    <x v="3009"/>
    <x v="2"/>
    <x v="2"/>
    <n v="13"/>
    <n v="71"/>
    <n v="5.09"/>
    <n v="923"/>
  </r>
  <r>
    <s v="TXN-103010"/>
    <x v="3010"/>
    <x v="3"/>
    <x v="3"/>
    <n v="18"/>
    <n v="17.66"/>
    <n v="44.26"/>
    <n v="317.88"/>
  </r>
  <r>
    <s v="TXN-103011"/>
    <x v="3011"/>
    <x v="1"/>
    <x v="0"/>
    <n v="10"/>
    <n v="310.04000000000002"/>
    <n v="24.97"/>
    <n v="3100.4"/>
  </r>
  <r>
    <s v="TXN-103012"/>
    <x v="3012"/>
    <x v="2"/>
    <x v="1"/>
    <n v="12"/>
    <n v="254.44"/>
    <n v="15.75"/>
    <n v="3053.2799999999997"/>
  </r>
  <r>
    <s v="TXN-103013"/>
    <x v="3013"/>
    <x v="0"/>
    <x v="3"/>
    <n v="1"/>
    <n v="159.30000000000001"/>
    <n v="16.829999999999998"/>
    <n v="159.30000000000001"/>
  </r>
  <r>
    <s v="TXN-103014"/>
    <x v="3014"/>
    <x v="1"/>
    <x v="3"/>
    <n v="10"/>
    <n v="88.92"/>
    <n v="15.82"/>
    <n v="889.2"/>
  </r>
  <r>
    <s v="TXN-103015"/>
    <x v="3015"/>
    <x v="1"/>
    <x v="1"/>
    <n v="9"/>
    <n v="218.29"/>
    <n v="13.76"/>
    <n v="1964.61"/>
  </r>
  <r>
    <s v="TXN-103016"/>
    <x v="3016"/>
    <x v="0"/>
    <x v="1"/>
    <n v="3"/>
    <n v="59.07"/>
    <n v="42.86"/>
    <n v="177.21"/>
  </r>
  <r>
    <s v="TXN-103017"/>
    <x v="3017"/>
    <x v="0"/>
    <x v="3"/>
    <n v="19"/>
    <n v="161.54"/>
    <n v="12.66"/>
    <n v="3069.2599999999998"/>
  </r>
  <r>
    <s v="TXN-103018"/>
    <x v="3018"/>
    <x v="1"/>
    <x v="2"/>
    <n v="9"/>
    <n v="180.27"/>
    <n v="30.28"/>
    <n v="1622.43"/>
  </r>
  <r>
    <s v="TXN-103019"/>
    <x v="3019"/>
    <x v="0"/>
    <x v="3"/>
    <n v="10"/>
    <n v="217.81"/>
    <n v="8.48"/>
    <n v="2178.1"/>
  </r>
  <r>
    <s v="TXN-103020"/>
    <x v="3020"/>
    <x v="3"/>
    <x v="1"/>
    <n v="19"/>
    <n v="218.25"/>
    <n v="47.73"/>
    <n v="4146.75"/>
  </r>
  <r>
    <s v="TXN-103021"/>
    <x v="3021"/>
    <x v="3"/>
    <x v="3"/>
    <n v="16"/>
    <n v="127.17"/>
    <n v="32.15"/>
    <n v="2034.72"/>
  </r>
  <r>
    <s v="TXN-103022"/>
    <x v="3022"/>
    <x v="3"/>
    <x v="2"/>
    <n v="18"/>
    <n v="384.92"/>
    <n v="45.64"/>
    <n v="6928.56"/>
  </r>
  <r>
    <s v="TXN-103023"/>
    <x v="3023"/>
    <x v="1"/>
    <x v="0"/>
    <n v="14"/>
    <n v="169.98"/>
    <n v="22.9"/>
    <n v="2379.7199999999998"/>
  </r>
  <r>
    <s v="TXN-103024"/>
    <x v="3024"/>
    <x v="0"/>
    <x v="0"/>
    <n v="3"/>
    <n v="115.26"/>
    <n v="41.48"/>
    <n v="345.78000000000003"/>
  </r>
  <r>
    <s v="TXN-103025"/>
    <x v="3025"/>
    <x v="0"/>
    <x v="3"/>
    <n v="2"/>
    <n v="91.89"/>
    <n v="43.41"/>
    <n v="183.78"/>
  </r>
  <r>
    <s v="TXN-103026"/>
    <x v="3026"/>
    <x v="2"/>
    <x v="2"/>
    <n v="1"/>
    <n v="155.66"/>
    <n v="36.630000000000003"/>
    <n v="155.66"/>
  </r>
  <r>
    <s v="TXN-103027"/>
    <x v="3027"/>
    <x v="2"/>
    <x v="0"/>
    <n v="18"/>
    <n v="44.85"/>
    <n v="9.18"/>
    <n v="807.30000000000007"/>
  </r>
  <r>
    <s v="TXN-103028"/>
    <x v="3028"/>
    <x v="0"/>
    <x v="3"/>
    <n v="9"/>
    <n v="29.8"/>
    <n v="5.72"/>
    <n v="268.2"/>
  </r>
  <r>
    <s v="TXN-103029"/>
    <x v="3029"/>
    <x v="0"/>
    <x v="3"/>
    <n v="13"/>
    <n v="278.43"/>
    <n v="12.59"/>
    <n v="3619.59"/>
  </r>
  <r>
    <s v="TXN-103030"/>
    <x v="3030"/>
    <x v="0"/>
    <x v="2"/>
    <n v="2"/>
    <n v="284.52"/>
    <n v="10.31"/>
    <n v="569.04"/>
  </r>
  <r>
    <s v="TXN-103031"/>
    <x v="3031"/>
    <x v="1"/>
    <x v="1"/>
    <n v="7"/>
    <n v="245.61"/>
    <n v="37.630000000000003"/>
    <n v="1719.27"/>
  </r>
  <r>
    <s v="TXN-103032"/>
    <x v="3032"/>
    <x v="0"/>
    <x v="3"/>
    <n v="16"/>
    <n v="346.71"/>
    <n v="30.07"/>
    <n v="5547.36"/>
  </r>
  <r>
    <s v="TXN-103033"/>
    <x v="3033"/>
    <x v="2"/>
    <x v="1"/>
    <n v="19"/>
    <n v="32.51"/>
    <n v="28.67"/>
    <n v="617.68999999999994"/>
  </r>
  <r>
    <s v="TXN-103034"/>
    <x v="3034"/>
    <x v="1"/>
    <x v="1"/>
    <n v="15"/>
    <n v="422.18"/>
    <n v="16.38"/>
    <n v="6332.7"/>
  </r>
  <r>
    <s v="TXN-103035"/>
    <x v="3035"/>
    <x v="0"/>
    <x v="0"/>
    <n v="11"/>
    <n v="56.81"/>
    <n v="11.96"/>
    <n v="624.91000000000008"/>
  </r>
  <r>
    <s v="TXN-103036"/>
    <x v="3036"/>
    <x v="2"/>
    <x v="1"/>
    <n v="1"/>
    <n v="308.36"/>
    <n v="14.29"/>
    <n v="308.36"/>
  </r>
  <r>
    <s v="TXN-103037"/>
    <x v="3037"/>
    <x v="1"/>
    <x v="2"/>
    <n v="7"/>
    <n v="73.459999999999994"/>
    <n v="23.01"/>
    <n v="514.21999999999991"/>
  </r>
  <r>
    <s v="TXN-103038"/>
    <x v="3038"/>
    <x v="0"/>
    <x v="0"/>
    <n v="8"/>
    <n v="397.82"/>
    <n v="38.31"/>
    <n v="3182.56"/>
  </r>
  <r>
    <s v="TXN-103039"/>
    <x v="3039"/>
    <x v="0"/>
    <x v="0"/>
    <n v="10"/>
    <n v="237.4"/>
    <n v="16.45"/>
    <n v="2374"/>
  </r>
  <r>
    <s v="TXN-103040"/>
    <x v="3040"/>
    <x v="0"/>
    <x v="0"/>
    <n v="5"/>
    <n v="51.26"/>
    <n v="36.44"/>
    <n v="256.3"/>
  </r>
  <r>
    <s v="TXN-103041"/>
    <x v="3041"/>
    <x v="1"/>
    <x v="3"/>
    <n v="9"/>
    <n v="283.47000000000003"/>
    <n v="27.12"/>
    <n v="2551.2300000000005"/>
  </r>
  <r>
    <s v="TXN-103042"/>
    <x v="3042"/>
    <x v="2"/>
    <x v="3"/>
    <n v="1"/>
    <n v="19.46"/>
    <n v="44.84"/>
    <n v="19.46"/>
  </r>
  <r>
    <s v="TXN-103043"/>
    <x v="3043"/>
    <x v="2"/>
    <x v="1"/>
    <n v="2"/>
    <n v="352.68"/>
    <n v="15.48"/>
    <n v="705.36"/>
  </r>
  <r>
    <s v="TXN-103044"/>
    <x v="3044"/>
    <x v="3"/>
    <x v="0"/>
    <n v="19"/>
    <n v="298.18"/>
    <n v="25.29"/>
    <n v="5665.42"/>
  </r>
  <r>
    <s v="TXN-103045"/>
    <x v="3045"/>
    <x v="0"/>
    <x v="0"/>
    <n v="14"/>
    <n v="107.89"/>
    <n v="9.35"/>
    <n v="1510.46"/>
  </r>
  <r>
    <s v="TXN-103046"/>
    <x v="3046"/>
    <x v="3"/>
    <x v="2"/>
    <n v="10"/>
    <n v="178.33"/>
    <n v="20.079999999999998"/>
    <n v="1783.3000000000002"/>
  </r>
  <r>
    <s v="TXN-103047"/>
    <x v="3047"/>
    <x v="3"/>
    <x v="1"/>
    <n v="9"/>
    <n v="18.89"/>
    <n v="27.81"/>
    <n v="170.01"/>
  </r>
  <r>
    <s v="TXN-103048"/>
    <x v="3048"/>
    <x v="2"/>
    <x v="2"/>
    <n v="10"/>
    <n v="316.91000000000003"/>
    <n v="37.97"/>
    <n v="3169.1000000000004"/>
  </r>
  <r>
    <s v="TXN-103049"/>
    <x v="3049"/>
    <x v="1"/>
    <x v="1"/>
    <n v="6"/>
    <n v="155.69999999999999"/>
    <n v="13.91"/>
    <n v="934.19999999999993"/>
  </r>
  <r>
    <s v="TXN-103050"/>
    <x v="3050"/>
    <x v="1"/>
    <x v="1"/>
    <n v="17"/>
    <n v="263.86"/>
    <n v="14.81"/>
    <n v="4485.62"/>
  </r>
  <r>
    <s v="TXN-103051"/>
    <x v="3051"/>
    <x v="2"/>
    <x v="3"/>
    <n v="6"/>
    <n v="431.2"/>
    <n v="33.42"/>
    <n v="2587.1999999999998"/>
  </r>
  <r>
    <s v="TXN-103052"/>
    <x v="3052"/>
    <x v="1"/>
    <x v="3"/>
    <n v="4"/>
    <n v="145.62"/>
    <n v="22.21"/>
    <n v="582.48"/>
  </r>
  <r>
    <s v="TXN-103053"/>
    <x v="3053"/>
    <x v="3"/>
    <x v="2"/>
    <n v="3"/>
    <n v="445.76"/>
    <n v="26.69"/>
    <n v="1337.28"/>
  </r>
  <r>
    <s v="TXN-103054"/>
    <x v="3054"/>
    <x v="0"/>
    <x v="1"/>
    <n v="19"/>
    <n v="290.42"/>
    <n v="42.63"/>
    <n v="5517.9800000000005"/>
  </r>
  <r>
    <s v="TXN-103055"/>
    <x v="3055"/>
    <x v="2"/>
    <x v="0"/>
    <n v="18"/>
    <n v="120.69"/>
    <n v="27.46"/>
    <n v="2172.42"/>
  </r>
  <r>
    <s v="TXN-103056"/>
    <x v="3056"/>
    <x v="0"/>
    <x v="3"/>
    <n v="4"/>
    <n v="205.28"/>
    <n v="34.36"/>
    <n v="821.12"/>
  </r>
  <r>
    <s v="TXN-103057"/>
    <x v="3057"/>
    <x v="1"/>
    <x v="0"/>
    <n v="8"/>
    <n v="337.23"/>
    <n v="34.549999999999997"/>
    <n v="2697.84"/>
  </r>
  <r>
    <s v="TXN-103058"/>
    <x v="3058"/>
    <x v="0"/>
    <x v="2"/>
    <n v="17"/>
    <n v="209.49"/>
    <n v="41.16"/>
    <n v="3561.33"/>
  </r>
  <r>
    <s v="TXN-103059"/>
    <x v="3059"/>
    <x v="1"/>
    <x v="3"/>
    <n v="5"/>
    <n v="45.27"/>
    <n v="33.72"/>
    <n v="226.35000000000002"/>
  </r>
  <r>
    <s v="TXN-103060"/>
    <x v="3060"/>
    <x v="1"/>
    <x v="3"/>
    <n v="13"/>
    <n v="88.76"/>
    <n v="7.92"/>
    <n v="1153.8800000000001"/>
  </r>
  <r>
    <s v="TXN-103061"/>
    <x v="3061"/>
    <x v="3"/>
    <x v="1"/>
    <n v="1"/>
    <n v="359.32"/>
    <n v="20.399999999999999"/>
    <n v="359.32"/>
  </r>
  <r>
    <s v="TXN-103062"/>
    <x v="3062"/>
    <x v="1"/>
    <x v="2"/>
    <n v="13"/>
    <n v="297.22000000000003"/>
    <n v="49.52"/>
    <n v="3863.8600000000006"/>
  </r>
  <r>
    <s v="TXN-103063"/>
    <x v="3063"/>
    <x v="3"/>
    <x v="1"/>
    <n v="4"/>
    <n v="263.08999999999997"/>
    <n v="13.84"/>
    <n v="1052.3599999999999"/>
  </r>
  <r>
    <s v="TXN-103064"/>
    <x v="3064"/>
    <x v="3"/>
    <x v="3"/>
    <n v="14"/>
    <n v="88.33"/>
    <n v="31.4"/>
    <n v="1236.6199999999999"/>
  </r>
  <r>
    <s v="TXN-103065"/>
    <x v="3065"/>
    <x v="3"/>
    <x v="2"/>
    <n v="3"/>
    <n v="379.51"/>
    <n v="42.93"/>
    <n v="1138.53"/>
  </r>
  <r>
    <s v="TXN-103066"/>
    <x v="3066"/>
    <x v="2"/>
    <x v="3"/>
    <n v="5"/>
    <n v="432.94"/>
    <n v="31.4"/>
    <n v="2164.6999999999998"/>
  </r>
  <r>
    <s v="TXN-103067"/>
    <x v="3067"/>
    <x v="2"/>
    <x v="2"/>
    <n v="7"/>
    <n v="33.270000000000003"/>
    <n v="21.75"/>
    <n v="232.89000000000001"/>
  </r>
  <r>
    <s v="TXN-103068"/>
    <x v="3068"/>
    <x v="1"/>
    <x v="3"/>
    <n v="1"/>
    <n v="49.4"/>
    <n v="8.61"/>
    <n v="49.4"/>
  </r>
  <r>
    <s v="TXN-103069"/>
    <x v="3069"/>
    <x v="3"/>
    <x v="0"/>
    <n v="12"/>
    <n v="399.91"/>
    <n v="21.27"/>
    <n v="4798.92"/>
  </r>
  <r>
    <s v="TXN-103070"/>
    <x v="3070"/>
    <x v="2"/>
    <x v="0"/>
    <n v="11"/>
    <n v="369.86"/>
    <n v="13.19"/>
    <n v="4068.46"/>
  </r>
  <r>
    <s v="TXN-103071"/>
    <x v="3071"/>
    <x v="3"/>
    <x v="1"/>
    <n v="8"/>
    <n v="283.99"/>
    <n v="48.24"/>
    <n v="2271.92"/>
  </r>
  <r>
    <s v="TXN-103072"/>
    <x v="3072"/>
    <x v="0"/>
    <x v="0"/>
    <n v="6"/>
    <n v="426.09"/>
    <n v="37.18"/>
    <n v="2556.54"/>
  </r>
  <r>
    <s v="TXN-103073"/>
    <x v="3073"/>
    <x v="0"/>
    <x v="3"/>
    <n v="2"/>
    <n v="296.37"/>
    <n v="38.72"/>
    <n v="592.74"/>
  </r>
  <r>
    <s v="TXN-103074"/>
    <x v="3074"/>
    <x v="0"/>
    <x v="3"/>
    <n v="19"/>
    <n v="109.35"/>
    <n v="24.62"/>
    <n v="2077.65"/>
  </r>
  <r>
    <s v="TXN-103075"/>
    <x v="3075"/>
    <x v="1"/>
    <x v="0"/>
    <n v="14"/>
    <n v="332.1"/>
    <n v="9.9499999999999993"/>
    <n v="4649.4000000000005"/>
  </r>
  <r>
    <s v="TXN-103076"/>
    <x v="3076"/>
    <x v="3"/>
    <x v="1"/>
    <n v="1"/>
    <n v="296.06"/>
    <n v="17"/>
    <n v="296.06"/>
  </r>
  <r>
    <s v="TXN-103077"/>
    <x v="3077"/>
    <x v="0"/>
    <x v="0"/>
    <n v="10"/>
    <n v="443.81"/>
    <n v="16.690000000000001"/>
    <n v="4438.1000000000004"/>
  </r>
  <r>
    <s v="TXN-103078"/>
    <x v="3078"/>
    <x v="2"/>
    <x v="2"/>
    <n v="16"/>
    <n v="108.44"/>
    <n v="26.91"/>
    <n v="1735.04"/>
  </r>
  <r>
    <s v="TXN-103079"/>
    <x v="3079"/>
    <x v="0"/>
    <x v="2"/>
    <n v="4"/>
    <n v="275.27999999999997"/>
    <n v="25.74"/>
    <n v="1101.1199999999999"/>
  </r>
  <r>
    <s v="TXN-103080"/>
    <x v="3080"/>
    <x v="0"/>
    <x v="2"/>
    <n v="11"/>
    <n v="354.48"/>
    <n v="24.5"/>
    <n v="3899.28"/>
  </r>
  <r>
    <s v="TXN-103081"/>
    <x v="3081"/>
    <x v="0"/>
    <x v="0"/>
    <n v="16"/>
    <n v="162.79"/>
    <n v="27.32"/>
    <n v="2604.64"/>
  </r>
  <r>
    <s v="TXN-103082"/>
    <x v="3082"/>
    <x v="1"/>
    <x v="0"/>
    <n v="1"/>
    <n v="180.47"/>
    <n v="49.42"/>
    <n v="180.47"/>
  </r>
  <r>
    <s v="TXN-103083"/>
    <x v="3083"/>
    <x v="2"/>
    <x v="0"/>
    <n v="16"/>
    <n v="401.29"/>
    <n v="18.43"/>
    <n v="6420.64"/>
  </r>
  <r>
    <s v="TXN-103084"/>
    <x v="3084"/>
    <x v="3"/>
    <x v="2"/>
    <n v="19"/>
    <n v="191.12"/>
    <n v="32.69"/>
    <n v="3631.28"/>
  </r>
  <r>
    <s v="TXN-103085"/>
    <x v="3085"/>
    <x v="2"/>
    <x v="1"/>
    <n v="9"/>
    <n v="286.95"/>
    <n v="15.78"/>
    <n v="2582.5499999999997"/>
  </r>
  <r>
    <s v="TXN-103086"/>
    <x v="3086"/>
    <x v="3"/>
    <x v="3"/>
    <n v="9"/>
    <n v="401.87"/>
    <n v="26"/>
    <n v="3616.83"/>
  </r>
  <r>
    <s v="TXN-103087"/>
    <x v="3087"/>
    <x v="1"/>
    <x v="0"/>
    <n v="9"/>
    <n v="106.67"/>
    <n v="14"/>
    <n v="960.03"/>
  </r>
  <r>
    <s v="TXN-103088"/>
    <x v="3088"/>
    <x v="1"/>
    <x v="1"/>
    <n v="17"/>
    <n v="442.13"/>
    <n v="30.12"/>
    <n v="7516.21"/>
  </r>
  <r>
    <s v="TXN-103089"/>
    <x v="3089"/>
    <x v="1"/>
    <x v="3"/>
    <n v="12"/>
    <n v="320.5"/>
    <n v="16.93"/>
    <n v="3846"/>
  </r>
  <r>
    <s v="TXN-103090"/>
    <x v="3090"/>
    <x v="1"/>
    <x v="3"/>
    <n v="13"/>
    <n v="231.06"/>
    <n v="6.66"/>
    <n v="3003.78"/>
  </r>
  <r>
    <s v="TXN-103091"/>
    <x v="3091"/>
    <x v="3"/>
    <x v="3"/>
    <n v="8"/>
    <n v="202.73"/>
    <n v="41.69"/>
    <n v="1621.84"/>
  </r>
  <r>
    <s v="TXN-103092"/>
    <x v="3092"/>
    <x v="0"/>
    <x v="1"/>
    <n v="16"/>
    <n v="430.17"/>
    <n v="10.77"/>
    <n v="6882.72"/>
  </r>
  <r>
    <s v="TXN-103093"/>
    <x v="3093"/>
    <x v="3"/>
    <x v="1"/>
    <n v="18"/>
    <n v="104.89"/>
    <n v="21.56"/>
    <n v="1888.02"/>
  </r>
  <r>
    <s v="TXN-103094"/>
    <x v="3094"/>
    <x v="2"/>
    <x v="2"/>
    <n v="1"/>
    <n v="150.93"/>
    <n v="26.47"/>
    <n v="150.93"/>
  </r>
  <r>
    <s v="TXN-103095"/>
    <x v="3095"/>
    <x v="1"/>
    <x v="1"/>
    <n v="1"/>
    <n v="149.24"/>
    <n v="24.46"/>
    <n v="149.24"/>
  </r>
  <r>
    <s v="TXN-103096"/>
    <x v="3096"/>
    <x v="1"/>
    <x v="1"/>
    <n v="12"/>
    <n v="141.07"/>
    <n v="37.65"/>
    <n v="1692.84"/>
  </r>
  <r>
    <s v="TXN-103097"/>
    <x v="3097"/>
    <x v="2"/>
    <x v="1"/>
    <n v="6"/>
    <n v="219.08"/>
    <n v="31.85"/>
    <n v="1314.48"/>
  </r>
  <r>
    <s v="TXN-103098"/>
    <x v="3098"/>
    <x v="3"/>
    <x v="3"/>
    <n v="9"/>
    <n v="445.3"/>
    <n v="18.29"/>
    <n v="4007.7000000000003"/>
  </r>
  <r>
    <s v="TXN-103099"/>
    <x v="3099"/>
    <x v="0"/>
    <x v="0"/>
    <n v="5"/>
    <n v="401.68"/>
    <n v="7.33"/>
    <n v="2008.4"/>
  </r>
  <r>
    <s v="TXN-103100"/>
    <x v="3100"/>
    <x v="0"/>
    <x v="2"/>
    <n v="16"/>
    <n v="157.99"/>
    <n v="39.54"/>
    <n v="2527.84"/>
  </r>
  <r>
    <s v="TXN-103101"/>
    <x v="3101"/>
    <x v="2"/>
    <x v="0"/>
    <n v="18"/>
    <n v="199.24"/>
    <n v="20.86"/>
    <n v="3586.32"/>
  </r>
  <r>
    <s v="TXN-103102"/>
    <x v="3102"/>
    <x v="0"/>
    <x v="0"/>
    <n v="17"/>
    <n v="306.39"/>
    <n v="45.04"/>
    <n v="5208.63"/>
  </r>
  <r>
    <s v="TXN-103103"/>
    <x v="3103"/>
    <x v="3"/>
    <x v="1"/>
    <n v="18"/>
    <n v="22.95"/>
    <n v="22.78"/>
    <n v="413.09999999999997"/>
  </r>
  <r>
    <s v="TXN-103104"/>
    <x v="3104"/>
    <x v="3"/>
    <x v="2"/>
    <n v="1"/>
    <n v="371.86"/>
    <n v="37.29"/>
    <n v="371.86"/>
  </r>
  <r>
    <s v="TXN-103105"/>
    <x v="3105"/>
    <x v="2"/>
    <x v="0"/>
    <n v="19"/>
    <n v="397.77"/>
    <n v="47.28"/>
    <n v="7557.6299999999992"/>
  </r>
  <r>
    <s v="TXN-103106"/>
    <x v="3106"/>
    <x v="3"/>
    <x v="0"/>
    <n v="8"/>
    <n v="387.95"/>
    <n v="34.299999999999997"/>
    <n v="3103.6"/>
  </r>
  <r>
    <s v="TXN-103107"/>
    <x v="3107"/>
    <x v="1"/>
    <x v="2"/>
    <n v="3"/>
    <n v="178.46"/>
    <n v="23.61"/>
    <n v="535.38"/>
  </r>
  <r>
    <s v="TXN-103108"/>
    <x v="3108"/>
    <x v="2"/>
    <x v="1"/>
    <n v="5"/>
    <n v="216.24"/>
    <n v="30.53"/>
    <n v="1081.2"/>
  </r>
  <r>
    <s v="TXN-103109"/>
    <x v="3109"/>
    <x v="3"/>
    <x v="0"/>
    <n v="8"/>
    <n v="20.88"/>
    <n v="29.46"/>
    <n v="167.04"/>
  </r>
  <r>
    <s v="TXN-103110"/>
    <x v="3110"/>
    <x v="2"/>
    <x v="3"/>
    <n v="19"/>
    <n v="189.04"/>
    <n v="31.32"/>
    <n v="3591.7599999999998"/>
  </r>
  <r>
    <s v="TXN-103111"/>
    <x v="3111"/>
    <x v="0"/>
    <x v="0"/>
    <n v="18"/>
    <n v="215.56"/>
    <n v="11.61"/>
    <n v="3880.08"/>
  </r>
  <r>
    <s v="TXN-103112"/>
    <x v="3112"/>
    <x v="3"/>
    <x v="3"/>
    <n v="18"/>
    <n v="409.58"/>
    <n v="36.43"/>
    <n v="7372.44"/>
  </r>
  <r>
    <s v="TXN-103113"/>
    <x v="3113"/>
    <x v="1"/>
    <x v="1"/>
    <n v="1"/>
    <n v="403.94"/>
    <n v="11.53"/>
    <n v="403.94"/>
  </r>
  <r>
    <s v="TXN-103114"/>
    <x v="3114"/>
    <x v="3"/>
    <x v="0"/>
    <n v="15"/>
    <n v="435.27"/>
    <n v="5.66"/>
    <n v="6529.0499999999993"/>
  </r>
  <r>
    <s v="TXN-103115"/>
    <x v="3115"/>
    <x v="2"/>
    <x v="2"/>
    <n v="18"/>
    <n v="400.08"/>
    <n v="33.119999999999997"/>
    <n v="7201.44"/>
  </r>
  <r>
    <s v="TXN-103116"/>
    <x v="3116"/>
    <x v="2"/>
    <x v="2"/>
    <n v="7"/>
    <n v="19.059999999999999"/>
    <n v="10.26"/>
    <n v="133.41999999999999"/>
  </r>
  <r>
    <s v="TXN-103117"/>
    <x v="3117"/>
    <x v="3"/>
    <x v="0"/>
    <n v="16"/>
    <n v="294.20999999999998"/>
    <n v="39.67"/>
    <n v="4707.3599999999997"/>
  </r>
  <r>
    <s v="TXN-103118"/>
    <x v="3118"/>
    <x v="1"/>
    <x v="1"/>
    <n v="16"/>
    <n v="45.15"/>
    <n v="43.97"/>
    <n v="722.4"/>
  </r>
  <r>
    <s v="TXN-103119"/>
    <x v="3119"/>
    <x v="1"/>
    <x v="1"/>
    <n v="15"/>
    <n v="133.94"/>
    <n v="47.51"/>
    <n v="2009.1"/>
  </r>
  <r>
    <s v="TXN-103120"/>
    <x v="3120"/>
    <x v="1"/>
    <x v="2"/>
    <n v="6"/>
    <n v="266.77"/>
    <n v="34.9"/>
    <n v="1600.62"/>
  </r>
  <r>
    <s v="TXN-103121"/>
    <x v="3121"/>
    <x v="2"/>
    <x v="0"/>
    <n v="9"/>
    <n v="319.92"/>
    <n v="26.69"/>
    <n v="2879.28"/>
  </r>
  <r>
    <s v="TXN-103122"/>
    <x v="3122"/>
    <x v="3"/>
    <x v="1"/>
    <n v="7"/>
    <n v="299.94"/>
    <n v="20.85"/>
    <n v="2099.58"/>
  </r>
  <r>
    <s v="TXN-103123"/>
    <x v="3123"/>
    <x v="0"/>
    <x v="2"/>
    <n v="14"/>
    <n v="36.82"/>
    <n v="27.09"/>
    <n v="515.48"/>
  </r>
  <r>
    <s v="TXN-103124"/>
    <x v="3124"/>
    <x v="2"/>
    <x v="3"/>
    <n v="11"/>
    <n v="60.52"/>
    <n v="13.57"/>
    <n v="665.72"/>
  </r>
  <r>
    <s v="TXN-103125"/>
    <x v="3125"/>
    <x v="1"/>
    <x v="0"/>
    <n v="16"/>
    <n v="71.37"/>
    <n v="20.68"/>
    <n v="1141.92"/>
  </r>
  <r>
    <s v="TXN-103126"/>
    <x v="3126"/>
    <x v="3"/>
    <x v="3"/>
    <n v="6"/>
    <n v="55.22"/>
    <n v="37.31"/>
    <n v="331.32"/>
  </r>
  <r>
    <s v="TXN-103127"/>
    <x v="3127"/>
    <x v="1"/>
    <x v="3"/>
    <n v="16"/>
    <n v="92.94"/>
    <n v="14.78"/>
    <n v="1487.04"/>
  </r>
  <r>
    <s v="TXN-103128"/>
    <x v="3128"/>
    <x v="0"/>
    <x v="1"/>
    <n v="16"/>
    <n v="314.64999999999998"/>
    <n v="16.88"/>
    <n v="5034.3999999999996"/>
  </r>
  <r>
    <s v="TXN-103129"/>
    <x v="3129"/>
    <x v="1"/>
    <x v="1"/>
    <n v="12"/>
    <n v="376.5"/>
    <n v="38.72"/>
    <n v="4518"/>
  </r>
  <r>
    <s v="TXN-103130"/>
    <x v="3130"/>
    <x v="1"/>
    <x v="1"/>
    <n v="17"/>
    <n v="193.13"/>
    <n v="13"/>
    <n v="3283.21"/>
  </r>
  <r>
    <s v="TXN-103131"/>
    <x v="3131"/>
    <x v="0"/>
    <x v="0"/>
    <n v="5"/>
    <n v="316.51"/>
    <n v="16.059999999999999"/>
    <n v="1582.55"/>
  </r>
  <r>
    <s v="TXN-103132"/>
    <x v="3132"/>
    <x v="3"/>
    <x v="3"/>
    <n v="13"/>
    <n v="102.41"/>
    <n v="5.79"/>
    <n v="1331.33"/>
  </r>
  <r>
    <s v="TXN-103133"/>
    <x v="3133"/>
    <x v="2"/>
    <x v="0"/>
    <n v="8"/>
    <n v="438.39"/>
    <n v="37.4"/>
    <n v="3507.12"/>
  </r>
  <r>
    <s v="TXN-103134"/>
    <x v="3134"/>
    <x v="3"/>
    <x v="1"/>
    <n v="5"/>
    <n v="167.57"/>
    <n v="32.81"/>
    <n v="837.84999999999991"/>
  </r>
  <r>
    <s v="TXN-103135"/>
    <x v="3135"/>
    <x v="0"/>
    <x v="3"/>
    <n v="12"/>
    <n v="383.03"/>
    <n v="36.25"/>
    <n v="4596.3599999999997"/>
  </r>
  <r>
    <s v="TXN-103136"/>
    <x v="3136"/>
    <x v="1"/>
    <x v="0"/>
    <n v="9"/>
    <n v="426.26"/>
    <n v="14.64"/>
    <n v="3836.34"/>
  </r>
  <r>
    <s v="TXN-103137"/>
    <x v="3137"/>
    <x v="3"/>
    <x v="0"/>
    <n v="3"/>
    <n v="391.22"/>
    <n v="35.93"/>
    <n v="1173.6600000000001"/>
  </r>
  <r>
    <s v="TXN-103138"/>
    <x v="3138"/>
    <x v="2"/>
    <x v="2"/>
    <n v="3"/>
    <n v="44.64"/>
    <n v="31.84"/>
    <n v="133.92000000000002"/>
  </r>
  <r>
    <s v="TXN-103139"/>
    <x v="3139"/>
    <x v="0"/>
    <x v="0"/>
    <n v="1"/>
    <n v="298.06"/>
    <n v="21.48"/>
    <n v="298.06"/>
  </r>
  <r>
    <s v="TXN-103140"/>
    <x v="3140"/>
    <x v="3"/>
    <x v="1"/>
    <n v="18"/>
    <n v="67.680000000000007"/>
    <n v="24.7"/>
    <n v="1218.2400000000002"/>
  </r>
  <r>
    <s v="TXN-103141"/>
    <x v="3141"/>
    <x v="2"/>
    <x v="0"/>
    <n v="12"/>
    <n v="17.96"/>
    <n v="30.56"/>
    <n v="215.52"/>
  </r>
  <r>
    <s v="TXN-103142"/>
    <x v="3142"/>
    <x v="0"/>
    <x v="3"/>
    <n v="9"/>
    <n v="38"/>
    <n v="27.2"/>
    <n v="342"/>
  </r>
  <r>
    <s v="TXN-103143"/>
    <x v="3143"/>
    <x v="2"/>
    <x v="0"/>
    <n v="9"/>
    <n v="413.57"/>
    <n v="33.880000000000003"/>
    <n v="3722.13"/>
  </r>
  <r>
    <s v="TXN-103144"/>
    <x v="3144"/>
    <x v="0"/>
    <x v="2"/>
    <n v="18"/>
    <n v="410.23"/>
    <n v="13.14"/>
    <n v="7384.14"/>
  </r>
  <r>
    <s v="TXN-103145"/>
    <x v="3145"/>
    <x v="1"/>
    <x v="3"/>
    <n v="18"/>
    <n v="113.62"/>
    <n v="29.33"/>
    <n v="2045.16"/>
  </r>
  <r>
    <s v="TXN-103146"/>
    <x v="3146"/>
    <x v="3"/>
    <x v="3"/>
    <n v="7"/>
    <n v="253.2"/>
    <n v="25.26"/>
    <n v="1772.3999999999999"/>
  </r>
  <r>
    <s v="TXN-103147"/>
    <x v="3147"/>
    <x v="2"/>
    <x v="2"/>
    <n v="4"/>
    <n v="430.46"/>
    <n v="25.75"/>
    <n v="1721.84"/>
  </r>
  <r>
    <s v="TXN-103148"/>
    <x v="3148"/>
    <x v="0"/>
    <x v="1"/>
    <n v="13"/>
    <n v="231.32"/>
    <n v="26.12"/>
    <n v="3007.16"/>
  </r>
  <r>
    <s v="TXN-103149"/>
    <x v="3149"/>
    <x v="2"/>
    <x v="3"/>
    <n v="17"/>
    <n v="186.51"/>
    <n v="44.67"/>
    <n v="3170.67"/>
  </r>
  <r>
    <s v="TXN-103150"/>
    <x v="3150"/>
    <x v="2"/>
    <x v="1"/>
    <n v="2"/>
    <n v="225.47"/>
    <n v="41.84"/>
    <n v="450.94"/>
  </r>
  <r>
    <s v="TXN-103151"/>
    <x v="3151"/>
    <x v="3"/>
    <x v="3"/>
    <n v="14"/>
    <n v="358.85"/>
    <n v="33.33"/>
    <n v="5023.9000000000005"/>
  </r>
  <r>
    <s v="TXN-103152"/>
    <x v="3152"/>
    <x v="1"/>
    <x v="3"/>
    <n v="3"/>
    <n v="222.88"/>
    <n v="37.24"/>
    <n v="668.64"/>
  </r>
  <r>
    <s v="TXN-103153"/>
    <x v="3153"/>
    <x v="2"/>
    <x v="1"/>
    <n v="5"/>
    <n v="355.83"/>
    <n v="6.93"/>
    <n v="1779.1499999999999"/>
  </r>
  <r>
    <s v="TXN-103154"/>
    <x v="3154"/>
    <x v="0"/>
    <x v="3"/>
    <n v="14"/>
    <n v="203.07"/>
    <n v="38.479999999999997"/>
    <n v="2842.98"/>
  </r>
  <r>
    <s v="TXN-103155"/>
    <x v="3155"/>
    <x v="0"/>
    <x v="1"/>
    <n v="3"/>
    <n v="125"/>
    <n v="26.88"/>
    <n v="375"/>
  </r>
  <r>
    <s v="TXN-103156"/>
    <x v="3156"/>
    <x v="1"/>
    <x v="2"/>
    <n v="7"/>
    <n v="157.35"/>
    <n v="19.3"/>
    <n v="1101.45"/>
  </r>
  <r>
    <s v="TXN-103157"/>
    <x v="3157"/>
    <x v="0"/>
    <x v="1"/>
    <n v="18"/>
    <n v="49.31"/>
    <n v="11.29"/>
    <n v="887.58"/>
  </r>
  <r>
    <s v="TXN-103158"/>
    <x v="3158"/>
    <x v="1"/>
    <x v="2"/>
    <n v="13"/>
    <n v="231.61"/>
    <n v="8.3800000000000008"/>
    <n v="3010.9300000000003"/>
  </r>
  <r>
    <s v="TXN-103159"/>
    <x v="3159"/>
    <x v="0"/>
    <x v="3"/>
    <n v="10"/>
    <n v="79.849999999999994"/>
    <n v="7.02"/>
    <n v="798.5"/>
  </r>
  <r>
    <s v="TXN-103160"/>
    <x v="3160"/>
    <x v="3"/>
    <x v="1"/>
    <n v="13"/>
    <n v="368.12"/>
    <n v="12.28"/>
    <n v="4785.5600000000004"/>
  </r>
  <r>
    <s v="TXN-103161"/>
    <x v="3161"/>
    <x v="2"/>
    <x v="3"/>
    <n v="16"/>
    <n v="198.25"/>
    <n v="6.36"/>
    <n v="3172"/>
  </r>
  <r>
    <s v="TXN-103162"/>
    <x v="3162"/>
    <x v="3"/>
    <x v="1"/>
    <n v="9"/>
    <n v="347.89"/>
    <n v="37.97"/>
    <n v="3131.0099999999998"/>
  </r>
  <r>
    <s v="TXN-103163"/>
    <x v="3163"/>
    <x v="2"/>
    <x v="2"/>
    <n v="2"/>
    <n v="430.21"/>
    <n v="16.190000000000001"/>
    <n v="860.42"/>
  </r>
  <r>
    <s v="TXN-103164"/>
    <x v="3164"/>
    <x v="2"/>
    <x v="2"/>
    <n v="5"/>
    <n v="384.6"/>
    <n v="21.59"/>
    <n v="1923"/>
  </r>
  <r>
    <s v="TXN-103165"/>
    <x v="3165"/>
    <x v="2"/>
    <x v="1"/>
    <n v="17"/>
    <n v="428.91"/>
    <n v="42.02"/>
    <n v="7291.47"/>
  </r>
  <r>
    <s v="TXN-103166"/>
    <x v="3166"/>
    <x v="3"/>
    <x v="2"/>
    <n v="4"/>
    <n v="262.27"/>
    <n v="10.16"/>
    <n v="1049.08"/>
  </r>
  <r>
    <s v="TXN-103167"/>
    <x v="3167"/>
    <x v="2"/>
    <x v="3"/>
    <n v="17"/>
    <n v="87.33"/>
    <n v="42.6"/>
    <n v="1484.61"/>
  </r>
  <r>
    <s v="TXN-103168"/>
    <x v="3168"/>
    <x v="3"/>
    <x v="3"/>
    <n v="9"/>
    <n v="421.93"/>
    <n v="33.78"/>
    <n v="3797.37"/>
  </r>
  <r>
    <s v="TXN-103169"/>
    <x v="3169"/>
    <x v="1"/>
    <x v="0"/>
    <n v="2"/>
    <n v="392.87"/>
    <n v="20.39"/>
    <n v="785.74"/>
  </r>
  <r>
    <s v="TXN-103170"/>
    <x v="3170"/>
    <x v="0"/>
    <x v="2"/>
    <n v="18"/>
    <n v="391.09"/>
    <n v="10.3"/>
    <n v="7039.62"/>
  </r>
  <r>
    <s v="TXN-103171"/>
    <x v="3171"/>
    <x v="0"/>
    <x v="3"/>
    <n v="11"/>
    <n v="316.73"/>
    <n v="9.1199999999999992"/>
    <n v="3484.03"/>
  </r>
  <r>
    <s v="TXN-103172"/>
    <x v="3172"/>
    <x v="2"/>
    <x v="1"/>
    <n v="13"/>
    <n v="287.02999999999997"/>
    <n v="20.100000000000001"/>
    <n v="3731.3899999999994"/>
  </r>
  <r>
    <s v="TXN-103173"/>
    <x v="3173"/>
    <x v="3"/>
    <x v="2"/>
    <n v="8"/>
    <n v="21.9"/>
    <n v="11.32"/>
    <n v="175.2"/>
  </r>
  <r>
    <s v="TXN-103174"/>
    <x v="3174"/>
    <x v="0"/>
    <x v="3"/>
    <n v="1"/>
    <n v="340.53"/>
    <n v="17.05"/>
    <n v="340.53"/>
  </r>
  <r>
    <s v="TXN-103175"/>
    <x v="3175"/>
    <x v="3"/>
    <x v="2"/>
    <n v="17"/>
    <n v="55.27"/>
    <n v="7.38"/>
    <n v="939.59"/>
  </r>
  <r>
    <s v="TXN-103176"/>
    <x v="3176"/>
    <x v="3"/>
    <x v="1"/>
    <n v="12"/>
    <n v="128.36000000000001"/>
    <n v="31.78"/>
    <n v="1540.3200000000002"/>
  </r>
  <r>
    <s v="TXN-103177"/>
    <x v="3177"/>
    <x v="2"/>
    <x v="3"/>
    <n v="4"/>
    <n v="255.12"/>
    <n v="11.54"/>
    <n v="1020.48"/>
  </r>
  <r>
    <s v="TXN-103178"/>
    <x v="3178"/>
    <x v="0"/>
    <x v="0"/>
    <n v="13"/>
    <n v="211.78"/>
    <n v="39.049999999999997"/>
    <n v="2753.14"/>
  </r>
  <r>
    <s v="TXN-103179"/>
    <x v="3179"/>
    <x v="2"/>
    <x v="0"/>
    <n v="9"/>
    <n v="22.35"/>
    <n v="14.82"/>
    <n v="201.15"/>
  </r>
  <r>
    <s v="TXN-103180"/>
    <x v="3180"/>
    <x v="2"/>
    <x v="2"/>
    <n v="7"/>
    <n v="373.52"/>
    <n v="40.909999999999997"/>
    <n v="2614.64"/>
  </r>
  <r>
    <s v="TXN-103181"/>
    <x v="3181"/>
    <x v="0"/>
    <x v="1"/>
    <n v="5"/>
    <n v="397.34"/>
    <n v="13.54"/>
    <n v="1986.6999999999998"/>
  </r>
  <r>
    <s v="TXN-103182"/>
    <x v="3182"/>
    <x v="0"/>
    <x v="3"/>
    <n v="5"/>
    <n v="311.77"/>
    <n v="37.46"/>
    <n v="1558.85"/>
  </r>
  <r>
    <s v="TXN-103183"/>
    <x v="3183"/>
    <x v="1"/>
    <x v="1"/>
    <n v="17"/>
    <n v="250.59"/>
    <n v="19.989999999999998"/>
    <n v="4260.03"/>
  </r>
  <r>
    <s v="TXN-103184"/>
    <x v="3184"/>
    <x v="1"/>
    <x v="3"/>
    <n v="9"/>
    <n v="432.94"/>
    <n v="31.24"/>
    <n v="3896.46"/>
  </r>
  <r>
    <s v="TXN-103185"/>
    <x v="3185"/>
    <x v="3"/>
    <x v="2"/>
    <n v="6"/>
    <n v="67.62"/>
    <n v="6.74"/>
    <n v="405.72"/>
  </r>
  <r>
    <s v="TXN-103186"/>
    <x v="3186"/>
    <x v="0"/>
    <x v="3"/>
    <n v="19"/>
    <n v="336.12"/>
    <n v="27.29"/>
    <n v="6386.28"/>
  </r>
  <r>
    <s v="TXN-103187"/>
    <x v="3187"/>
    <x v="1"/>
    <x v="1"/>
    <n v="16"/>
    <n v="71.27"/>
    <n v="11.69"/>
    <n v="1140.32"/>
  </r>
  <r>
    <s v="TXN-103188"/>
    <x v="3188"/>
    <x v="3"/>
    <x v="1"/>
    <n v="2"/>
    <n v="181.41"/>
    <n v="26.88"/>
    <n v="362.82"/>
  </r>
  <r>
    <s v="TXN-103189"/>
    <x v="3189"/>
    <x v="3"/>
    <x v="2"/>
    <n v="10"/>
    <n v="269.89"/>
    <n v="11.36"/>
    <n v="2698.8999999999996"/>
  </r>
  <r>
    <s v="TXN-103190"/>
    <x v="3190"/>
    <x v="3"/>
    <x v="1"/>
    <n v="16"/>
    <n v="335.76"/>
    <n v="24.67"/>
    <n v="5372.16"/>
  </r>
  <r>
    <s v="TXN-103191"/>
    <x v="3191"/>
    <x v="1"/>
    <x v="3"/>
    <n v="5"/>
    <n v="17.11"/>
    <n v="9.98"/>
    <n v="85.55"/>
  </r>
  <r>
    <s v="TXN-103192"/>
    <x v="3192"/>
    <x v="0"/>
    <x v="2"/>
    <n v="15"/>
    <n v="128.72999999999999"/>
    <n v="14.9"/>
    <n v="1930.9499999999998"/>
  </r>
  <r>
    <s v="TXN-103193"/>
    <x v="3193"/>
    <x v="2"/>
    <x v="3"/>
    <n v="13"/>
    <n v="249.35"/>
    <n v="31.78"/>
    <n v="3241.5499999999997"/>
  </r>
  <r>
    <s v="TXN-103194"/>
    <x v="3194"/>
    <x v="3"/>
    <x v="1"/>
    <n v="13"/>
    <n v="247.03"/>
    <n v="48.95"/>
    <n v="3211.39"/>
  </r>
  <r>
    <s v="TXN-103195"/>
    <x v="3195"/>
    <x v="1"/>
    <x v="2"/>
    <n v="13"/>
    <n v="292.55"/>
    <n v="25.21"/>
    <n v="3803.15"/>
  </r>
  <r>
    <s v="TXN-103196"/>
    <x v="3196"/>
    <x v="1"/>
    <x v="3"/>
    <n v="15"/>
    <n v="147.52000000000001"/>
    <n v="35.92"/>
    <n v="2212.8000000000002"/>
  </r>
  <r>
    <s v="TXN-103197"/>
    <x v="3197"/>
    <x v="2"/>
    <x v="1"/>
    <n v="14"/>
    <n v="250.36"/>
    <n v="29.27"/>
    <n v="3505.04"/>
  </r>
  <r>
    <s v="TXN-103198"/>
    <x v="3198"/>
    <x v="2"/>
    <x v="1"/>
    <n v="8"/>
    <n v="97.96"/>
    <n v="27.43"/>
    <n v="783.68"/>
  </r>
  <r>
    <s v="TXN-103199"/>
    <x v="3199"/>
    <x v="1"/>
    <x v="0"/>
    <n v="11"/>
    <n v="96.7"/>
    <n v="7.91"/>
    <n v="1063.7"/>
  </r>
  <r>
    <s v="TXN-103200"/>
    <x v="3200"/>
    <x v="0"/>
    <x v="1"/>
    <n v="18"/>
    <n v="266.02"/>
    <n v="11.49"/>
    <n v="4788.3599999999997"/>
  </r>
  <r>
    <s v="TXN-103201"/>
    <x v="3201"/>
    <x v="2"/>
    <x v="3"/>
    <n v="4"/>
    <n v="313.33999999999997"/>
    <n v="44.74"/>
    <n v="1253.3599999999999"/>
  </r>
  <r>
    <s v="TXN-103202"/>
    <x v="3202"/>
    <x v="1"/>
    <x v="2"/>
    <n v="10"/>
    <n v="67.81"/>
    <n v="23.46"/>
    <n v="678.1"/>
  </r>
  <r>
    <s v="TXN-103203"/>
    <x v="3203"/>
    <x v="2"/>
    <x v="0"/>
    <n v="1"/>
    <n v="68.849999999999994"/>
    <n v="32.64"/>
    <n v="68.849999999999994"/>
  </r>
  <r>
    <s v="TXN-103204"/>
    <x v="3204"/>
    <x v="0"/>
    <x v="1"/>
    <n v="5"/>
    <n v="261.12"/>
    <n v="28.77"/>
    <n v="1305.5999999999999"/>
  </r>
  <r>
    <s v="TXN-103205"/>
    <x v="3205"/>
    <x v="3"/>
    <x v="1"/>
    <n v="13"/>
    <n v="132.86000000000001"/>
    <n v="22.05"/>
    <n v="1727.1800000000003"/>
  </r>
  <r>
    <s v="TXN-103206"/>
    <x v="3206"/>
    <x v="2"/>
    <x v="1"/>
    <n v="1"/>
    <n v="186"/>
    <n v="22.45"/>
    <n v="186"/>
  </r>
  <r>
    <s v="TXN-103207"/>
    <x v="3207"/>
    <x v="0"/>
    <x v="3"/>
    <n v="8"/>
    <n v="189.63"/>
    <n v="30"/>
    <n v="1517.04"/>
  </r>
  <r>
    <s v="TXN-103208"/>
    <x v="3208"/>
    <x v="1"/>
    <x v="0"/>
    <n v="3"/>
    <n v="93.08"/>
    <n v="11.35"/>
    <n v="279.24"/>
  </r>
  <r>
    <s v="TXN-103209"/>
    <x v="3209"/>
    <x v="2"/>
    <x v="3"/>
    <n v="3"/>
    <n v="16.07"/>
    <n v="22.43"/>
    <n v="48.21"/>
  </r>
  <r>
    <s v="TXN-103210"/>
    <x v="3210"/>
    <x v="2"/>
    <x v="0"/>
    <n v="7"/>
    <n v="386.19"/>
    <n v="25.11"/>
    <n v="2703.33"/>
  </r>
  <r>
    <s v="TXN-103211"/>
    <x v="3211"/>
    <x v="1"/>
    <x v="2"/>
    <n v="4"/>
    <n v="326.17"/>
    <n v="49.33"/>
    <n v="1304.68"/>
  </r>
  <r>
    <s v="TXN-103212"/>
    <x v="3212"/>
    <x v="3"/>
    <x v="3"/>
    <n v="3"/>
    <n v="315.54000000000002"/>
    <n v="20.82"/>
    <n v="946.62000000000012"/>
  </r>
  <r>
    <s v="TXN-103213"/>
    <x v="3213"/>
    <x v="1"/>
    <x v="3"/>
    <n v="15"/>
    <n v="252.96"/>
    <n v="34.01"/>
    <n v="3794.4"/>
  </r>
  <r>
    <s v="TXN-103214"/>
    <x v="3214"/>
    <x v="2"/>
    <x v="2"/>
    <n v="8"/>
    <n v="320.07"/>
    <n v="11.18"/>
    <n v="2560.56"/>
  </r>
  <r>
    <s v="TXN-103215"/>
    <x v="3215"/>
    <x v="1"/>
    <x v="0"/>
    <n v="3"/>
    <n v="422.06"/>
    <n v="7.95"/>
    <n v="1266.18"/>
  </r>
  <r>
    <s v="TXN-103216"/>
    <x v="3216"/>
    <x v="0"/>
    <x v="1"/>
    <n v="7"/>
    <n v="304.74"/>
    <n v="44.22"/>
    <n v="2133.1800000000003"/>
  </r>
  <r>
    <s v="TXN-103217"/>
    <x v="3217"/>
    <x v="1"/>
    <x v="2"/>
    <n v="18"/>
    <n v="130.68"/>
    <n v="37.880000000000003"/>
    <n v="2352.2400000000002"/>
  </r>
  <r>
    <s v="TXN-103218"/>
    <x v="3218"/>
    <x v="2"/>
    <x v="1"/>
    <n v="11"/>
    <n v="263.41000000000003"/>
    <n v="19.29"/>
    <n v="2897.51"/>
  </r>
  <r>
    <s v="TXN-103219"/>
    <x v="3219"/>
    <x v="1"/>
    <x v="1"/>
    <n v="11"/>
    <n v="207.69"/>
    <n v="27.71"/>
    <n v="2284.59"/>
  </r>
  <r>
    <s v="TXN-103220"/>
    <x v="3220"/>
    <x v="3"/>
    <x v="2"/>
    <n v="17"/>
    <n v="257.26"/>
    <n v="11.11"/>
    <n v="4373.42"/>
  </r>
  <r>
    <s v="TXN-103221"/>
    <x v="3221"/>
    <x v="1"/>
    <x v="0"/>
    <n v="6"/>
    <n v="240.4"/>
    <n v="36.82"/>
    <n v="1442.4"/>
  </r>
  <r>
    <s v="TXN-103222"/>
    <x v="3222"/>
    <x v="3"/>
    <x v="1"/>
    <n v="8"/>
    <n v="388.64"/>
    <n v="8.16"/>
    <n v="3109.12"/>
  </r>
  <r>
    <s v="TXN-103223"/>
    <x v="3223"/>
    <x v="0"/>
    <x v="2"/>
    <n v="1"/>
    <n v="298.70999999999998"/>
    <n v="39.07"/>
    <n v="298.70999999999998"/>
  </r>
  <r>
    <s v="TXN-103224"/>
    <x v="3224"/>
    <x v="3"/>
    <x v="3"/>
    <n v="10"/>
    <n v="97.52"/>
    <n v="29.61"/>
    <n v="975.19999999999993"/>
  </r>
  <r>
    <s v="TXN-103225"/>
    <x v="3225"/>
    <x v="1"/>
    <x v="3"/>
    <n v="19"/>
    <n v="42.88"/>
    <n v="17.55"/>
    <n v="814.72"/>
  </r>
  <r>
    <s v="TXN-103226"/>
    <x v="3226"/>
    <x v="2"/>
    <x v="3"/>
    <n v="3"/>
    <n v="199.89"/>
    <n v="43.82"/>
    <n v="599.66999999999996"/>
  </r>
  <r>
    <s v="TXN-103227"/>
    <x v="3227"/>
    <x v="3"/>
    <x v="2"/>
    <n v="4"/>
    <n v="22.28"/>
    <n v="49.37"/>
    <n v="89.12"/>
  </r>
  <r>
    <s v="TXN-103228"/>
    <x v="3228"/>
    <x v="0"/>
    <x v="3"/>
    <n v="11"/>
    <n v="153.80000000000001"/>
    <n v="16.45"/>
    <n v="1691.8000000000002"/>
  </r>
  <r>
    <s v="TXN-103229"/>
    <x v="3229"/>
    <x v="3"/>
    <x v="1"/>
    <n v="15"/>
    <n v="175.41"/>
    <n v="41.28"/>
    <n v="2631.15"/>
  </r>
  <r>
    <s v="TXN-103230"/>
    <x v="3230"/>
    <x v="3"/>
    <x v="3"/>
    <n v="1"/>
    <n v="178.69"/>
    <n v="38.76"/>
    <n v="178.69"/>
  </r>
  <r>
    <s v="TXN-103231"/>
    <x v="3231"/>
    <x v="3"/>
    <x v="3"/>
    <n v="9"/>
    <n v="441.03"/>
    <n v="38.619999999999997"/>
    <n v="3969.2699999999995"/>
  </r>
  <r>
    <s v="TXN-103232"/>
    <x v="3232"/>
    <x v="0"/>
    <x v="1"/>
    <n v="11"/>
    <n v="147.54"/>
    <n v="48.08"/>
    <n v="1622.9399999999998"/>
  </r>
  <r>
    <s v="TXN-103233"/>
    <x v="3233"/>
    <x v="1"/>
    <x v="3"/>
    <n v="19"/>
    <n v="130.74"/>
    <n v="26.9"/>
    <n v="2484.0600000000004"/>
  </r>
  <r>
    <s v="TXN-103234"/>
    <x v="3234"/>
    <x v="3"/>
    <x v="1"/>
    <n v="13"/>
    <n v="71.72"/>
    <n v="35.340000000000003"/>
    <n v="932.36"/>
  </r>
  <r>
    <s v="TXN-103235"/>
    <x v="3235"/>
    <x v="3"/>
    <x v="3"/>
    <n v="16"/>
    <n v="237.53"/>
    <n v="42.07"/>
    <n v="3800.48"/>
  </r>
  <r>
    <s v="TXN-103236"/>
    <x v="3236"/>
    <x v="2"/>
    <x v="1"/>
    <n v="4"/>
    <n v="82.27"/>
    <n v="26.58"/>
    <n v="329.08"/>
  </r>
  <r>
    <s v="TXN-103237"/>
    <x v="3237"/>
    <x v="0"/>
    <x v="3"/>
    <n v="1"/>
    <n v="283.27999999999997"/>
    <n v="26.66"/>
    <n v="283.27999999999997"/>
  </r>
  <r>
    <s v="TXN-103238"/>
    <x v="3238"/>
    <x v="3"/>
    <x v="1"/>
    <n v="13"/>
    <n v="82.92"/>
    <n v="19.34"/>
    <n v="1077.96"/>
  </r>
  <r>
    <s v="TXN-103239"/>
    <x v="3239"/>
    <x v="0"/>
    <x v="2"/>
    <n v="1"/>
    <n v="266.06"/>
    <n v="40.14"/>
    <n v="266.06"/>
  </r>
  <r>
    <s v="TXN-103240"/>
    <x v="3240"/>
    <x v="3"/>
    <x v="1"/>
    <n v="5"/>
    <n v="374.51"/>
    <n v="35.880000000000003"/>
    <n v="1872.55"/>
  </r>
  <r>
    <s v="TXN-103241"/>
    <x v="3241"/>
    <x v="1"/>
    <x v="3"/>
    <n v="5"/>
    <n v="33.979999999999997"/>
    <n v="25.3"/>
    <n v="169.89999999999998"/>
  </r>
  <r>
    <s v="TXN-103242"/>
    <x v="3242"/>
    <x v="1"/>
    <x v="3"/>
    <n v="14"/>
    <n v="197.88"/>
    <n v="23.87"/>
    <n v="2770.3199999999997"/>
  </r>
  <r>
    <s v="TXN-103243"/>
    <x v="3243"/>
    <x v="3"/>
    <x v="0"/>
    <n v="14"/>
    <n v="215.83"/>
    <n v="8.27"/>
    <n v="3021.6200000000003"/>
  </r>
  <r>
    <s v="TXN-103244"/>
    <x v="3244"/>
    <x v="1"/>
    <x v="1"/>
    <n v="8"/>
    <n v="359.22"/>
    <n v="5.29"/>
    <n v="2873.76"/>
  </r>
  <r>
    <s v="TXN-103245"/>
    <x v="3245"/>
    <x v="3"/>
    <x v="2"/>
    <n v="4"/>
    <n v="218.81"/>
    <n v="28.8"/>
    <n v="875.24"/>
  </r>
  <r>
    <s v="TXN-103246"/>
    <x v="3246"/>
    <x v="1"/>
    <x v="1"/>
    <n v="7"/>
    <n v="262.08999999999997"/>
    <n v="23.79"/>
    <n v="1834.6299999999999"/>
  </r>
  <r>
    <s v="TXN-103247"/>
    <x v="3247"/>
    <x v="2"/>
    <x v="1"/>
    <n v="19"/>
    <n v="359.28"/>
    <n v="40.82"/>
    <n v="6826.32"/>
  </r>
  <r>
    <s v="TXN-103248"/>
    <x v="3248"/>
    <x v="2"/>
    <x v="2"/>
    <n v="15"/>
    <n v="258.72000000000003"/>
    <n v="29.42"/>
    <n v="3880.8"/>
  </r>
  <r>
    <s v="TXN-103249"/>
    <x v="3249"/>
    <x v="2"/>
    <x v="1"/>
    <n v="4"/>
    <n v="171.18"/>
    <n v="47.15"/>
    <n v="684.72"/>
  </r>
  <r>
    <s v="TXN-103250"/>
    <x v="3250"/>
    <x v="0"/>
    <x v="2"/>
    <n v="19"/>
    <n v="52.8"/>
    <n v="13.83"/>
    <n v="1003.1999999999999"/>
  </r>
  <r>
    <s v="TXN-103251"/>
    <x v="3251"/>
    <x v="0"/>
    <x v="2"/>
    <n v="9"/>
    <n v="332.65"/>
    <n v="49.56"/>
    <n v="2993.85"/>
  </r>
  <r>
    <s v="TXN-103252"/>
    <x v="3252"/>
    <x v="2"/>
    <x v="1"/>
    <n v="13"/>
    <n v="394.01"/>
    <n v="18.41"/>
    <n v="5122.13"/>
  </r>
  <r>
    <s v="TXN-103253"/>
    <x v="3253"/>
    <x v="0"/>
    <x v="1"/>
    <n v="14"/>
    <n v="436.99"/>
    <n v="33.909999999999997"/>
    <n v="6117.8600000000006"/>
  </r>
  <r>
    <s v="TXN-103254"/>
    <x v="3254"/>
    <x v="1"/>
    <x v="3"/>
    <n v="14"/>
    <n v="418.11"/>
    <n v="27.58"/>
    <n v="5853.54"/>
  </r>
  <r>
    <s v="TXN-103255"/>
    <x v="3255"/>
    <x v="3"/>
    <x v="3"/>
    <n v="10"/>
    <n v="361.98"/>
    <n v="21.18"/>
    <n v="3619.8"/>
  </r>
  <r>
    <s v="TXN-103256"/>
    <x v="3256"/>
    <x v="3"/>
    <x v="0"/>
    <n v="16"/>
    <n v="295.08999999999997"/>
    <n v="11.27"/>
    <n v="4721.4399999999996"/>
  </r>
  <r>
    <s v="TXN-103257"/>
    <x v="3257"/>
    <x v="3"/>
    <x v="0"/>
    <n v="5"/>
    <n v="355.04"/>
    <n v="11.07"/>
    <n v="1775.2"/>
  </r>
  <r>
    <s v="TXN-103258"/>
    <x v="3258"/>
    <x v="2"/>
    <x v="1"/>
    <n v="6"/>
    <n v="203.24"/>
    <n v="37.020000000000003"/>
    <n v="1219.44"/>
  </r>
  <r>
    <s v="TXN-103259"/>
    <x v="3259"/>
    <x v="0"/>
    <x v="2"/>
    <n v="2"/>
    <n v="273.93"/>
    <n v="21.99"/>
    <n v="547.86"/>
  </r>
  <r>
    <s v="TXN-103260"/>
    <x v="3260"/>
    <x v="1"/>
    <x v="0"/>
    <n v="13"/>
    <n v="167.01"/>
    <n v="48.26"/>
    <n v="2171.13"/>
  </r>
  <r>
    <s v="TXN-103261"/>
    <x v="3261"/>
    <x v="1"/>
    <x v="1"/>
    <n v="13"/>
    <n v="157.46"/>
    <n v="19.649999999999999"/>
    <n v="2046.98"/>
  </r>
  <r>
    <s v="TXN-103262"/>
    <x v="3262"/>
    <x v="2"/>
    <x v="0"/>
    <n v="19"/>
    <n v="344.28"/>
    <n v="49.26"/>
    <n v="6541.32"/>
  </r>
  <r>
    <s v="TXN-103263"/>
    <x v="3263"/>
    <x v="1"/>
    <x v="2"/>
    <n v="18"/>
    <n v="212.73"/>
    <n v="14.24"/>
    <n v="3829.14"/>
  </r>
  <r>
    <s v="TXN-103264"/>
    <x v="3264"/>
    <x v="1"/>
    <x v="1"/>
    <n v="19"/>
    <n v="107.68"/>
    <n v="9.6300000000000008"/>
    <n v="2045.92"/>
  </r>
  <r>
    <s v="TXN-103265"/>
    <x v="3265"/>
    <x v="1"/>
    <x v="2"/>
    <n v="1"/>
    <n v="103.24"/>
    <n v="19.07"/>
    <n v="103.24"/>
  </r>
  <r>
    <s v="TXN-103266"/>
    <x v="3266"/>
    <x v="1"/>
    <x v="1"/>
    <n v="8"/>
    <n v="388.81"/>
    <n v="44.85"/>
    <n v="3110.48"/>
  </r>
  <r>
    <s v="TXN-103267"/>
    <x v="3267"/>
    <x v="0"/>
    <x v="0"/>
    <n v="16"/>
    <n v="309.99"/>
    <n v="28.48"/>
    <n v="4959.84"/>
  </r>
  <r>
    <s v="TXN-103268"/>
    <x v="3268"/>
    <x v="1"/>
    <x v="3"/>
    <n v="2"/>
    <n v="252.76"/>
    <n v="11.1"/>
    <n v="505.52"/>
  </r>
  <r>
    <s v="TXN-103269"/>
    <x v="3269"/>
    <x v="3"/>
    <x v="0"/>
    <n v="8"/>
    <n v="189.71"/>
    <n v="14.11"/>
    <n v="1517.68"/>
  </r>
  <r>
    <s v="TXN-103270"/>
    <x v="3270"/>
    <x v="2"/>
    <x v="0"/>
    <n v="6"/>
    <n v="202.69"/>
    <n v="19.010000000000002"/>
    <n v="1216.1399999999999"/>
  </r>
  <r>
    <s v="TXN-103271"/>
    <x v="3271"/>
    <x v="0"/>
    <x v="3"/>
    <n v="16"/>
    <n v="40.46"/>
    <n v="31.56"/>
    <n v="647.36"/>
  </r>
  <r>
    <s v="TXN-103272"/>
    <x v="3272"/>
    <x v="1"/>
    <x v="3"/>
    <n v="11"/>
    <n v="213.16"/>
    <n v="19.96"/>
    <n v="2344.7599999999998"/>
  </r>
  <r>
    <s v="TXN-103273"/>
    <x v="3273"/>
    <x v="0"/>
    <x v="1"/>
    <n v="17"/>
    <n v="361.13"/>
    <n v="38.619999999999997"/>
    <n v="6139.21"/>
  </r>
  <r>
    <s v="TXN-103274"/>
    <x v="3274"/>
    <x v="1"/>
    <x v="1"/>
    <n v="19"/>
    <n v="184.08"/>
    <n v="32.729999999999997"/>
    <n v="3497.5200000000004"/>
  </r>
  <r>
    <s v="TXN-103275"/>
    <x v="3275"/>
    <x v="3"/>
    <x v="2"/>
    <n v="11"/>
    <n v="182.17"/>
    <n v="44.32"/>
    <n v="2003.87"/>
  </r>
  <r>
    <s v="TXN-103276"/>
    <x v="3276"/>
    <x v="2"/>
    <x v="2"/>
    <n v="8"/>
    <n v="22.33"/>
    <n v="27.54"/>
    <n v="178.64"/>
  </r>
  <r>
    <s v="TXN-103277"/>
    <x v="3277"/>
    <x v="1"/>
    <x v="0"/>
    <n v="4"/>
    <n v="214.43"/>
    <n v="19.899999999999999"/>
    <n v="857.72"/>
  </r>
  <r>
    <s v="TXN-103278"/>
    <x v="3278"/>
    <x v="1"/>
    <x v="3"/>
    <n v="11"/>
    <n v="26.51"/>
    <n v="49.83"/>
    <n v="291.61"/>
  </r>
  <r>
    <s v="TXN-103279"/>
    <x v="3279"/>
    <x v="1"/>
    <x v="2"/>
    <n v="8"/>
    <n v="263.32"/>
    <n v="21"/>
    <n v="2106.56"/>
  </r>
  <r>
    <s v="TXN-103280"/>
    <x v="3280"/>
    <x v="1"/>
    <x v="0"/>
    <n v="9"/>
    <n v="235.7"/>
    <n v="24.29"/>
    <n v="2121.2999999999997"/>
  </r>
  <r>
    <s v="TXN-103281"/>
    <x v="3281"/>
    <x v="2"/>
    <x v="3"/>
    <n v="2"/>
    <n v="380.48"/>
    <n v="41.41"/>
    <n v="760.96"/>
  </r>
  <r>
    <s v="TXN-103282"/>
    <x v="3282"/>
    <x v="2"/>
    <x v="1"/>
    <n v="16"/>
    <n v="268.27999999999997"/>
    <n v="8.99"/>
    <n v="4292.4799999999996"/>
  </r>
  <r>
    <s v="TXN-103283"/>
    <x v="3283"/>
    <x v="3"/>
    <x v="0"/>
    <n v="6"/>
    <n v="156.03"/>
    <n v="22.39"/>
    <n v="936.18000000000006"/>
  </r>
  <r>
    <s v="TXN-103284"/>
    <x v="3284"/>
    <x v="2"/>
    <x v="1"/>
    <n v="19"/>
    <n v="239.8"/>
    <n v="8.86"/>
    <n v="4556.2"/>
  </r>
  <r>
    <s v="TXN-103285"/>
    <x v="3285"/>
    <x v="1"/>
    <x v="2"/>
    <n v="8"/>
    <n v="319.52"/>
    <n v="11.27"/>
    <n v="2556.16"/>
  </r>
  <r>
    <s v="TXN-103286"/>
    <x v="3286"/>
    <x v="3"/>
    <x v="2"/>
    <n v="14"/>
    <n v="56.33"/>
    <n v="5.21"/>
    <n v="788.62"/>
  </r>
  <r>
    <s v="TXN-103287"/>
    <x v="3287"/>
    <x v="3"/>
    <x v="3"/>
    <n v="16"/>
    <n v="285.36"/>
    <n v="5.43"/>
    <n v="4565.76"/>
  </r>
  <r>
    <s v="TXN-103288"/>
    <x v="3288"/>
    <x v="3"/>
    <x v="0"/>
    <n v="12"/>
    <n v="413.77"/>
    <n v="22.11"/>
    <n v="4965.24"/>
  </r>
  <r>
    <s v="TXN-103289"/>
    <x v="3289"/>
    <x v="1"/>
    <x v="1"/>
    <n v="5"/>
    <n v="145.47"/>
    <n v="41.41"/>
    <n v="727.35"/>
  </r>
  <r>
    <s v="TXN-103290"/>
    <x v="3290"/>
    <x v="0"/>
    <x v="3"/>
    <n v="19"/>
    <n v="287.77"/>
    <n v="31.42"/>
    <n v="5467.6299999999992"/>
  </r>
  <r>
    <s v="TXN-103291"/>
    <x v="3291"/>
    <x v="1"/>
    <x v="2"/>
    <n v="18"/>
    <n v="372.37"/>
    <n v="33.57"/>
    <n v="6702.66"/>
  </r>
  <r>
    <s v="TXN-103292"/>
    <x v="3292"/>
    <x v="2"/>
    <x v="2"/>
    <n v="9"/>
    <n v="237.88"/>
    <n v="28.37"/>
    <n v="2140.92"/>
  </r>
  <r>
    <s v="TXN-103293"/>
    <x v="3293"/>
    <x v="2"/>
    <x v="0"/>
    <n v="2"/>
    <n v="327.45999999999998"/>
    <n v="41.89"/>
    <n v="654.91999999999996"/>
  </r>
  <r>
    <s v="TXN-103294"/>
    <x v="3294"/>
    <x v="1"/>
    <x v="1"/>
    <n v="12"/>
    <n v="150.63"/>
    <n v="44.62"/>
    <n v="1807.56"/>
  </r>
  <r>
    <s v="TXN-103295"/>
    <x v="3295"/>
    <x v="1"/>
    <x v="0"/>
    <n v="2"/>
    <n v="148.47999999999999"/>
    <n v="43.24"/>
    <n v="296.95999999999998"/>
  </r>
  <r>
    <s v="TXN-103296"/>
    <x v="3296"/>
    <x v="3"/>
    <x v="1"/>
    <n v="10"/>
    <n v="305.57"/>
    <n v="41.55"/>
    <n v="3055.7"/>
  </r>
  <r>
    <s v="TXN-103297"/>
    <x v="3297"/>
    <x v="1"/>
    <x v="1"/>
    <n v="1"/>
    <n v="322"/>
    <n v="13.22"/>
    <n v="322"/>
  </r>
  <r>
    <s v="TXN-103298"/>
    <x v="3298"/>
    <x v="3"/>
    <x v="0"/>
    <n v="4"/>
    <n v="422.63"/>
    <n v="31.72"/>
    <n v="1690.52"/>
  </r>
  <r>
    <s v="TXN-103299"/>
    <x v="3299"/>
    <x v="2"/>
    <x v="3"/>
    <n v="12"/>
    <n v="113.19"/>
    <n v="31.2"/>
    <n v="1358.28"/>
  </r>
  <r>
    <s v="TXN-103300"/>
    <x v="3300"/>
    <x v="3"/>
    <x v="0"/>
    <n v="9"/>
    <n v="218.94"/>
    <n v="28.76"/>
    <n v="1970.46"/>
  </r>
  <r>
    <s v="TXN-103301"/>
    <x v="3301"/>
    <x v="1"/>
    <x v="0"/>
    <n v="4"/>
    <n v="124.35"/>
    <n v="26.64"/>
    <n v="497.4"/>
  </r>
  <r>
    <s v="TXN-103302"/>
    <x v="3302"/>
    <x v="2"/>
    <x v="2"/>
    <n v="9"/>
    <n v="50.3"/>
    <n v="9.01"/>
    <n v="452.7"/>
  </r>
  <r>
    <s v="TXN-103303"/>
    <x v="3303"/>
    <x v="0"/>
    <x v="2"/>
    <n v="6"/>
    <n v="190.7"/>
    <n v="9.6"/>
    <n v="1144.1999999999998"/>
  </r>
  <r>
    <s v="TXN-103304"/>
    <x v="3304"/>
    <x v="3"/>
    <x v="0"/>
    <n v="1"/>
    <n v="178.04"/>
    <n v="45.6"/>
    <n v="178.04"/>
  </r>
  <r>
    <s v="TXN-103305"/>
    <x v="3305"/>
    <x v="2"/>
    <x v="0"/>
    <n v="10"/>
    <n v="133"/>
    <n v="33.36"/>
    <n v="1330"/>
  </r>
  <r>
    <s v="TXN-103306"/>
    <x v="3306"/>
    <x v="3"/>
    <x v="2"/>
    <n v="14"/>
    <n v="144.54"/>
    <n v="16.8"/>
    <n v="2023.56"/>
  </r>
  <r>
    <s v="TXN-103307"/>
    <x v="3307"/>
    <x v="2"/>
    <x v="1"/>
    <n v="18"/>
    <n v="172.1"/>
    <n v="17.57"/>
    <n v="3097.7999999999997"/>
  </r>
  <r>
    <s v="TXN-103308"/>
    <x v="3308"/>
    <x v="2"/>
    <x v="0"/>
    <n v="6"/>
    <n v="445.15"/>
    <n v="32.46"/>
    <n v="2670.8999999999996"/>
  </r>
  <r>
    <s v="TXN-103309"/>
    <x v="3309"/>
    <x v="3"/>
    <x v="3"/>
    <n v="18"/>
    <n v="355.7"/>
    <n v="23.31"/>
    <n v="6402.5999999999995"/>
  </r>
  <r>
    <s v="TXN-103310"/>
    <x v="3310"/>
    <x v="0"/>
    <x v="3"/>
    <n v="16"/>
    <n v="46.52"/>
    <n v="24.86"/>
    <n v="744.32"/>
  </r>
  <r>
    <s v="TXN-103311"/>
    <x v="3311"/>
    <x v="2"/>
    <x v="3"/>
    <n v="15"/>
    <n v="394.56"/>
    <n v="7.73"/>
    <n v="5918.4"/>
  </r>
  <r>
    <s v="TXN-103312"/>
    <x v="3312"/>
    <x v="2"/>
    <x v="0"/>
    <n v="16"/>
    <n v="290.67"/>
    <n v="11.24"/>
    <n v="4650.72"/>
  </r>
  <r>
    <s v="TXN-103313"/>
    <x v="3313"/>
    <x v="2"/>
    <x v="1"/>
    <n v="8"/>
    <n v="402.46"/>
    <n v="22.7"/>
    <n v="3219.68"/>
  </r>
  <r>
    <s v="TXN-103314"/>
    <x v="3314"/>
    <x v="0"/>
    <x v="1"/>
    <n v="13"/>
    <n v="163.97"/>
    <n v="36.49"/>
    <n v="2131.61"/>
  </r>
  <r>
    <s v="TXN-103315"/>
    <x v="3315"/>
    <x v="0"/>
    <x v="2"/>
    <n v="11"/>
    <n v="217.33"/>
    <n v="7.16"/>
    <n v="2390.63"/>
  </r>
  <r>
    <s v="TXN-103316"/>
    <x v="3316"/>
    <x v="1"/>
    <x v="0"/>
    <n v="7"/>
    <n v="404.91"/>
    <n v="20.059999999999999"/>
    <n v="2834.3700000000003"/>
  </r>
  <r>
    <s v="TXN-103317"/>
    <x v="3317"/>
    <x v="3"/>
    <x v="1"/>
    <n v="17"/>
    <n v="133.93"/>
    <n v="36.28"/>
    <n v="2276.81"/>
  </r>
  <r>
    <s v="TXN-103318"/>
    <x v="3318"/>
    <x v="0"/>
    <x v="0"/>
    <n v="18"/>
    <n v="413.29"/>
    <n v="40.64"/>
    <n v="7439.22"/>
  </r>
  <r>
    <s v="TXN-103319"/>
    <x v="3319"/>
    <x v="3"/>
    <x v="2"/>
    <n v="19"/>
    <n v="375.48"/>
    <n v="13.56"/>
    <n v="7134.1200000000008"/>
  </r>
  <r>
    <s v="TXN-103320"/>
    <x v="3320"/>
    <x v="1"/>
    <x v="2"/>
    <n v="13"/>
    <n v="441.55"/>
    <n v="37.92"/>
    <n v="5740.1500000000005"/>
  </r>
  <r>
    <s v="TXN-103321"/>
    <x v="3321"/>
    <x v="3"/>
    <x v="2"/>
    <n v="15"/>
    <n v="156.38999999999999"/>
    <n v="47.99"/>
    <n v="2345.85"/>
  </r>
  <r>
    <s v="TXN-103322"/>
    <x v="3322"/>
    <x v="0"/>
    <x v="3"/>
    <n v="1"/>
    <n v="117.93"/>
    <n v="45.81"/>
    <n v="117.93"/>
  </r>
  <r>
    <s v="TXN-103323"/>
    <x v="3323"/>
    <x v="3"/>
    <x v="0"/>
    <n v="16"/>
    <n v="159.26"/>
    <n v="40.520000000000003"/>
    <n v="2548.16"/>
  </r>
  <r>
    <s v="TXN-103324"/>
    <x v="3324"/>
    <x v="0"/>
    <x v="2"/>
    <n v="5"/>
    <n v="430.3"/>
    <n v="37.049999999999997"/>
    <n v="2151.5"/>
  </r>
  <r>
    <s v="TXN-103325"/>
    <x v="3325"/>
    <x v="3"/>
    <x v="0"/>
    <n v="3"/>
    <n v="160.22"/>
    <n v="15.58"/>
    <n v="480.65999999999997"/>
  </r>
  <r>
    <s v="TXN-103326"/>
    <x v="3326"/>
    <x v="0"/>
    <x v="3"/>
    <n v="10"/>
    <n v="261.08"/>
    <n v="33.53"/>
    <n v="2610.7999999999997"/>
  </r>
  <r>
    <s v="TXN-103327"/>
    <x v="3327"/>
    <x v="0"/>
    <x v="3"/>
    <n v="19"/>
    <n v="190.9"/>
    <n v="33.950000000000003"/>
    <n v="3627.1"/>
  </r>
  <r>
    <s v="TXN-103328"/>
    <x v="3328"/>
    <x v="3"/>
    <x v="2"/>
    <n v="5"/>
    <n v="187.66"/>
    <n v="23.31"/>
    <n v="938.3"/>
  </r>
  <r>
    <s v="TXN-103329"/>
    <x v="3329"/>
    <x v="1"/>
    <x v="2"/>
    <n v="7"/>
    <n v="99.52"/>
    <n v="27.19"/>
    <n v="696.64"/>
  </r>
  <r>
    <s v="TXN-103330"/>
    <x v="3330"/>
    <x v="2"/>
    <x v="1"/>
    <n v="14"/>
    <n v="248.86"/>
    <n v="36.229999999999997"/>
    <n v="3484.04"/>
  </r>
  <r>
    <s v="TXN-103331"/>
    <x v="3331"/>
    <x v="1"/>
    <x v="0"/>
    <n v="3"/>
    <n v="384.57"/>
    <n v="47.84"/>
    <n v="1153.71"/>
  </r>
  <r>
    <s v="TXN-103332"/>
    <x v="3332"/>
    <x v="3"/>
    <x v="2"/>
    <n v="13"/>
    <n v="37"/>
    <n v="18.29"/>
    <n v="481"/>
  </r>
  <r>
    <s v="TXN-103333"/>
    <x v="3333"/>
    <x v="1"/>
    <x v="1"/>
    <n v="13"/>
    <n v="401.87"/>
    <n v="16.09"/>
    <n v="5224.3100000000004"/>
  </r>
  <r>
    <s v="TXN-103334"/>
    <x v="3334"/>
    <x v="0"/>
    <x v="0"/>
    <n v="10"/>
    <n v="304.64999999999998"/>
    <n v="32.08"/>
    <n v="3046.5"/>
  </r>
  <r>
    <s v="TXN-103335"/>
    <x v="3335"/>
    <x v="2"/>
    <x v="2"/>
    <n v="2"/>
    <n v="283.47000000000003"/>
    <n v="10.89"/>
    <n v="566.94000000000005"/>
  </r>
  <r>
    <s v="TXN-103336"/>
    <x v="3336"/>
    <x v="3"/>
    <x v="1"/>
    <n v="6"/>
    <n v="287.45"/>
    <n v="31.21"/>
    <n v="1724.6999999999998"/>
  </r>
  <r>
    <s v="TXN-103337"/>
    <x v="3337"/>
    <x v="3"/>
    <x v="1"/>
    <n v="8"/>
    <n v="144.22999999999999"/>
    <n v="9"/>
    <n v="1153.8399999999999"/>
  </r>
  <r>
    <s v="TXN-103338"/>
    <x v="3338"/>
    <x v="3"/>
    <x v="0"/>
    <n v="4"/>
    <n v="195.88"/>
    <n v="27.08"/>
    <n v="783.52"/>
  </r>
  <r>
    <s v="TXN-103339"/>
    <x v="3339"/>
    <x v="2"/>
    <x v="1"/>
    <n v="12"/>
    <n v="362.79"/>
    <n v="32.92"/>
    <n v="4353.4800000000005"/>
  </r>
  <r>
    <s v="TXN-103340"/>
    <x v="3340"/>
    <x v="0"/>
    <x v="0"/>
    <n v="15"/>
    <n v="148.62"/>
    <n v="8.15"/>
    <n v="2229.3000000000002"/>
  </r>
  <r>
    <s v="TXN-103341"/>
    <x v="3341"/>
    <x v="3"/>
    <x v="0"/>
    <n v="8"/>
    <n v="219.72"/>
    <n v="14.31"/>
    <n v="1757.76"/>
  </r>
  <r>
    <s v="TXN-103342"/>
    <x v="3342"/>
    <x v="1"/>
    <x v="0"/>
    <n v="7"/>
    <n v="24.03"/>
    <n v="20.09"/>
    <n v="168.21"/>
  </r>
  <r>
    <s v="TXN-103343"/>
    <x v="3343"/>
    <x v="3"/>
    <x v="3"/>
    <n v="14"/>
    <n v="334.23"/>
    <n v="21.59"/>
    <n v="4679.22"/>
  </r>
  <r>
    <s v="TXN-103344"/>
    <x v="3344"/>
    <x v="3"/>
    <x v="1"/>
    <n v="19"/>
    <n v="196.99"/>
    <n v="35.42"/>
    <n v="3742.8100000000004"/>
  </r>
  <r>
    <s v="TXN-103345"/>
    <x v="3345"/>
    <x v="3"/>
    <x v="0"/>
    <n v="14"/>
    <n v="243.77"/>
    <n v="28.81"/>
    <n v="3412.78"/>
  </r>
  <r>
    <s v="TXN-103346"/>
    <x v="3346"/>
    <x v="3"/>
    <x v="2"/>
    <n v="13"/>
    <n v="65.33"/>
    <n v="22.19"/>
    <n v="849.29"/>
  </r>
  <r>
    <s v="TXN-103347"/>
    <x v="3347"/>
    <x v="0"/>
    <x v="3"/>
    <n v="1"/>
    <n v="446.4"/>
    <n v="25.28"/>
    <n v="446.4"/>
  </r>
  <r>
    <s v="TXN-103348"/>
    <x v="3348"/>
    <x v="1"/>
    <x v="3"/>
    <n v="19"/>
    <n v="146.91999999999999"/>
    <n v="5.58"/>
    <n v="2791.4799999999996"/>
  </r>
  <r>
    <s v="TXN-103349"/>
    <x v="3349"/>
    <x v="0"/>
    <x v="1"/>
    <n v="1"/>
    <n v="291.39999999999998"/>
    <n v="39.67"/>
    <n v="291.39999999999998"/>
  </r>
  <r>
    <s v="TXN-103350"/>
    <x v="3350"/>
    <x v="1"/>
    <x v="0"/>
    <n v="4"/>
    <n v="268.05"/>
    <n v="6.85"/>
    <n v="1072.2"/>
  </r>
  <r>
    <s v="TXN-103351"/>
    <x v="3351"/>
    <x v="3"/>
    <x v="1"/>
    <n v="10"/>
    <n v="356.62"/>
    <n v="42.32"/>
    <n v="3566.2"/>
  </r>
  <r>
    <s v="TXN-103352"/>
    <x v="3352"/>
    <x v="2"/>
    <x v="3"/>
    <n v="3"/>
    <n v="143.16999999999999"/>
    <n v="29.34"/>
    <n v="429.51"/>
  </r>
  <r>
    <s v="TXN-103353"/>
    <x v="3353"/>
    <x v="0"/>
    <x v="0"/>
    <n v="9"/>
    <n v="343.95"/>
    <n v="28.75"/>
    <n v="3095.5499999999997"/>
  </r>
  <r>
    <s v="TXN-103354"/>
    <x v="3354"/>
    <x v="2"/>
    <x v="2"/>
    <n v="3"/>
    <n v="181.7"/>
    <n v="36.71"/>
    <n v="545.09999999999991"/>
  </r>
  <r>
    <s v="TXN-103355"/>
    <x v="3355"/>
    <x v="0"/>
    <x v="0"/>
    <n v="6"/>
    <n v="194.15"/>
    <n v="43.68"/>
    <n v="1164.9000000000001"/>
  </r>
  <r>
    <s v="TXN-103356"/>
    <x v="3356"/>
    <x v="3"/>
    <x v="3"/>
    <n v="6"/>
    <n v="307.79000000000002"/>
    <n v="47.42"/>
    <n v="1846.7400000000002"/>
  </r>
  <r>
    <s v="TXN-103357"/>
    <x v="3357"/>
    <x v="0"/>
    <x v="2"/>
    <n v="12"/>
    <n v="356.27"/>
    <n v="29.45"/>
    <n v="4275.24"/>
  </r>
  <r>
    <s v="TXN-103358"/>
    <x v="3358"/>
    <x v="3"/>
    <x v="0"/>
    <n v="1"/>
    <n v="305.25"/>
    <n v="11.78"/>
    <n v="305.25"/>
  </r>
  <r>
    <s v="TXN-103359"/>
    <x v="3359"/>
    <x v="0"/>
    <x v="2"/>
    <n v="16"/>
    <n v="406.5"/>
    <n v="44.54"/>
    <n v="6504"/>
  </r>
  <r>
    <s v="TXN-103360"/>
    <x v="3360"/>
    <x v="3"/>
    <x v="2"/>
    <n v="5"/>
    <n v="139.4"/>
    <n v="6.83"/>
    <n v="697"/>
  </r>
  <r>
    <s v="TXN-103361"/>
    <x v="3361"/>
    <x v="3"/>
    <x v="3"/>
    <n v="9"/>
    <n v="406.82"/>
    <n v="41.33"/>
    <n v="3661.38"/>
  </r>
  <r>
    <s v="TXN-103362"/>
    <x v="3362"/>
    <x v="1"/>
    <x v="2"/>
    <n v="10"/>
    <n v="72.36"/>
    <n v="35.619999999999997"/>
    <n v="723.6"/>
  </r>
  <r>
    <s v="TXN-103363"/>
    <x v="3363"/>
    <x v="3"/>
    <x v="1"/>
    <n v="13"/>
    <n v="302.07"/>
    <n v="45.71"/>
    <n v="3926.91"/>
  </r>
  <r>
    <s v="TXN-103364"/>
    <x v="3364"/>
    <x v="1"/>
    <x v="3"/>
    <n v="15"/>
    <n v="253.45"/>
    <n v="45.39"/>
    <n v="3801.75"/>
  </r>
  <r>
    <s v="TXN-103365"/>
    <x v="3365"/>
    <x v="3"/>
    <x v="1"/>
    <n v="12"/>
    <n v="230.42"/>
    <n v="7.39"/>
    <n v="2765.04"/>
  </r>
  <r>
    <s v="TXN-103366"/>
    <x v="3366"/>
    <x v="2"/>
    <x v="2"/>
    <n v="5"/>
    <n v="150.59"/>
    <n v="32.43"/>
    <n v="752.95"/>
  </r>
  <r>
    <s v="TXN-103367"/>
    <x v="3367"/>
    <x v="3"/>
    <x v="1"/>
    <n v="5"/>
    <n v="234.37"/>
    <n v="10.61"/>
    <n v="1171.8499999999999"/>
  </r>
  <r>
    <s v="TXN-103368"/>
    <x v="3368"/>
    <x v="2"/>
    <x v="0"/>
    <n v="18"/>
    <n v="85.79"/>
    <n v="8.5299999999999994"/>
    <n v="1544.22"/>
  </r>
  <r>
    <s v="TXN-103369"/>
    <x v="3369"/>
    <x v="2"/>
    <x v="2"/>
    <n v="12"/>
    <n v="175.97"/>
    <n v="25.17"/>
    <n v="2111.64"/>
  </r>
  <r>
    <s v="TXN-103370"/>
    <x v="3370"/>
    <x v="3"/>
    <x v="0"/>
    <n v="3"/>
    <n v="58.38"/>
    <n v="9.39"/>
    <n v="175.14000000000001"/>
  </r>
  <r>
    <s v="TXN-103371"/>
    <x v="3371"/>
    <x v="2"/>
    <x v="1"/>
    <n v="7"/>
    <n v="263.97000000000003"/>
    <n v="37.76"/>
    <n v="1847.7900000000002"/>
  </r>
  <r>
    <s v="TXN-103372"/>
    <x v="3372"/>
    <x v="1"/>
    <x v="0"/>
    <n v="17"/>
    <n v="57.11"/>
    <n v="48.6"/>
    <n v="970.87"/>
  </r>
  <r>
    <s v="TXN-103373"/>
    <x v="3373"/>
    <x v="0"/>
    <x v="2"/>
    <n v="19"/>
    <n v="85.17"/>
    <n v="30.63"/>
    <n v="1618.23"/>
  </r>
  <r>
    <s v="TXN-103374"/>
    <x v="3374"/>
    <x v="3"/>
    <x v="0"/>
    <n v="18"/>
    <n v="52.64"/>
    <n v="15.58"/>
    <n v="947.52"/>
  </r>
  <r>
    <s v="TXN-103375"/>
    <x v="3375"/>
    <x v="2"/>
    <x v="1"/>
    <n v="1"/>
    <n v="181.18"/>
    <n v="42.94"/>
    <n v="181.18"/>
  </r>
  <r>
    <s v="TXN-103376"/>
    <x v="3376"/>
    <x v="3"/>
    <x v="1"/>
    <n v="5"/>
    <n v="381.33"/>
    <n v="43.39"/>
    <n v="1906.6499999999999"/>
  </r>
  <r>
    <s v="TXN-103377"/>
    <x v="3377"/>
    <x v="1"/>
    <x v="1"/>
    <n v="2"/>
    <n v="409.55"/>
    <n v="37.979999999999997"/>
    <n v="819.1"/>
  </r>
  <r>
    <s v="TXN-103378"/>
    <x v="3378"/>
    <x v="3"/>
    <x v="2"/>
    <n v="1"/>
    <n v="46.74"/>
    <n v="32.68"/>
    <n v="46.74"/>
  </r>
  <r>
    <s v="TXN-103379"/>
    <x v="3379"/>
    <x v="3"/>
    <x v="1"/>
    <n v="7"/>
    <n v="291.20999999999998"/>
    <n v="44.05"/>
    <n v="2038.4699999999998"/>
  </r>
  <r>
    <s v="TXN-103380"/>
    <x v="3380"/>
    <x v="2"/>
    <x v="2"/>
    <n v="11"/>
    <n v="312.87"/>
    <n v="12.35"/>
    <n v="3441.57"/>
  </r>
  <r>
    <s v="TXN-103381"/>
    <x v="3381"/>
    <x v="1"/>
    <x v="0"/>
    <n v="11"/>
    <n v="247.42"/>
    <n v="46.92"/>
    <n v="2721.62"/>
  </r>
  <r>
    <s v="TXN-103382"/>
    <x v="3382"/>
    <x v="0"/>
    <x v="1"/>
    <n v="18"/>
    <n v="305.3"/>
    <n v="47.62"/>
    <n v="5495.4000000000005"/>
  </r>
  <r>
    <s v="TXN-103383"/>
    <x v="3383"/>
    <x v="0"/>
    <x v="0"/>
    <n v="17"/>
    <n v="117.04"/>
    <n v="44.24"/>
    <n v="1989.68"/>
  </r>
  <r>
    <s v="TXN-103384"/>
    <x v="3384"/>
    <x v="2"/>
    <x v="3"/>
    <n v="2"/>
    <n v="228.25"/>
    <n v="16.28"/>
    <n v="456.5"/>
  </r>
  <r>
    <s v="TXN-103385"/>
    <x v="3385"/>
    <x v="3"/>
    <x v="0"/>
    <n v="7"/>
    <n v="185.34"/>
    <n v="43.62"/>
    <n v="1297.3800000000001"/>
  </r>
  <r>
    <s v="TXN-103386"/>
    <x v="3386"/>
    <x v="2"/>
    <x v="3"/>
    <n v="7"/>
    <n v="54.48"/>
    <n v="27.39"/>
    <n v="381.35999999999996"/>
  </r>
  <r>
    <s v="TXN-103387"/>
    <x v="3387"/>
    <x v="2"/>
    <x v="0"/>
    <n v="10"/>
    <n v="287.3"/>
    <n v="31.77"/>
    <n v="2873"/>
  </r>
  <r>
    <s v="TXN-103388"/>
    <x v="3388"/>
    <x v="2"/>
    <x v="2"/>
    <n v="3"/>
    <n v="230.67"/>
    <n v="42.83"/>
    <n v="692.01"/>
  </r>
  <r>
    <s v="TXN-103389"/>
    <x v="3389"/>
    <x v="3"/>
    <x v="0"/>
    <n v="12"/>
    <n v="135.06"/>
    <n v="6.33"/>
    <n v="1620.72"/>
  </r>
  <r>
    <s v="TXN-103390"/>
    <x v="3390"/>
    <x v="1"/>
    <x v="2"/>
    <n v="3"/>
    <n v="221.32"/>
    <n v="21.33"/>
    <n v="663.96"/>
  </r>
  <r>
    <s v="TXN-103391"/>
    <x v="3391"/>
    <x v="2"/>
    <x v="2"/>
    <n v="11"/>
    <n v="352.37"/>
    <n v="41.71"/>
    <n v="3876.07"/>
  </r>
  <r>
    <s v="TXN-103392"/>
    <x v="3392"/>
    <x v="3"/>
    <x v="1"/>
    <n v="12"/>
    <n v="363.82"/>
    <n v="41.63"/>
    <n v="4365.84"/>
  </r>
  <r>
    <s v="TXN-103393"/>
    <x v="3393"/>
    <x v="1"/>
    <x v="2"/>
    <n v="4"/>
    <n v="297.72000000000003"/>
    <n v="43.19"/>
    <n v="1190.8800000000001"/>
  </r>
  <r>
    <s v="TXN-103394"/>
    <x v="3394"/>
    <x v="2"/>
    <x v="3"/>
    <n v="16"/>
    <n v="218.74"/>
    <n v="12.61"/>
    <n v="3499.84"/>
  </r>
  <r>
    <s v="TXN-103395"/>
    <x v="3395"/>
    <x v="0"/>
    <x v="1"/>
    <n v="18"/>
    <n v="265.66000000000003"/>
    <n v="36.76"/>
    <n v="4781.88"/>
  </r>
  <r>
    <s v="TXN-103396"/>
    <x v="3396"/>
    <x v="1"/>
    <x v="1"/>
    <n v="4"/>
    <n v="182.79"/>
    <n v="11.59"/>
    <n v="731.16"/>
  </r>
  <r>
    <s v="TXN-103397"/>
    <x v="3397"/>
    <x v="2"/>
    <x v="0"/>
    <n v="6"/>
    <n v="70.489999999999995"/>
    <n v="40.33"/>
    <n v="422.93999999999994"/>
  </r>
  <r>
    <s v="TXN-103398"/>
    <x v="3398"/>
    <x v="1"/>
    <x v="2"/>
    <n v="15"/>
    <n v="183.05"/>
    <n v="16.03"/>
    <n v="2745.75"/>
  </r>
  <r>
    <s v="TXN-103399"/>
    <x v="3399"/>
    <x v="1"/>
    <x v="2"/>
    <n v="1"/>
    <n v="245.93"/>
    <n v="38.200000000000003"/>
    <n v="245.93"/>
  </r>
  <r>
    <s v="TXN-103400"/>
    <x v="3400"/>
    <x v="1"/>
    <x v="3"/>
    <n v="3"/>
    <n v="275.69"/>
    <n v="25.48"/>
    <n v="827.06999999999994"/>
  </r>
  <r>
    <s v="TXN-103401"/>
    <x v="3401"/>
    <x v="1"/>
    <x v="0"/>
    <n v="5"/>
    <n v="422.11"/>
    <n v="49.38"/>
    <n v="2110.5500000000002"/>
  </r>
  <r>
    <s v="TXN-103402"/>
    <x v="3402"/>
    <x v="1"/>
    <x v="0"/>
    <n v="17"/>
    <n v="353.25"/>
    <n v="31.1"/>
    <n v="6005.25"/>
  </r>
  <r>
    <s v="TXN-103403"/>
    <x v="3403"/>
    <x v="1"/>
    <x v="1"/>
    <n v="14"/>
    <n v="81.540000000000006"/>
    <n v="33.47"/>
    <n v="1141.5600000000002"/>
  </r>
  <r>
    <s v="TXN-103404"/>
    <x v="3404"/>
    <x v="2"/>
    <x v="1"/>
    <n v="9"/>
    <n v="91.18"/>
    <n v="21.57"/>
    <n v="820.62000000000012"/>
  </r>
  <r>
    <s v="TXN-103405"/>
    <x v="3405"/>
    <x v="0"/>
    <x v="1"/>
    <n v="3"/>
    <n v="59.16"/>
    <n v="38.049999999999997"/>
    <n v="177.48"/>
  </r>
  <r>
    <s v="TXN-103406"/>
    <x v="3406"/>
    <x v="3"/>
    <x v="3"/>
    <n v="13"/>
    <n v="336.24"/>
    <n v="27.27"/>
    <n v="4371.12"/>
  </r>
  <r>
    <s v="TXN-103407"/>
    <x v="3407"/>
    <x v="1"/>
    <x v="3"/>
    <n v="3"/>
    <n v="322.31"/>
    <n v="5.81"/>
    <n v="966.93000000000006"/>
  </r>
  <r>
    <s v="TXN-103408"/>
    <x v="3408"/>
    <x v="3"/>
    <x v="1"/>
    <n v="11"/>
    <n v="444.07"/>
    <n v="32.39"/>
    <n v="4884.7699999999995"/>
  </r>
  <r>
    <s v="TXN-103409"/>
    <x v="3409"/>
    <x v="2"/>
    <x v="0"/>
    <n v="2"/>
    <n v="242.32"/>
    <n v="42.37"/>
    <n v="484.64"/>
  </r>
  <r>
    <s v="TXN-103410"/>
    <x v="3410"/>
    <x v="1"/>
    <x v="3"/>
    <n v="15"/>
    <n v="374.58"/>
    <n v="15.66"/>
    <n v="5618.7"/>
  </r>
  <r>
    <s v="TXN-103411"/>
    <x v="3411"/>
    <x v="0"/>
    <x v="0"/>
    <n v="13"/>
    <n v="265.95999999999998"/>
    <n v="14.95"/>
    <n v="3457.4799999999996"/>
  </r>
  <r>
    <s v="TXN-103412"/>
    <x v="3412"/>
    <x v="3"/>
    <x v="0"/>
    <n v="19"/>
    <n v="395.29"/>
    <n v="32.4"/>
    <n v="7510.51"/>
  </r>
  <r>
    <s v="TXN-103413"/>
    <x v="3413"/>
    <x v="1"/>
    <x v="2"/>
    <n v="16"/>
    <n v="328.78"/>
    <n v="41.81"/>
    <n v="5260.48"/>
  </r>
  <r>
    <s v="TXN-103414"/>
    <x v="3414"/>
    <x v="2"/>
    <x v="1"/>
    <n v="18"/>
    <n v="294.83"/>
    <n v="16.23"/>
    <n v="5306.94"/>
  </r>
  <r>
    <s v="TXN-103415"/>
    <x v="3415"/>
    <x v="0"/>
    <x v="2"/>
    <n v="7"/>
    <n v="261.05"/>
    <n v="46.95"/>
    <n v="1827.3500000000001"/>
  </r>
  <r>
    <s v="TXN-103416"/>
    <x v="3416"/>
    <x v="3"/>
    <x v="1"/>
    <n v="13"/>
    <n v="329.63"/>
    <n v="46.73"/>
    <n v="4285.1899999999996"/>
  </r>
  <r>
    <s v="TXN-103417"/>
    <x v="3417"/>
    <x v="3"/>
    <x v="1"/>
    <n v="4"/>
    <n v="197.84"/>
    <n v="14.02"/>
    <n v="791.36"/>
  </r>
  <r>
    <s v="TXN-103418"/>
    <x v="3418"/>
    <x v="1"/>
    <x v="0"/>
    <n v="9"/>
    <n v="57.46"/>
    <n v="16.87"/>
    <n v="517.14"/>
  </r>
  <r>
    <s v="TXN-103419"/>
    <x v="3419"/>
    <x v="0"/>
    <x v="1"/>
    <n v="10"/>
    <n v="32.869999999999997"/>
    <n v="36.53"/>
    <n v="328.7"/>
  </r>
  <r>
    <s v="TXN-103420"/>
    <x v="3420"/>
    <x v="0"/>
    <x v="0"/>
    <n v="9"/>
    <n v="223.64"/>
    <n v="47.83"/>
    <n v="2012.7599999999998"/>
  </r>
  <r>
    <s v="TXN-103421"/>
    <x v="3421"/>
    <x v="0"/>
    <x v="0"/>
    <n v="7"/>
    <n v="275.89"/>
    <n v="36.94"/>
    <n v="1931.23"/>
  </r>
  <r>
    <s v="TXN-103422"/>
    <x v="3422"/>
    <x v="0"/>
    <x v="1"/>
    <n v="15"/>
    <n v="49.76"/>
    <n v="25.02"/>
    <n v="746.4"/>
  </r>
  <r>
    <s v="TXN-103423"/>
    <x v="3423"/>
    <x v="2"/>
    <x v="0"/>
    <n v="8"/>
    <n v="140.16"/>
    <n v="12.61"/>
    <n v="1121.28"/>
  </r>
  <r>
    <s v="TXN-103424"/>
    <x v="3424"/>
    <x v="0"/>
    <x v="0"/>
    <n v="19"/>
    <n v="155.41999999999999"/>
    <n v="25.75"/>
    <n v="2952.9799999999996"/>
  </r>
  <r>
    <s v="TXN-103425"/>
    <x v="3425"/>
    <x v="3"/>
    <x v="0"/>
    <n v="11"/>
    <n v="260.02999999999997"/>
    <n v="32.299999999999997"/>
    <n v="2860.33"/>
  </r>
  <r>
    <s v="TXN-103426"/>
    <x v="3426"/>
    <x v="3"/>
    <x v="3"/>
    <n v="5"/>
    <n v="136.5"/>
    <n v="19.89"/>
    <n v="682.5"/>
  </r>
  <r>
    <s v="TXN-103427"/>
    <x v="3427"/>
    <x v="2"/>
    <x v="0"/>
    <n v="2"/>
    <n v="57.06"/>
    <n v="27.96"/>
    <n v="114.12"/>
  </r>
  <r>
    <s v="TXN-103428"/>
    <x v="3428"/>
    <x v="3"/>
    <x v="3"/>
    <n v="10"/>
    <n v="87.13"/>
    <n v="10.86"/>
    <n v="871.3"/>
  </r>
  <r>
    <s v="TXN-103429"/>
    <x v="3429"/>
    <x v="3"/>
    <x v="3"/>
    <n v="16"/>
    <n v="91.08"/>
    <n v="25.35"/>
    <n v="1457.28"/>
  </r>
  <r>
    <s v="TXN-103430"/>
    <x v="3430"/>
    <x v="0"/>
    <x v="0"/>
    <n v="13"/>
    <n v="381.65"/>
    <n v="9.08"/>
    <n v="4961.45"/>
  </r>
  <r>
    <s v="TXN-103431"/>
    <x v="3431"/>
    <x v="3"/>
    <x v="0"/>
    <n v="8"/>
    <n v="139.04"/>
    <n v="7.21"/>
    <n v="1112.32"/>
  </r>
  <r>
    <s v="TXN-103432"/>
    <x v="3432"/>
    <x v="2"/>
    <x v="3"/>
    <n v="9"/>
    <n v="326.02999999999997"/>
    <n v="43.58"/>
    <n v="2934.2699999999995"/>
  </r>
  <r>
    <s v="TXN-103433"/>
    <x v="3433"/>
    <x v="0"/>
    <x v="3"/>
    <n v="11"/>
    <n v="262.23"/>
    <n v="14.23"/>
    <n v="2884.53"/>
  </r>
  <r>
    <s v="TXN-103434"/>
    <x v="3434"/>
    <x v="1"/>
    <x v="0"/>
    <n v="11"/>
    <n v="440.02"/>
    <n v="30.88"/>
    <n v="4840.2199999999993"/>
  </r>
  <r>
    <s v="TXN-103435"/>
    <x v="3435"/>
    <x v="0"/>
    <x v="0"/>
    <n v="16"/>
    <n v="134.04"/>
    <n v="11.7"/>
    <n v="2144.64"/>
  </r>
  <r>
    <s v="TXN-103436"/>
    <x v="3436"/>
    <x v="2"/>
    <x v="1"/>
    <n v="10"/>
    <n v="84.31"/>
    <n v="16.809999999999999"/>
    <n v="843.1"/>
  </r>
  <r>
    <s v="TXN-103437"/>
    <x v="3437"/>
    <x v="0"/>
    <x v="3"/>
    <n v="12"/>
    <n v="38.11"/>
    <n v="21.26"/>
    <n v="457.32"/>
  </r>
  <r>
    <s v="TXN-103438"/>
    <x v="3438"/>
    <x v="0"/>
    <x v="3"/>
    <n v="6"/>
    <n v="120.2"/>
    <n v="11.47"/>
    <n v="721.2"/>
  </r>
  <r>
    <s v="TXN-103439"/>
    <x v="3439"/>
    <x v="2"/>
    <x v="1"/>
    <n v="12"/>
    <n v="312.73"/>
    <n v="7.07"/>
    <n v="3752.76"/>
  </r>
  <r>
    <s v="TXN-103440"/>
    <x v="3440"/>
    <x v="0"/>
    <x v="3"/>
    <n v="10"/>
    <n v="52.54"/>
    <n v="44.47"/>
    <n v="525.4"/>
  </r>
  <r>
    <s v="TXN-103441"/>
    <x v="3441"/>
    <x v="2"/>
    <x v="2"/>
    <n v="18"/>
    <n v="121.82"/>
    <n v="5.53"/>
    <n v="2192.7599999999998"/>
  </r>
  <r>
    <s v="TXN-103442"/>
    <x v="3442"/>
    <x v="2"/>
    <x v="3"/>
    <n v="18"/>
    <n v="387.13"/>
    <n v="7.76"/>
    <n v="6968.34"/>
  </r>
  <r>
    <s v="TXN-103443"/>
    <x v="3443"/>
    <x v="1"/>
    <x v="1"/>
    <n v="4"/>
    <n v="268.79000000000002"/>
    <n v="41.23"/>
    <n v="1075.1600000000001"/>
  </r>
  <r>
    <s v="TXN-103444"/>
    <x v="3444"/>
    <x v="3"/>
    <x v="2"/>
    <n v="9"/>
    <n v="45.71"/>
    <n v="17.690000000000001"/>
    <n v="411.39"/>
  </r>
  <r>
    <s v="TXN-103445"/>
    <x v="3445"/>
    <x v="3"/>
    <x v="0"/>
    <n v="7"/>
    <n v="36.22"/>
    <n v="37.53"/>
    <n v="253.54"/>
  </r>
  <r>
    <s v="TXN-103446"/>
    <x v="3446"/>
    <x v="0"/>
    <x v="1"/>
    <n v="18"/>
    <n v="42.06"/>
    <n v="11.58"/>
    <n v="757.08"/>
  </r>
  <r>
    <s v="TXN-103447"/>
    <x v="3447"/>
    <x v="0"/>
    <x v="1"/>
    <n v="8"/>
    <n v="424.74"/>
    <n v="15.68"/>
    <n v="3397.92"/>
  </r>
  <r>
    <s v="TXN-103448"/>
    <x v="3448"/>
    <x v="1"/>
    <x v="0"/>
    <n v="11"/>
    <n v="384.77"/>
    <n v="30.77"/>
    <n v="4232.4699999999993"/>
  </r>
  <r>
    <s v="TXN-103449"/>
    <x v="3449"/>
    <x v="1"/>
    <x v="1"/>
    <n v="7"/>
    <n v="382.63"/>
    <n v="49.49"/>
    <n v="2678.41"/>
  </r>
  <r>
    <s v="TXN-103450"/>
    <x v="3450"/>
    <x v="1"/>
    <x v="3"/>
    <n v="9"/>
    <n v="417.07"/>
    <n v="8.31"/>
    <n v="3753.63"/>
  </r>
  <r>
    <s v="TXN-103451"/>
    <x v="3451"/>
    <x v="2"/>
    <x v="0"/>
    <n v="8"/>
    <n v="235.03"/>
    <n v="23.02"/>
    <n v="1880.24"/>
  </r>
  <r>
    <s v="TXN-103452"/>
    <x v="3452"/>
    <x v="1"/>
    <x v="1"/>
    <n v="3"/>
    <n v="122.97"/>
    <n v="6.94"/>
    <n v="368.90999999999997"/>
  </r>
  <r>
    <s v="TXN-103453"/>
    <x v="3453"/>
    <x v="1"/>
    <x v="0"/>
    <n v="17"/>
    <n v="189.89"/>
    <n v="13.97"/>
    <n v="3228.1299999999997"/>
  </r>
  <r>
    <s v="TXN-103454"/>
    <x v="3454"/>
    <x v="0"/>
    <x v="0"/>
    <n v="2"/>
    <n v="327.85"/>
    <n v="45.84"/>
    <n v="655.7"/>
  </r>
  <r>
    <s v="TXN-103455"/>
    <x v="3455"/>
    <x v="1"/>
    <x v="0"/>
    <n v="15"/>
    <n v="396.14"/>
    <n v="9.34"/>
    <n v="5942.0999999999995"/>
  </r>
  <r>
    <s v="TXN-103456"/>
    <x v="3456"/>
    <x v="2"/>
    <x v="2"/>
    <n v="14"/>
    <n v="204.55"/>
    <n v="43.56"/>
    <n v="2863.7000000000003"/>
  </r>
  <r>
    <s v="TXN-103457"/>
    <x v="3457"/>
    <x v="2"/>
    <x v="1"/>
    <n v="18"/>
    <n v="248.12"/>
    <n v="13"/>
    <n v="4466.16"/>
  </r>
  <r>
    <s v="TXN-103458"/>
    <x v="3458"/>
    <x v="0"/>
    <x v="2"/>
    <n v="16"/>
    <n v="420.36"/>
    <n v="43.78"/>
    <n v="6725.76"/>
  </r>
  <r>
    <s v="TXN-103459"/>
    <x v="3459"/>
    <x v="1"/>
    <x v="1"/>
    <n v="4"/>
    <n v="62.21"/>
    <n v="29.21"/>
    <n v="248.84"/>
  </r>
  <r>
    <s v="TXN-103460"/>
    <x v="3460"/>
    <x v="1"/>
    <x v="3"/>
    <n v="6"/>
    <n v="390.17"/>
    <n v="44.52"/>
    <n v="2341.02"/>
  </r>
  <r>
    <s v="TXN-103461"/>
    <x v="3461"/>
    <x v="2"/>
    <x v="3"/>
    <n v="6"/>
    <n v="84.72"/>
    <n v="11.83"/>
    <n v="508.32"/>
  </r>
  <r>
    <s v="TXN-103462"/>
    <x v="3462"/>
    <x v="1"/>
    <x v="3"/>
    <n v="11"/>
    <n v="225.74"/>
    <n v="39.29"/>
    <n v="2483.1400000000003"/>
  </r>
  <r>
    <s v="TXN-103463"/>
    <x v="3463"/>
    <x v="1"/>
    <x v="1"/>
    <n v="17"/>
    <n v="110.4"/>
    <n v="35.630000000000003"/>
    <n v="1876.8000000000002"/>
  </r>
  <r>
    <s v="TXN-103464"/>
    <x v="3464"/>
    <x v="1"/>
    <x v="0"/>
    <n v="3"/>
    <n v="277.48"/>
    <n v="29.43"/>
    <n v="832.44"/>
  </r>
  <r>
    <s v="TXN-103465"/>
    <x v="3465"/>
    <x v="3"/>
    <x v="0"/>
    <n v="13"/>
    <n v="258.2"/>
    <n v="41.48"/>
    <n v="3356.6"/>
  </r>
  <r>
    <s v="TXN-103466"/>
    <x v="3466"/>
    <x v="0"/>
    <x v="2"/>
    <n v="3"/>
    <n v="180.61"/>
    <n v="34.17"/>
    <n v="541.83000000000004"/>
  </r>
  <r>
    <s v="TXN-103467"/>
    <x v="3467"/>
    <x v="3"/>
    <x v="2"/>
    <n v="16"/>
    <n v="390.61"/>
    <n v="44.47"/>
    <n v="6249.76"/>
  </r>
  <r>
    <s v="TXN-103468"/>
    <x v="3468"/>
    <x v="0"/>
    <x v="3"/>
    <n v="15"/>
    <n v="302.19"/>
    <n v="22.15"/>
    <n v="4532.8500000000004"/>
  </r>
  <r>
    <s v="TXN-103469"/>
    <x v="3469"/>
    <x v="2"/>
    <x v="2"/>
    <n v="11"/>
    <n v="328.86"/>
    <n v="31.55"/>
    <n v="3617.46"/>
  </r>
  <r>
    <s v="TXN-103470"/>
    <x v="3470"/>
    <x v="1"/>
    <x v="1"/>
    <n v="18"/>
    <n v="80.959999999999994"/>
    <n v="44.18"/>
    <n v="1457.28"/>
  </r>
  <r>
    <s v="TXN-103471"/>
    <x v="3471"/>
    <x v="0"/>
    <x v="1"/>
    <n v="15"/>
    <n v="399.24"/>
    <n v="14.67"/>
    <n v="5988.6"/>
  </r>
  <r>
    <s v="TXN-103472"/>
    <x v="3472"/>
    <x v="3"/>
    <x v="2"/>
    <n v="5"/>
    <n v="88.08"/>
    <n v="26.86"/>
    <n v="440.4"/>
  </r>
  <r>
    <s v="TXN-103473"/>
    <x v="3473"/>
    <x v="1"/>
    <x v="2"/>
    <n v="16"/>
    <n v="112.3"/>
    <n v="48.23"/>
    <n v="1796.8"/>
  </r>
  <r>
    <s v="TXN-103474"/>
    <x v="3474"/>
    <x v="2"/>
    <x v="2"/>
    <n v="16"/>
    <n v="71.14"/>
    <n v="26.31"/>
    <n v="1138.24"/>
  </r>
  <r>
    <s v="TXN-103475"/>
    <x v="3475"/>
    <x v="0"/>
    <x v="2"/>
    <n v="17"/>
    <n v="206.84"/>
    <n v="16.38"/>
    <n v="3516.28"/>
  </r>
  <r>
    <s v="TXN-103476"/>
    <x v="3476"/>
    <x v="0"/>
    <x v="3"/>
    <n v="9"/>
    <n v="401.21"/>
    <n v="20.8"/>
    <n v="3610.89"/>
  </r>
  <r>
    <s v="TXN-103477"/>
    <x v="3477"/>
    <x v="0"/>
    <x v="3"/>
    <n v="3"/>
    <n v="125.19"/>
    <n v="44.83"/>
    <n v="375.57"/>
  </r>
  <r>
    <s v="TXN-103478"/>
    <x v="3478"/>
    <x v="1"/>
    <x v="2"/>
    <n v="13"/>
    <n v="177.9"/>
    <n v="47.97"/>
    <n v="2312.7000000000003"/>
  </r>
  <r>
    <s v="TXN-103479"/>
    <x v="3479"/>
    <x v="3"/>
    <x v="1"/>
    <n v="3"/>
    <n v="383.12"/>
    <n v="47.75"/>
    <n v="1149.3600000000001"/>
  </r>
  <r>
    <s v="TXN-103480"/>
    <x v="3480"/>
    <x v="3"/>
    <x v="3"/>
    <n v="7"/>
    <n v="283.94"/>
    <n v="36.450000000000003"/>
    <n v="1987.58"/>
  </r>
  <r>
    <s v="TXN-103481"/>
    <x v="3481"/>
    <x v="0"/>
    <x v="1"/>
    <n v="6"/>
    <n v="342.08"/>
    <n v="27.93"/>
    <n v="2052.48"/>
  </r>
  <r>
    <s v="TXN-103482"/>
    <x v="3482"/>
    <x v="2"/>
    <x v="0"/>
    <n v="9"/>
    <n v="108.48"/>
    <n v="13.22"/>
    <n v="976.32"/>
  </r>
  <r>
    <s v="TXN-103483"/>
    <x v="3483"/>
    <x v="2"/>
    <x v="1"/>
    <n v="12"/>
    <n v="326.81"/>
    <n v="10.54"/>
    <n v="3921.7200000000003"/>
  </r>
  <r>
    <s v="TXN-103484"/>
    <x v="3484"/>
    <x v="3"/>
    <x v="2"/>
    <n v="15"/>
    <n v="114.4"/>
    <n v="7.69"/>
    <n v="1716"/>
  </r>
  <r>
    <s v="TXN-103485"/>
    <x v="3485"/>
    <x v="2"/>
    <x v="0"/>
    <n v="3"/>
    <n v="444.49"/>
    <n v="5.8"/>
    <n v="1333.47"/>
  </r>
  <r>
    <s v="TXN-103486"/>
    <x v="3486"/>
    <x v="3"/>
    <x v="3"/>
    <n v="10"/>
    <n v="258.77"/>
    <n v="44.52"/>
    <n v="2587.6999999999998"/>
  </r>
  <r>
    <s v="TXN-103487"/>
    <x v="3487"/>
    <x v="0"/>
    <x v="3"/>
    <n v="1"/>
    <n v="317.76"/>
    <n v="41.41"/>
    <n v="317.76"/>
  </r>
  <r>
    <s v="TXN-103488"/>
    <x v="3488"/>
    <x v="3"/>
    <x v="0"/>
    <n v="19"/>
    <n v="66.95"/>
    <n v="30.55"/>
    <n v="1272.05"/>
  </r>
  <r>
    <s v="TXN-103489"/>
    <x v="3489"/>
    <x v="3"/>
    <x v="1"/>
    <n v="19"/>
    <n v="124.41"/>
    <n v="49.94"/>
    <n v="2363.79"/>
  </r>
  <r>
    <s v="TXN-103490"/>
    <x v="3490"/>
    <x v="0"/>
    <x v="3"/>
    <n v="13"/>
    <n v="76.22"/>
    <n v="47.89"/>
    <n v="990.86"/>
  </r>
  <r>
    <s v="TXN-103491"/>
    <x v="3491"/>
    <x v="2"/>
    <x v="2"/>
    <n v="12"/>
    <n v="185.03"/>
    <n v="34.479999999999997"/>
    <n v="2220.36"/>
  </r>
  <r>
    <s v="TXN-103492"/>
    <x v="3492"/>
    <x v="3"/>
    <x v="0"/>
    <n v="1"/>
    <n v="138.96"/>
    <n v="25.91"/>
    <n v="138.96"/>
  </r>
  <r>
    <s v="TXN-103493"/>
    <x v="3493"/>
    <x v="3"/>
    <x v="2"/>
    <n v="19"/>
    <n v="333.95"/>
    <n v="11.85"/>
    <n v="6345.05"/>
  </r>
  <r>
    <s v="TXN-103494"/>
    <x v="3494"/>
    <x v="0"/>
    <x v="0"/>
    <n v="16"/>
    <n v="62.73"/>
    <n v="28.2"/>
    <n v="1003.68"/>
  </r>
  <r>
    <s v="TXN-103495"/>
    <x v="3495"/>
    <x v="2"/>
    <x v="3"/>
    <n v="15"/>
    <n v="342.27"/>
    <n v="12.1"/>
    <n v="5134.0499999999993"/>
  </r>
  <r>
    <s v="TXN-103496"/>
    <x v="3496"/>
    <x v="3"/>
    <x v="1"/>
    <n v="16"/>
    <n v="35.36"/>
    <n v="22.93"/>
    <n v="565.76"/>
  </r>
  <r>
    <s v="TXN-103497"/>
    <x v="3497"/>
    <x v="0"/>
    <x v="0"/>
    <n v="11"/>
    <n v="103.28"/>
    <n v="47.42"/>
    <n v="1136.08"/>
  </r>
  <r>
    <s v="TXN-103498"/>
    <x v="3498"/>
    <x v="3"/>
    <x v="0"/>
    <n v="6"/>
    <n v="359.61"/>
    <n v="20.39"/>
    <n v="2157.66"/>
  </r>
  <r>
    <s v="TXN-103499"/>
    <x v="3499"/>
    <x v="1"/>
    <x v="2"/>
    <n v="11"/>
    <n v="338.24"/>
    <n v="11.88"/>
    <n v="3720.6400000000003"/>
  </r>
  <r>
    <s v="TXN-103500"/>
    <x v="3500"/>
    <x v="0"/>
    <x v="3"/>
    <n v="3"/>
    <n v="222.46"/>
    <n v="31.21"/>
    <n v="667.38"/>
  </r>
  <r>
    <s v="TXN-103501"/>
    <x v="3501"/>
    <x v="2"/>
    <x v="2"/>
    <n v="15"/>
    <n v="37.22"/>
    <n v="32.11"/>
    <n v="558.29999999999995"/>
  </r>
  <r>
    <s v="TXN-103502"/>
    <x v="3502"/>
    <x v="2"/>
    <x v="3"/>
    <n v="1"/>
    <n v="280.5"/>
    <n v="13.72"/>
    <n v="280.5"/>
  </r>
  <r>
    <s v="TXN-103503"/>
    <x v="3503"/>
    <x v="2"/>
    <x v="2"/>
    <n v="7"/>
    <n v="192.22"/>
    <n v="13.85"/>
    <n v="1345.54"/>
  </r>
  <r>
    <s v="TXN-103504"/>
    <x v="3504"/>
    <x v="2"/>
    <x v="0"/>
    <n v="1"/>
    <n v="153.03"/>
    <n v="49.53"/>
    <n v="153.03"/>
  </r>
  <r>
    <s v="TXN-103505"/>
    <x v="3505"/>
    <x v="3"/>
    <x v="2"/>
    <n v="17"/>
    <n v="293.76"/>
    <n v="15.95"/>
    <n v="4993.92"/>
  </r>
  <r>
    <s v="TXN-103506"/>
    <x v="3506"/>
    <x v="3"/>
    <x v="1"/>
    <n v="9"/>
    <n v="205.21"/>
    <n v="42.72"/>
    <n v="1846.89"/>
  </r>
  <r>
    <s v="TXN-103507"/>
    <x v="3507"/>
    <x v="2"/>
    <x v="3"/>
    <n v="13"/>
    <n v="55.66"/>
    <n v="26.16"/>
    <n v="723.57999999999993"/>
  </r>
  <r>
    <s v="TXN-103508"/>
    <x v="3508"/>
    <x v="2"/>
    <x v="3"/>
    <n v="11"/>
    <n v="413.48"/>
    <n v="24.57"/>
    <n v="4548.2800000000007"/>
  </r>
  <r>
    <s v="TXN-103509"/>
    <x v="3509"/>
    <x v="2"/>
    <x v="0"/>
    <n v="6"/>
    <n v="353.76"/>
    <n v="18.27"/>
    <n v="2122.56"/>
  </r>
  <r>
    <s v="TXN-103510"/>
    <x v="3510"/>
    <x v="3"/>
    <x v="3"/>
    <n v="1"/>
    <n v="40"/>
    <n v="39.82"/>
    <n v="40"/>
  </r>
  <r>
    <s v="TXN-103511"/>
    <x v="3511"/>
    <x v="2"/>
    <x v="1"/>
    <n v="7"/>
    <n v="243.64"/>
    <n v="44.63"/>
    <n v="1705.48"/>
  </r>
  <r>
    <s v="TXN-103512"/>
    <x v="3512"/>
    <x v="2"/>
    <x v="2"/>
    <n v="12"/>
    <n v="51.73"/>
    <n v="16.75"/>
    <n v="620.76"/>
  </r>
  <r>
    <s v="TXN-103513"/>
    <x v="3513"/>
    <x v="1"/>
    <x v="0"/>
    <n v="19"/>
    <n v="379.3"/>
    <n v="9.2799999999999994"/>
    <n v="7206.7"/>
  </r>
  <r>
    <s v="TXN-103514"/>
    <x v="3514"/>
    <x v="1"/>
    <x v="1"/>
    <n v="17"/>
    <n v="281.85000000000002"/>
    <n v="11.16"/>
    <n v="4791.4500000000007"/>
  </r>
  <r>
    <s v="TXN-103515"/>
    <x v="3515"/>
    <x v="2"/>
    <x v="3"/>
    <n v="4"/>
    <n v="90.43"/>
    <n v="40.68"/>
    <n v="361.72"/>
  </r>
  <r>
    <s v="TXN-103516"/>
    <x v="3516"/>
    <x v="0"/>
    <x v="3"/>
    <n v="3"/>
    <n v="24.51"/>
    <n v="24.61"/>
    <n v="73.53"/>
  </r>
  <r>
    <s v="TXN-103517"/>
    <x v="3517"/>
    <x v="2"/>
    <x v="1"/>
    <n v="1"/>
    <n v="29.22"/>
    <n v="10.94"/>
    <n v="29.22"/>
  </r>
  <r>
    <s v="TXN-103518"/>
    <x v="3518"/>
    <x v="1"/>
    <x v="2"/>
    <n v="18"/>
    <n v="235.95"/>
    <n v="20.309999999999999"/>
    <n v="4247.0999999999995"/>
  </r>
  <r>
    <s v="TXN-103519"/>
    <x v="3519"/>
    <x v="0"/>
    <x v="2"/>
    <n v="15"/>
    <n v="334.59"/>
    <n v="28.14"/>
    <n v="5018.8499999999995"/>
  </r>
  <r>
    <s v="TXN-103520"/>
    <x v="3520"/>
    <x v="0"/>
    <x v="0"/>
    <n v="8"/>
    <n v="68.010000000000005"/>
    <n v="43.34"/>
    <n v="544.08000000000004"/>
  </r>
  <r>
    <s v="TXN-103521"/>
    <x v="3521"/>
    <x v="2"/>
    <x v="3"/>
    <n v="1"/>
    <n v="111.65"/>
    <n v="33.880000000000003"/>
    <n v="111.65"/>
  </r>
  <r>
    <s v="TXN-103522"/>
    <x v="3522"/>
    <x v="1"/>
    <x v="1"/>
    <n v="14"/>
    <n v="157.69"/>
    <n v="12.92"/>
    <n v="2207.66"/>
  </r>
  <r>
    <s v="TXN-103523"/>
    <x v="3523"/>
    <x v="1"/>
    <x v="2"/>
    <n v="4"/>
    <n v="110.25"/>
    <n v="12.14"/>
    <n v="441"/>
  </r>
  <r>
    <s v="TXN-103524"/>
    <x v="3524"/>
    <x v="0"/>
    <x v="0"/>
    <n v="5"/>
    <n v="185.54"/>
    <n v="23.56"/>
    <n v="927.69999999999993"/>
  </r>
  <r>
    <s v="TXN-103525"/>
    <x v="3525"/>
    <x v="2"/>
    <x v="3"/>
    <n v="13"/>
    <n v="258.64999999999998"/>
    <n v="8.3800000000000008"/>
    <n v="3362.45"/>
  </r>
  <r>
    <s v="TXN-103526"/>
    <x v="3526"/>
    <x v="3"/>
    <x v="3"/>
    <n v="15"/>
    <n v="313.11"/>
    <n v="39"/>
    <n v="4696.6500000000005"/>
  </r>
  <r>
    <s v="TXN-103527"/>
    <x v="3527"/>
    <x v="3"/>
    <x v="0"/>
    <n v="6"/>
    <n v="434.26"/>
    <n v="23.07"/>
    <n v="2605.56"/>
  </r>
  <r>
    <s v="TXN-103528"/>
    <x v="3528"/>
    <x v="1"/>
    <x v="0"/>
    <n v="1"/>
    <n v="419.95"/>
    <n v="20.440000000000001"/>
    <n v="419.95"/>
  </r>
  <r>
    <s v="TXN-103529"/>
    <x v="3529"/>
    <x v="3"/>
    <x v="2"/>
    <n v="19"/>
    <n v="263.22000000000003"/>
    <n v="27.91"/>
    <n v="5001.18"/>
  </r>
  <r>
    <s v="TXN-103530"/>
    <x v="3530"/>
    <x v="1"/>
    <x v="1"/>
    <n v="13"/>
    <n v="334.49"/>
    <n v="36.9"/>
    <n v="4348.37"/>
  </r>
  <r>
    <s v="TXN-103531"/>
    <x v="3531"/>
    <x v="1"/>
    <x v="3"/>
    <n v="6"/>
    <n v="428.65"/>
    <n v="30.62"/>
    <n v="2571.8999999999996"/>
  </r>
  <r>
    <s v="TXN-103532"/>
    <x v="3532"/>
    <x v="1"/>
    <x v="1"/>
    <n v="15"/>
    <n v="51.77"/>
    <n v="41.11"/>
    <n v="776.55000000000007"/>
  </r>
  <r>
    <s v="TXN-103533"/>
    <x v="3533"/>
    <x v="3"/>
    <x v="3"/>
    <n v="16"/>
    <n v="17.95"/>
    <n v="33.32"/>
    <n v="287.2"/>
  </r>
  <r>
    <s v="TXN-103534"/>
    <x v="3534"/>
    <x v="1"/>
    <x v="3"/>
    <n v="16"/>
    <n v="28.45"/>
    <n v="40.46"/>
    <n v="455.2"/>
  </r>
  <r>
    <s v="TXN-103535"/>
    <x v="3535"/>
    <x v="0"/>
    <x v="1"/>
    <n v="10"/>
    <n v="260.27999999999997"/>
    <n v="36.36"/>
    <n v="2602.7999999999997"/>
  </r>
  <r>
    <s v="TXN-103536"/>
    <x v="3536"/>
    <x v="2"/>
    <x v="0"/>
    <n v="9"/>
    <n v="346.95"/>
    <n v="13.69"/>
    <n v="3122.5499999999997"/>
  </r>
  <r>
    <s v="TXN-103537"/>
    <x v="3537"/>
    <x v="2"/>
    <x v="2"/>
    <n v="9"/>
    <n v="174.99"/>
    <n v="7.36"/>
    <n v="1574.91"/>
  </r>
  <r>
    <s v="TXN-103538"/>
    <x v="3538"/>
    <x v="1"/>
    <x v="3"/>
    <n v="17"/>
    <n v="252.41"/>
    <n v="45.65"/>
    <n v="4290.97"/>
  </r>
  <r>
    <s v="TXN-103539"/>
    <x v="3539"/>
    <x v="2"/>
    <x v="0"/>
    <n v="17"/>
    <n v="239.86"/>
    <n v="47.55"/>
    <n v="4077.6200000000003"/>
  </r>
  <r>
    <s v="TXN-103540"/>
    <x v="3540"/>
    <x v="3"/>
    <x v="3"/>
    <n v="17"/>
    <n v="56.68"/>
    <n v="37.71"/>
    <n v="963.56"/>
  </r>
  <r>
    <s v="TXN-103541"/>
    <x v="3541"/>
    <x v="3"/>
    <x v="2"/>
    <n v="12"/>
    <n v="155.22999999999999"/>
    <n v="37.590000000000003"/>
    <n v="1862.7599999999998"/>
  </r>
  <r>
    <s v="TXN-103542"/>
    <x v="3542"/>
    <x v="2"/>
    <x v="3"/>
    <n v="13"/>
    <n v="23.94"/>
    <n v="17.16"/>
    <n v="311.22000000000003"/>
  </r>
  <r>
    <s v="TXN-103543"/>
    <x v="3543"/>
    <x v="3"/>
    <x v="2"/>
    <n v="12"/>
    <n v="63.6"/>
    <n v="29.41"/>
    <n v="763.2"/>
  </r>
  <r>
    <s v="TXN-103544"/>
    <x v="3544"/>
    <x v="2"/>
    <x v="2"/>
    <n v="14"/>
    <n v="368.25"/>
    <n v="49.65"/>
    <n v="5155.5"/>
  </r>
  <r>
    <s v="TXN-103545"/>
    <x v="3545"/>
    <x v="2"/>
    <x v="3"/>
    <n v="10"/>
    <n v="375.88"/>
    <n v="43.53"/>
    <n v="3758.8"/>
  </r>
  <r>
    <s v="TXN-103546"/>
    <x v="3546"/>
    <x v="2"/>
    <x v="3"/>
    <n v="19"/>
    <n v="363.95"/>
    <n v="18.7"/>
    <n v="6915.05"/>
  </r>
  <r>
    <s v="TXN-103547"/>
    <x v="3547"/>
    <x v="1"/>
    <x v="2"/>
    <n v="2"/>
    <n v="331.3"/>
    <n v="18.55"/>
    <n v="662.6"/>
  </r>
  <r>
    <s v="TXN-103548"/>
    <x v="3548"/>
    <x v="2"/>
    <x v="0"/>
    <n v="4"/>
    <n v="360.19"/>
    <n v="26.76"/>
    <n v="1440.76"/>
  </r>
  <r>
    <s v="TXN-103549"/>
    <x v="3549"/>
    <x v="1"/>
    <x v="1"/>
    <n v="19"/>
    <n v="307.04000000000002"/>
    <n v="23.21"/>
    <n v="5833.76"/>
  </r>
  <r>
    <s v="TXN-103550"/>
    <x v="3550"/>
    <x v="2"/>
    <x v="2"/>
    <n v="7"/>
    <n v="306.54000000000002"/>
    <n v="21.7"/>
    <n v="2145.7800000000002"/>
  </r>
  <r>
    <s v="TXN-103551"/>
    <x v="3551"/>
    <x v="2"/>
    <x v="3"/>
    <n v="15"/>
    <n v="305.47000000000003"/>
    <n v="33.21"/>
    <n v="4582.05"/>
  </r>
  <r>
    <s v="TXN-103552"/>
    <x v="3552"/>
    <x v="2"/>
    <x v="3"/>
    <n v="15"/>
    <n v="238.85"/>
    <n v="5.52"/>
    <n v="3582.75"/>
  </r>
  <r>
    <s v="TXN-103553"/>
    <x v="3553"/>
    <x v="3"/>
    <x v="0"/>
    <n v="6"/>
    <n v="173.37"/>
    <n v="39.35"/>
    <n v="1040.22"/>
  </r>
  <r>
    <s v="TXN-103554"/>
    <x v="3554"/>
    <x v="1"/>
    <x v="1"/>
    <n v="3"/>
    <n v="332.77"/>
    <n v="38.299999999999997"/>
    <n v="998.31"/>
  </r>
  <r>
    <s v="TXN-103555"/>
    <x v="3555"/>
    <x v="1"/>
    <x v="2"/>
    <n v="6"/>
    <n v="145.26"/>
    <n v="42.36"/>
    <n v="871.56"/>
  </r>
  <r>
    <s v="TXN-103556"/>
    <x v="3556"/>
    <x v="2"/>
    <x v="2"/>
    <n v="16"/>
    <n v="251.39"/>
    <n v="42.87"/>
    <n v="4022.24"/>
  </r>
  <r>
    <s v="TXN-103557"/>
    <x v="3557"/>
    <x v="2"/>
    <x v="1"/>
    <n v="2"/>
    <n v="203.79"/>
    <n v="30.49"/>
    <n v="407.58"/>
  </r>
  <r>
    <s v="TXN-103558"/>
    <x v="3558"/>
    <x v="3"/>
    <x v="2"/>
    <n v="7"/>
    <n v="135.69"/>
    <n v="40.1"/>
    <n v="949.82999999999993"/>
  </r>
  <r>
    <s v="TXN-103559"/>
    <x v="3559"/>
    <x v="3"/>
    <x v="1"/>
    <n v="11"/>
    <n v="439"/>
    <n v="27.16"/>
    <n v="4829"/>
  </r>
  <r>
    <s v="TXN-103560"/>
    <x v="3560"/>
    <x v="3"/>
    <x v="3"/>
    <n v="7"/>
    <n v="127.93"/>
    <n v="47.82"/>
    <n v="895.51"/>
  </r>
  <r>
    <s v="TXN-103561"/>
    <x v="3561"/>
    <x v="1"/>
    <x v="1"/>
    <n v="4"/>
    <n v="149.88999999999999"/>
    <n v="13.58"/>
    <n v="599.55999999999995"/>
  </r>
  <r>
    <s v="TXN-103562"/>
    <x v="3562"/>
    <x v="1"/>
    <x v="2"/>
    <n v="7"/>
    <n v="85.71"/>
    <n v="46.2"/>
    <n v="599.96999999999991"/>
  </r>
  <r>
    <s v="TXN-103563"/>
    <x v="3563"/>
    <x v="1"/>
    <x v="1"/>
    <n v="4"/>
    <n v="373.09"/>
    <n v="16.63"/>
    <n v="1492.36"/>
  </r>
  <r>
    <s v="TXN-103564"/>
    <x v="3564"/>
    <x v="2"/>
    <x v="0"/>
    <n v="12"/>
    <n v="270.37"/>
    <n v="9.6199999999999992"/>
    <n v="3244.44"/>
  </r>
  <r>
    <s v="TXN-103565"/>
    <x v="3565"/>
    <x v="1"/>
    <x v="3"/>
    <n v="5"/>
    <n v="281.87"/>
    <n v="24.76"/>
    <n v="1409.35"/>
  </r>
  <r>
    <s v="TXN-103566"/>
    <x v="3566"/>
    <x v="0"/>
    <x v="3"/>
    <n v="19"/>
    <n v="372.03"/>
    <n v="32.67"/>
    <n v="7068.57"/>
  </r>
  <r>
    <s v="TXN-103567"/>
    <x v="3567"/>
    <x v="0"/>
    <x v="1"/>
    <n v="5"/>
    <n v="164.5"/>
    <n v="15.39"/>
    <n v="822.5"/>
  </r>
  <r>
    <s v="TXN-103568"/>
    <x v="3568"/>
    <x v="3"/>
    <x v="2"/>
    <n v="19"/>
    <n v="99.63"/>
    <n v="30.01"/>
    <n v="1892.9699999999998"/>
  </r>
  <r>
    <s v="TXN-103569"/>
    <x v="3569"/>
    <x v="1"/>
    <x v="0"/>
    <n v="3"/>
    <n v="101.71"/>
    <n v="41.36"/>
    <n v="305.13"/>
  </r>
  <r>
    <s v="TXN-103570"/>
    <x v="3570"/>
    <x v="0"/>
    <x v="3"/>
    <n v="11"/>
    <n v="333.82"/>
    <n v="16.57"/>
    <n v="3672.02"/>
  </r>
  <r>
    <s v="TXN-103571"/>
    <x v="3571"/>
    <x v="3"/>
    <x v="3"/>
    <n v="7"/>
    <n v="282.33"/>
    <n v="31.11"/>
    <n v="1976.31"/>
  </r>
  <r>
    <s v="TXN-103572"/>
    <x v="3572"/>
    <x v="1"/>
    <x v="2"/>
    <n v="17"/>
    <n v="105.15"/>
    <n v="20.27"/>
    <n v="1787.5500000000002"/>
  </r>
  <r>
    <s v="TXN-103573"/>
    <x v="3573"/>
    <x v="2"/>
    <x v="2"/>
    <n v="9"/>
    <n v="78.53"/>
    <n v="28.84"/>
    <n v="706.77"/>
  </r>
  <r>
    <s v="TXN-103574"/>
    <x v="3574"/>
    <x v="0"/>
    <x v="0"/>
    <n v="9"/>
    <n v="67.94"/>
    <n v="35.01"/>
    <n v="611.46"/>
  </r>
  <r>
    <s v="TXN-103575"/>
    <x v="3575"/>
    <x v="2"/>
    <x v="1"/>
    <n v="10"/>
    <n v="288.27999999999997"/>
    <n v="20.77"/>
    <n v="2882.7999999999997"/>
  </r>
  <r>
    <s v="TXN-103576"/>
    <x v="3576"/>
    <x v="1"/>
    <x v="2"/>
    <n v="13"/>
    <n v="15.55"/>
    <n v="49.75"/>
    <n v="202.15"/>
  </r>
  <r>
    <s v="TXN-103577"/>
    <x v="3577"/>
    <x v="0"/>
    <x v="1"/>
    <n v="15"/>
    <n v="23.46"/>
    <n v="30.37"/>
    <n v="351.90000000000003"/>
  </r>
  <r>
    <s v="TXN-103578"/>
    <x v="3578"/>
    <x v="1"/>
    <x v="0"/>
    <n v="5"/>
    <n v="184.76"/>
    <n v="42.1"/>
    <n v="923.8"/>
  </r>
  <r>
    <s v="TXN-103579"/>
    <x v="3579"/>
    <x v="2"/>
    <x v="1"/>
    <n v="3"/>
    <n v="315.89"/>
    <n v="37.630000000000003"/>
    <n v="947.67"/>
  </r>
  <r>
    <s v="TXN-103580"/>
    <x v="3580"/>
    <x v="0"/>
    <x v="3"/>
    <n v="8"/>
    <n v="317.49"/>
    <n v="43.38"/>
    <n v="2539.92"/>
  </r>
  <r>
    <s v="TXN-103581"/>
    <x v="3581"/>
    <x v="2"/>
    <x v="1"/>
    <n v="10"/>
    <n v="202.39"/>
    <n v="12.82"/>
    <n v="2023.8999999999999"/>
  </r>
  <r>
    <s v="TXN-103582"/>
    <x v="3582"/>
    <x v="1"/>
    <x v="0"/>
    <n v="13"/>
    <n v="315.77"/>
    <n v="15.01"/>
    <n v="4105.01"/>
  </r>
  <r>
    <s v="TXN-103583"/>
    <x v="3583"/>
    <x v="1"/>
    <x v="0"/>
    <n v="3"/>
    <n v="241.92"/>
    <n v="26.93"/>
    <n v="725.76"/>
  </r>
  <r>
    <s v="TXN-103584"/>
    <x v="3584"/>
    <x v="2"/>
    <x v="0"/>
    <n v="8"/>
    <n v="439.98"/>
    <n v="43.35"/>
    <n v="3519.84"/>
  </r>
  <r>
    <s v="TXN-103585"/>
    <x v="3585"/>
    <x v="0"/>
    <x v="1"/>
    <n v="9"/>
    <n v="86.09"/>
    <n v="13.89"/>
    <n v="774.81000000000006"/>
  </r>
  <r>
    <s v="TXN-103586"/>
    <x v="3586"/>
    <x v="2"/>
    <x v="3"/>
    <n v="12"/>
    <n v="276.49"/>
    <n v="48.7"/>
    <n v="3317.88"/>
  </r>
  <r>
    <s v="TXN-103587"/>
    <x v="3587"/>
    <x v="1"/>
    <x v="2"/>
    <n v="11"/>
    <n v="228.94"/>
    <n v="10.74"/>
    <n v="2518.34"/>
  </r>
  <r>
    <s v="TXN-103588"/>
    <x v="3588"/>
    <x v="2"/>
    <x v="3"/>
    <n v="2"/>
    <n v="100"/>
    <n v="12.88"/>
    <n v="200"/>
  </r>
  <r>
    <s v="TXN-103589"/>
    <x v="3589"/>
    <x v="1"/>
    <x v="1"/>
    <n v="18"/>
    <n v="341.37"/>
    <n v="12.53"/>
    <n v="6144.66"/>
  </r>
  <r>
    <s v="TXN-103590"/>
    <x v="3590"/>
    <x v="2"/>
    <x v="1"/>
    <n v="9"/>
    <n v="135.21"/>
    <n v="31.37"/>
    <n v="1216.8900000000001"/>
  </r>
  <r>
    <s v="TXN-103591"/>
    <x v="3591"/>
    <x v="0"/>
    <x v="2"/>
    <n v="2"/>
    <n v="181.35"/>
    <n v="46.29"/>
    <n v="362.7"/>
  </r>
  <r>
    <s v="TXN-103592"/>
    <x v="3592"/>
    <x v="0"/>
    <x v="1"/>
    <n v="2"/>
    <n v="178.36"/>
    <n v="16.48"/>
    <n v="356.72"/>
  </r>
  <r>
    <s v="TXN-103593"/>
    <x v="3593"/>
    <x v="2"/>
    <x v="0"/>
    <n v="3"/>
    <n v="121.61"/>
    <n v="29.89"/>
    <n v="364.83"/>
  </r>
  <r>
    <s v="TXN-103594"/>
    <x v="3594"/>
    <x v="2"/>
    <x v="0"/>
    <n v="16"/>
    <n v="202.64"/>
    <n v="12.91"/>
    <n v="3242.24"/>
  </r>
  <r>
    <s v="TXN-103595"/>
    <x v="3595"/>
    <x v="0"/>
    <x v="0"/>
    <n v="19"/>
    <n v="221.17"/>
    <n v="33.4"/>
    <n v="4202.2299999999996"/>
  </r>
  <r>
    <s v="TXN-103596"/>
    <x v="3596"/>
    <x v="1"/>
    <x v="0"/>
    <n v="4"/>
    <n v="338.86"/>
    <n v="10.55"/>
    <n v="1355.44"/>
  </r>
  <r>
    <s v="TXN-103597"/>
    <x v="3597"/>
    <x v="0"/>
    <x v="0"/>
    <n v="18"/>
    <n v="347.92"/>
    <n v="27.11"/>
    <n v="6262.56"/>
  </r>
  <r>
    <s v="TXN-103598"/>
    <x v="3598"/>
    <x v="1"/>
    <x v="1"/>
    <n v="18"/>
    <n v="84.39"/>
    <n v="34.479999999999997"/>
    <n v="1519.02"/>
  </r>
  <r>
    <s v="TXN-103599"/>
    <x v="3599"/>
    <x v="2"/>
    <x v="2"/>
    <n v="10"/>
    <n v="273.06"/>
    <n v="31.06"/>
    <n v="2730.6"/>
  </r>
  <r>
    <s v="TXN-103600"/>
    <x v="3600"/>
    <x v="2"/>
    <x v="2"/>
    <n v="11"/>
    <n v="404.9"/>
    <n v="11.3"/>
    <n v="4453.8999999999996"/>
  </r>
  <r>
    <s v="TXN-103601"/>
    <x v="3601"/>
    <x v="1"/>
    <x v="0"/>
    <n v="17"/>
    <n v="62.77"/>
    <n v="12.26"/>
    <n v="1067.0900000000001"/>
  </r>
  <r>
    <s v="TXN-103602"/>
    <x v="3602"/>
    <x v="2"/>
    <x v="1"/>
    <n v="16"/>
    <n v="220.98"/>
    <n v="35.21"/>
    <n v="3535.68"/>
  </r>
  <r>
    <s v="TXN-103603"/>
    <x v="3603"/>
    <x v="1"/>
    <x v="3"/>
    <n v="13"/>
    <n v="341.53"/>
    <n v="41.4"/>
    <n v="4439.8899999999994"/>
  </r>
  <r>
    <s v="TXN-103604"/>
    <x v="3604"/>
    <x v="3"/>
    <x v="3"/>
    <n v="2"/>
    <n v="281.19"/>
    <n v="45.86"/>
    <n v="562.38"/>
  </r>
  <r>
    <s v="TXN-103605"/>
    <x v="3605"/>
    <x v="0"/>
    <x v="1"/>
    <n v="2"/>
    <n v="59.2"/>
    <n v="41.61"/>
    <n v="118.4"/>
  </r>
  <r>
    <s v="TXN-103606"/>
    <x v="3606"/>
    <x v="3"/>
    <x v="0"/>
    <n v="14"/>
    <n v="187.83"/>
    <n v="48.83"/>
    <n v="2629.6200000000003"/>
  </r>
  <r>
    <s v="TXN-103607"/>
    <x v="3607"/>
    <x v="1"/>
    <x v="2"/>
    <n v="4"/>
    <n v="235.9"/>
    <n v="23.37"/>
    <n v="943.6"/>
  </r>
  <r>
    <s v="TXN-103608"/>
    <x v="3608"/>
    <x v="0"/>
    <x v="1"/>
    <n v="17"/>
    <n v="448.19"/>
    <n v="19.899999999999999"/>
    <n v="7619.23"/>
  </r>
  <r>
    <s v="TXN-103609"/>
    <x v="3609"/>
    <x v="1"/>
    <x v="3"/>
    <n v="13"/>
    <n v="93.11"/>
    <n v="6.27"/>
    <n v="1210.43"/>
  </r>
  <r>
    <s v="TXN-103610"/>
    <x v="3610"/>
    <x v="0"/>
    <x v="3"/>
    <n v="4"/>
    <n v="442.36"/>
    <n v="25.25"/>
    <n v="1769.44"/>
  </r>
  <r>
    <s v="TXN-103611"/>
    <x v="3611"/>
    <x v="0"/>
    <x v="3"/>
    <n v="3"/>
    <n v="178.94"/>
    <n v="34.31"/>
    <n v="536.81999999999994"/>
  </r>
  <r>
    <s v="TXN-103612"/>
    <x v="3612"/>
    <x v="0"/>
    <x v="0"/>
    <n v="12"/>
    <n v="102.54"/>
    <n v="41.69"/>
    <n v="1230.48"/>
  </r>
  <r>
    <s v="TXN-103613"/>
    <x v="3613"/>
    <x v="0"/>
    <x v="3"/>
    <n v="8"/>
    <n v="195.43"/>
    <n v="17.04"/>
    <n v="1563.44"/>
  </r>
  <r>
    <s v="TXN-103614"/>
    <x v="3614"/>
    <x v="1"/>
    <x v="1"/>
    <n v="2"/>
    <n v="282.27999999999997"/>
    <n v="28.11"/>
    <n v="564.55999999999995"/>
  </r>
  <r>
    <s v="TXN-103615"/>
    <x v="3615"/>
    <x v="0"/>
    <x v="1"/>
    <n v="6"/>
    <n v="108.26"/>
    <n v="34.79"/>
    <n v="649.56000000000006"/>
  </r>
  <r>
    <s v="TXN-103616"/>
    <x v="3616"/>
    <x v="0"/>
    <x v="3"/>
    <n v="10"/>
    <n v="142.13"/>
    <n v="29.82"/>
    <n v="1421.3"/>
  </r>
  <r>
    <s v="TXN-103617"/>
    <x v="3617"/>
    <x v="3"/>
    <x v="1"/>
    <n v="12"/>
    <n v="386.8"/>
    <n v="17.329999999999998"/>
    <n v="4641.6000000000004"/>
  </r>
  <r>
    <s v="TXN-103618"/>
    <x v="3618"/>
    <x v="2"/>
    <x v="3"/>
    <n v="10"/>
    <n v="449.57"/>
    <n v="40.83"/>
    <n v="4495.7"/>
  </r>
  <r>
    <s v="TXN-103619"/>
    <x v="3619"/>
    <x v="2"/>
    <x v="3"/>
    <n v="10"/>
    <n v="153.75"/>
    <n v="12.8"/>
    <n v="1537.5"/>
  </r>
  <r>
    <s v="TXN-103620"/>
    <x v="3620"/>
    <x v="3"/>
    <x v="2"/>
    <n v="3"/>
    <n v="80.180000000000007"/>
    <n v="45.72"/>
    <n v="240.54000000000002"/>
  </r>
  <r>
    <s v="TXN-103621"/>
    <x v="3621"/>
    <x v="3"/>
    <x v="0"/>
    <n v="10"/>
    <n v="360.13"/>
    <n v="47.87"/>
    <n v="3601.3"/>
  </r>
  <r>
    <s v="TXN-103622"/>
    <x v="3622"/>
    <x v="1"/>
    <x v="0"/>
    <n v="9"/>
    <n v="276.39999999999998"/>
    <n v="21.45"/>
    <n v="2487.6"/>
  </r>
  <r>
    <s v="TXN-103623"/>
    <x v="3623"/>
    <x v="1"/>
    <x v="2"/>
    <n v="19"/>
    <n v="59.12"/>
    <n v="21.93"/>
    <n v="1123.28"/>
  </r>
  <r>
    <s v="TXN-103624"/>
    <x v="3624"/>
    <x v="1"/>
    <x v="2"/>
    <n v="14"/>
    <n v="426.87"/>
    <n v="38.450000000000003"/>
    <n v="5976.18"/>
  </r>
  <r>
    <s v="TXN-103625"/>
    <x v="3625"/>
    <x v="3"/>
    <x v="0"/>
    <n v="2"/>
    <n v="49.41"/>
    <n v="25.53"/>
    <n v="98.82"/>
  </r>
  <r>
    <s v="TXN-103626"/>
    <x v="3626"/>
    <x v="3"/>
    <x v="3"/>
    <n v="5"/>
    <n v="287.22000000000003"/>
    <n v="6.29"/>
    <n v="1436.1000000000001"/>
  </r>
  <r>
    <s v="TXN-103627"/>
    <x v="3627"/>
    <x v="0"/>
    <x v="3"/>
    <n v="8"/>
    <n v="199.7"/>
    <n v="46.39"/>
    <n v="1597.6"/>
  </r>
  <r>
    <s v="TXN-103628"/>
    <x v="3628"/>
    <x v="1"/>
    <x v="0"/>
    <n v="7"/>
    <n v="257.35000000000002"/>
    <n v="24.38"/>
    <n v="1801.4500000000003"/>
  </r>
  <r>
    <s v="TXN-103629"/>
    <x v="3629"/>
    <x v="1"/>
    <x v="3"/>
    <n v="6"/>
    <n v="108.14"/>
    <n v="14.16"/>
    <n v="648.84"/>
  </r>
  <r>
    <s v="TXN-103630"/>
    <x v="3630"/>
    <x v="1"/>
    <x v="2"/>
    <n v="11"/>
    <n v="314.48"/>
    <n v="30"/>
    <n v="3459.28"/>
  </r>
  <r>
    <s v="TXN-103631"/>
    <x v="3631"/>
    <x v="2"/>
    <x v="3"/>
    <n v="12"/>
    <n v="432.5"/>
    <n v="14.85"/>
    <n v="5190"/>
  </r>
  <r>
    <s v="TXN-103632"/>
    <x v="3632"/>
    <x v="0"/>
    <x v="3"/>
    <n v="18"/>
    <n v="214.69"/>
    <n v="14.27"/>
    <n v="3864.42"/>
  </r>
  <r>
    <s v="TXN-103633"/>
    <x v="3633"/>
    <x v="1"/>
    <x v="1"/>
    <n v="19"/>
    <n v="242.73"/>
    <n v="29.56"/>
    <n v="4611.87"/>
  </r>
  <r>
    <s v="TXN-103634"/>
    <x v="3634"/>
    <x v="1"/>
    <x v="1"/>
    <n v="10"/>
    <n v="119.7"/>
    <n v="22.6"/>
    <n v="1197"/>
  </r>
  <r>
    <s v="TXN-103635"/>
    <x v="3635"/>
    <x v="1"/>
    <x v="1"/>
    <n v="14"/>
    <n v="403.02"/>
    <n v="30.78"/>
    <n v="5642.28"/>
  </r>
  <r>
    <s v="TXN-103636"/>
    <x v="3636"/>
    <x v="2"/>
    <x v="3"/>
    <n v="3"/>
    <n v="437.48"/>
    <n v="49.86"/>
    <n v="1312.44"/>
  </r>
  <r>
    <s v="TXN-103637"/>
    <x v="3637"/>
    <x v="2"/>
    <x v="0"/>
    <n v="18"/>
    <n v="357.15"/>
    <n v="43.66"/>
    <n v="6428.7"/>
  </r>
  <r>
    <s v="TXN-103638"/>
    <x v="3638"/>
    <x v="3"/>
    <x v="2"/>
    <n v="15"/>
    <n v="251.34"/>
    <n v="5.35"/>
    <n v="3770.1"/>
  </r>
  <r>
    <s v="TXN-103639"/>
    <x v="3639"/>
    <x v="0"/>
    <x v="3"/>
    <n v="6"/>
    <n v="431.23"/>
    <n v="7.28"/>
    <n v="2587.38"/>
  </r>
  <r>
    <s v="TXN-103640"/>
    <x v="3640"/>
    <x v="3"/>
    <x v="0"/>
    <n v="10"/>
    <n v="82.35"/>
    <n v="32.450000000000003"/>
    <n v="823.5"/>
  </r>
  <r>
    <s v="TXN-103641"/>
    <x v="3641"/>
    <x v="0"/>
    <x v="3"/>
    <n v="12"/>
    <n v="223.4"/>
    <n v="33.18"/>
    <n v="2680.8"/>
  </r>
  <r>
    <s v="TXN-103642"/>
    <x v="3642"/>
    <x v="2"/>
    <x v="2"/>
    <n v="7"/>
    <n v="249.09"/>
    <n v="44.52"/>
    <n v="1743.63"/>
  </r>
  <r>
    <s v="TXN-103643"/>
    <x v="3643"/>
    <x v="1"/>
    <x v="3"/>
    <n v="17"/>
    <n v="229.24"/>
    <n v="33.31"/>
    <n v="3897.08"/>
  </r>
  <r>
    <s v="TXN-103644"/>
    <x v="3644"/>
    <x v="3"/>
    <x v="2"/>
    <n v="1"/>
    <n v="364.15"/>
    <n v="15.25"/>
    <n v="364.15"/>
  </r>
  <r>
    <s v="TXN-103645"/>
    <x v="3645"/>
    <x v="1"/>
    <x v="3"/>
    <n v="18"/>
    <n v="306.79000000000002"/>
    <n v="26.08"/>
    <n v="5522.22"/>
  </r>
  <r>
    <s v="TXN-103646"/>
    <x v="3646"/>
    <x v="3"/>
    <x v="2"/>
    <n v="15"/>
    <n v="70.53"/>
    <n v="41.4"/>
    <n v="1057.95"/>
  </r>
  <r>
    <s v="TXN-103647"/>
    <x v="3647"/>
    <x v="2"/>
    <x v="3"/>
    <n v="19"/>
    <n v="166.03"/>
    <n v="46.53"/>
    <n v="3154.57"/>
  </r>
  <r>
    <s v="TXN-103648"/>
    <x v="3648"/>
    <x v="2"/>
    <x v="2"/>
    <n v="1"/>
    <n v="162.83000000000001"/>
    <n v="15.66"/>
    <n v="162.83000000000001"/>
  </r>
  <r>
    <s v="TXN-103649"/>
    <x v="3649"/>
    <x v="2"/>
    <x v="1"/>
    <n v="5"/>
    <n v="261.27"/>
    <n v="29.28"/>
    <n v="1306.3499999999999"/>
  </r>
  <r>
    <s v="TXN-103650"/>
    <x v="3650"/>
    <x v="3"/>
    <x v="3"/>
    <n v="15"/>
    <n v="142.13999999999999"/>
    <n v="12.15"/>
    <n v="2132.1"/>
  </r>
  <r>
    <s v="TXN-103651"/>
    <x v="3651"/>
    <x v="0"/>
    <x v="3"/>
    <n v="3"/>
    <n v="66.45"/>
    <n v="27.36"/>
    <n v="199.35000000000002"/>
  </r>
  <r>
    <s v="TXN-103652"/>
    <x v="3652"/>
    <x v="3"/>
    <x v="0"/>
    <n v="1"/>
    <n v="299.52999999999997"/>
    <n v="9.06"/>
    <n v="299.52999999999997"/>
  </r>
  <r>
    <s v="TXN-103653"/>
    <x v="3653"/>
    <x v="0"/>
    <x v="0"/>
    <n v="8"/>
    <n v="385.28"/>
    <n v="47.38"/>
    <n v="3082.24"/>
  </r>
  <r>
    <s v="TXN-103654"/>
    <x v="3654"/>
    <x v="3"/>
    <x v="2"/>
    <n v="12"/>
    <n v="420.28"/>
    <n v="33.71"/>
    <n v="5043.3599999999997"/>
  </r>
  <r>
    <s v="TXN-103655"/>
    <x v="3655"/>
    <x v="3"/>
    <x v="3"/>
    <n v="19"/>
    <n v="438.09"/>
    <n v="43.44"/>
    <n v="8323.7099999999991"/>
  </r>
  <r>
    <s v="TXN-103656"/>
    <x v="3656"/>
    <x v="2"/>
    <x v="2"/>
    <n v="12"/>
    <n v="354.9"/>
    <n v="49.92"/>
    <n v="4258.7999999999993"/>
  </r>
  <r>
    <s v="TXN-103657"/>
    <x v="3657"/>
    <x v="1"/>
    <x v="1"/>
    <n v="13"/>
    <n v="76.2"/>
    <n v="13.22"/>
    <n v="990.6"/>
  </r>
  <r>
    <s v="TXN-103658"/>
    <x v="3658"/>
    <x v="1"/>
    <x v="0"/>
    <n v="1"/>
    <n v="386.18"/>
    <n v="36.24"/>
    <n v="386.18"/>
  </r>
  <r>
    <s v="TXN-103659"/>
    <x v="3659"/>
    <x v="0"/>
    <x v="2"/>
    <n v="19"/>
    <n v="189.28"/>
    <n v="44.91"/>
    <n v="3596.32"/>
  </r>
  <r>
    <s v="TXN-103660"/>
    <x v="3660"/>
    <x v="1"/>
    <x v="2"/>
    <n v="6"/>
    <n v="332.65"/>
    <n v="30.92"/>
    <n v="1995.8999999999999"/>
  </r>
  <r>
    <s v="TXN-103661"/>
    <x v="3661"/>
    <x v="3"/>
    <x v="0"/>
    <n v="8"/>
    <n v="246.34"/>
    <n v="33.79"/>
    <n v="1970.72"/>
  </r>
  <r>
    <s v="TXN-103662"/>
    <x v="3662"/>
    <x v="3"/>
    <x v="3"/>
    <n v="4"/>
    <n v="375.53"/>
    <n v="23.35"/>
    <n v="1502.12"/>
  </r>
  <r>
    <s v="TXN-103663"/>
    <x v="3663"/>
    <x v="2"/>
    <x v="2"/>
    <n v="5"/>
    <n v="200.38"/>
    <n v="35.36"/>
    <n v="1001.9"/>
  </r>
  <r>
    <s v="TXN-103664"/>
    <x v="3664"/>
    <x v="2"/>
    <x v="0"/>
    <n v="7"/>
    <n v="42.35"/>
    <n v="22.8"/>
    <n v="296.45"/>
  </r>
  <r>
    <s v="TXN-103665"/>
    <x v="3665"/>
    <x v="1"/>
    <x v="3"/>
    <n v="4"/>
    <n v="257.44"/>
    <n v="26.45"/>
    <n v="1029.76"/>
  </r>
  <r>
    <s v="TXN-103666"/>
    <x v="3666"/>
    <x v="0"/>
    <x v="1"/>
    <n v="4"/>
    <n v="89.93"/>
    <n v="9.6300000000000008"/>
    <n v="359.72"/>
  </r>
  <r>
    <s v="TXN-103667"/>
    <x v="3667"/>
    <x v="1"/>
    <x v="0"/>
    <n v="15"/>
    <n v="435.02"/>
    <n v="5.35"/>
    <n v="6525.2999999999993"/>
  </r>
  <r>
    <s v="TXN-103668"/>
    <x v="3668"/>
    <x v="1"/>
    <x v="2"/>
    <n v="5"/>
    <n v="244.47"/>
    <n v="7.48"/>
    <n v="1222.3499999999999"/>
  </r>
  <r>
    <s v="TXN-103669"/>
    <x v="3669"/>
    <x v="1"/>
    <x v="1"/>
    <n v="9"/>
    <n v="256.02"/>
    <n v="13.66"/>
    <n v="2304.1799999999998"/>
  </r>
  <r>
    <s v="TXN-103670"/>
    <x v="3670"/>
    <x v="1"/>
    <x v="3"/>
    <n v="2"/>
    <n v="409.71"/>
    <n v="25.55"/>
    <n v="819.42"/>
  </r>
  <r>
    <s v="TXN-103671"/>
    <x v="3671"/>
    <x v="3"/>
    <x v="3"/>
    <n v="7"/>
    <n v="286.88"/>
    <n v="5.94"/>
    <n v="2008.1599999999999"/>
  </r>
  <r>
    <s v="TXN-103672"/>
    <x v="3672"/>
    <x v="0"/>
    <x v="0"/>
    <n v="17"/>
    <n v="147.04"/>
    <n v="12.02"/>
    <n v="2499.6799999999998"/>
  </r>
  <r>
    <s v="TXN-103673"/>
    <x v="3673"/>
    <x v="3"/>
    <x v="0"/>
    <n v="16"/>
    <n v="144.15"/>
    <n v="40.17"/>
    <n v="2306.4"/>
  </r>
  <r>
    <s v="TXN-103674"/>
    <x v="3674"/>
    <x v="0"/>
    <x v="0"/>
    <n v="17"/>
    <n v="233.44"/>
    <n v="39.299999999999997"/>
    <n v="3968.48"/>
  </r>
  <r>
    <s v="TXN-103675"/>
    <x v="3675"/>
    <x v="2"/>
    <x v="3"/>
    <n v="2"/>
    <n v="392.04"/>
    <n v="40.54"/>
    <n v="784.08"/>
  </r>
  <r>
    <s v="TXN-103676"/>
    <x v="3676"/>
    <x v="1"/>
    <x v="1"/>
    <n v="11"/>
    <n v="360.81"/>
    <n v="46.47"/>
    <n v="3968.91"/>
  </r>
  <r>
    <s v="TXN-103677"/>
    <x v="3677"/>
    <x v="3"/>
    <x v="3"/>
    <n v="2"/>
    <n v="433.81"/>
    <n v="10.36"/>
    <n v="867.62"/>
  </r>
  <r>
    <s v="TXN-103678"/>
    <x v="3678"/>
    <x v="0"/>
    <x v="2"/>
    <n v="1"/>
    <n v="46.73"/>
    <n v="12.34"/>
    <n v="46.73"/>
  </r>
  <r>
    <s v="TXN-103679"/>
    <x v="3679"/>
    <x v="2"/>
    <x v="3"/>
    <n v="2"/>
    <n v="132.09"/>
    <n v="20.010000000000002"/>
    <n v="264.18"/>
  </r>
  <r>
    <s v="TXN-103680"/>
    <x v="3680"/>
    <x v="2"/>
    <x v="2"/>
    <n v="9"/>
    <n v="50.35"/>
    <n v="46.18"/>
    <n v="453.15000000000003"/>
  </r>
  <r>
    <s v="TXN-103681"/>
    <x v="3681"/>
    <x v="1"/>
    <x v="1"/>
    <n v="2"/>
    <n v="341.84"/>
    <n v="39.9"/>
    <n v="683.68"/>
  </r>
  <r>
    <s v="TXN-103682"/>
    <x v="3682"/>
    <x v="0"/>
    <x v="0"/>
    <n v="15"/>
    <n v="76.69"/>
    <n v="19.59"/>
    <n v="1150.3499999999999"/>
  </r>
  <r>
    <s v="TXN-103683"/>
    <x v="3683"/>
    <x v="3"/>
    <x v="0"/>
    <n v="10"/>
    <n v="58.9"/>
    <n v="8.94"/>
    <n v="589"/>
  </r>
  <r>
    <s v="TXN-103684"/>
    <x v="3684"/>
    <x v="1"/>
    <x v="3"/>
    <n v="15"/>
    <n v="259.55"/>
    <n v="32.74"/>
    <n v="3893.25"/>
  </r>
  <r>
    <s v="TXN-103685"/>
    <x v="3685"/>
    <x v="3"/>
    <x v="0"/>
    <n v="10"/>
    <n v="194.29"/>
    <n v="16.559999999999999"/>
    <n v="1942.8999999999999"/>
  </r>
  <r>
    <s v="TXN-103686"/>
    <x v="3686"/>
    <x v="2"/>
    <x v="1"/>
    <n v="17"/>
    <n v="326.20999999999998"/>
    <n v="28.9"/>
    <n v="5545.57"/>
  </r>
  <r>
    <s v="TXN-103687"/>
    <x v="3687"/>
    <x v="3"/>
    <x v="0"/>
    <n v="9"/>
    <n v="227.11"/>
    <n v="47.38"/>
    <n v="2043.9900000000002"/>
  </r>
  <r>
    <s v="TXN-103688"/>
    <x v="3688"/>
    <x v="3"/>
    <x v="3"/>
    <n v="18"/>
    <n v="200.31"/>
    <n v="30.77"/>
    <n v="3605.58"/>
  </r>
  <r>
    <s v="TXN-103689"/>
    <x v="3689"/>
    <x v="1"/>
    <x v="1"/>
    <n v="4"/>
    <n v="200.38"/>
    <n v="46.57"/>
    <n v="801.52"/>
  </r>
  <r>
    <s v="TXN-103690"/>
    <x v="3690"/>
    <x v="3"/>
    <x v="2"/>
    <n v="9"/>
    <n v="394.33"/>
    <n v="22.69"/>
    <n v="3548.97"/>
  </r>
  <r>
    <s v="TXN-103691"/>
    <x v="3691"/>
    <x v="1"/>
    <x v="3"/>
    <n v="16"/>
    <n v="187.23"/>
    <n v="33.5"/>
    <n v="2995.68"/>
  </r>
  <r>
    <s v="TXN-103692"/>
    <x v="3692"/>
    <x v="2"/>
    <x v="2"/>
    <n v="4"/>
    <n v="160.36000000000001"/>
    <n v="45.23"/>
    <n v="641.44000000000005"/>
  </r>
  <r>
    <s v="TXN-103693"/>
    <x v="3693"/>
    <x v="1"/>
    <x v="1"/>
    <n v="16"/>
    <n v="162.59"/>
    <n v="31.46"/>
    <n v="2601.44"/>
  </r>
  <r>
    <s v="TXN-103694"/>
    <x v="3694"/>
    <x v="1"/>
    <x v="3"/>
    <n v="19"/>
    <n v="100.92"/>
    <n v="32.67"/>
    <n v="1917.48"/>
  </r>
  <r>
    <s v="TXN-103695"/>
    <x v="3695"/>
    <x v="0"/>
    <x v="3"/>
    <n v="1"/>
    <n v="389.47"/>
    <n v="37.229999999999997"/>
    <n v="389.47"/>
  </r>
  <r>
    <s v="TXN-103696"/>
    <x v="3696"/>
    <x v="3"/>
    <x v="1"/>
    <n v="6"/>
    <n v="79.209999999999994"/>
    <n v="44.69"/>
    <n v="475.26"/>
  </r>
  <r>
    <s v="TXN-103697"/>
    <x v="3697"/>
    <x v="2"/>
    <x v="0"/>
    <n v="10"/>
    <n v="410.29"/>
    <n v="8.9700000000000006"/>
    <n v="4102.9000000000005"/>
  </r>
  <r>
    <s v="TXN-103698"/>
    <x v="3698"/>
    <x v="1"/>
    <x v="3"/>
    <n v="16"/>
    <n v="138.66999999999999"/>
    <n v="20.16"/>
    <n v="2218.7199999999998"/>
  </r>
  <r>
    <s v="TXN-103699"/>
    <x v="3699"/>
    <x v="2"/>
    <x v="3"/>
    <n v="4"/>
    <n v="406.3"/>
    <n v="22.9"/>
    <n v="1625.2"/>
  </r>
  <r>
    <s v="TXN-103700"/>
    <x v="3700"/>
    <x v="0"/>
    <x v="2"/>
    <n v="13"/>
    <n v="359.11"/>
    <n v="45.94"/>
    <n v="4668.43"/>
  </r>
  <r>
    <s v="TXN-103701"/>
    <x v="3701"/>
    <x v="3"/>
    <x v="0"/>
    <n v="16"/>
    <n v="268.37"/>
    <n v="48.02"/>
    <n v="4293.92"/>
  </r>
  <r>
    <s v="TXN-103702"/>
    <x v="3702"/>
    <x v="1"/>
    <x v="2"/>
    <n v="6"/>
    <n v="306.38"/>
    <n v="10.42"/>
    <n v="1838.28"/>
  </r>
  <r>
    <s v="TXN-103703"/>
    <x v="3703"/>
    <x v="3"/>
    <x v="2"/>
    <n v="11"/>
    <n v="157.08000000000001"/>
    <n v="10.36"/>
    <n v="1727.88"/>
  </r>
  <r>
    <s v="TXN-103704"/>
    <x v="3704"/>
    <x v="0"/>
    <x v="0"/>
    <n v="3"/>
    <n v="265"/>
    <n v="47.07"/>
    <n v="795"/>
  </r>
  <r>
    <s v="TXN-103705"/>
    <x v="3705"/>
    <x v="0"/>
    <x v="0"/>
    <n v="10"/>
    <n v="142.55000000000001"/>
    <n v="18.309999999999999"/>
    <n v="1425.5"/>
  </r>
  <r>
    <s v="TXN-103706"/>
    <x v="3706"/>
    <x v="2"/>
    <x v="1"/>
    <n v="1"/>
    <n v="190.29"/>
    <n v="15.88"/>
    <n v="190.29"/>
  </r>
  <r>
    <s v="TXN-103707"/>
    <x v="3707"/>
    <x v="1"/>
    <x v="0"/>
    <n v="11"/>
    <n v="347.75"/>
    <n v="6.6"/>
    <n v="3825.25"/>
  </r>
  <r>
    <s v="TXN-103708"/>
    <x v="3708"/>
    <x v="2"/>
    <x v="3"/>
    <n v="12"/>
    <n v="121.49"/>
    <n v="17.399999999999999"/>
    <n v="1457.8799999999999"/>
  </r>
  <r>
    <s v="TXN-103709"/>
    <x v="3709"/>
    <x v="0"/>
    <x v="0"/>
    <n v="14"/>
    <n v="379.98"/>
    <n v="36.21"/>
    <n v="5319.72"/>
  </r>
  <r>
    <s v="TXN-103710"/>
    <x v="3710"/>
    <x v="3"/>
    <x v="1"/>
    <n v="8"/>
    <n v="178.82"/>
    <n v="24.17"/>
    <n v="1430.56"/>
  </r>
  <r>
    <s v="TXN-103711"/>
    <x v="3711"/>
    <x v="2"/>
    <x v="1"/>
    <n v="11"/>
    <n v="246.73"/>
    <n v="28.26"/>
    <n v="2714.0299999999997"/>
  </r>
  <r>
    <s v="TXN-103712"/>
    <x v="3712"/>
    <x v="2"/>
    <x v="1"/>
    <n v="4"/>
    <n v="424.78"/>
    <n v="46.28"/>
    <n v="1699.12"/>
  </r>
  <r>
    <s v="TXN-103713"/>
    <x v="3713"/>
    <x v="3"/>
    <x v="0"/>
    <n v="7"/>
    <n v="311.51"/>
    <n v="10.16"/>
    <n v="2180.5699999999997"/>
  </r>
  <r>
    <s v="TXN-103714"/>
    <x v="3714"/>
    <x v="2"/>
    <x v="0"/>
    <n v="10"/>
    <n v="296.01"/>
    <n v="8.2100000000000009"/>
    <n v="2960.1"/>
  </r>
  <r>
    <s v="TXN-103715"/>
    <x v="3715"/>
    <x v="3"/>
    <x v="2"/>
    <n v="19"/>
    <n v="324.69"/>
    <n v="43.34"/>
    <n v="6169.11"/>
  </r>
  <r>
    <s v="TXN-103716"/>
    <x v="3716"/>
    <x v="1"/>
    <x v="2"/>
    <n v="4"/>
    <n v="414.42"/>
    <n v="39.869999999999997"/>
    <n v="1657.68"/>
  </r>
  <r>
    <s v="TXN-103717"/>
    <x v="3717"/>
    <x v="3"/>
    <x v="3"/>
    <n v="2"/>
    <n v="123.48"/>
    <n v="16.87"/>
    <n v="246.96"/>
  </r>
  <r>
    <s v="TXN-103718"/>
    <x v="3718"/>
    <x v="1"/>
    <x v="2"/>
    <n v="18"/>
    <n v="281.95"/>
    <n v="19.59"/>
    <n v="5075.0999999999995"/>
  </r>
  <r>
    <s v="TXN-103719"/>
    <x v="3719"/>
    <x v="3"/>
    <x v="3"/>
    <n v="14"/>
    <n v="189.47"/>
    <n v="18.96"/>
    <n v="2652.58"/>
  </r>
  <r>
    <s v="TXN-103720"/>
    <x v="3720"/>
    <x v="0"/>
    <x v="1"/>
    <n v="16"/>
    <n v="20.65"/>
    <n v="34.15"/>
    <n v="330.4"/>
  </r>
  <r>
    <s v="TXN-103721"/>
    <x v="3721"/>
    <x v="0"/>
    <x v="2"/>
    <n v="11"/>
    <n v="69.94"/>
    <n v="7.75"/>
    <n v="769.33999999999992"/>
  </r>
  <r>
    <s v="TXN-103722"/>
    <x v="3722"/>
    <x v="1"/>
    <x v="0"/>
    <n v="10"/>
    <n v="156.71"/>
    <n v="27.02"/>
    <n v="1567.1000000000001"/>
  </r>
  <r>
    <s v="TXN-103723"/>
    <x v="3723"/>
    <x v="1"/>
    <x v="2"/>
    <n v="17"/>
    <n v="260.99"/>
    <n v="11.02"/>
    <n v="4436.83"/>
  </r>
  <r>
    <s v="TXN-103724"/>
    <x v="3724"/>
    <x v="0"/>
    <x v="3"/>
    <n v="14"/>
    <n v="398.5"/>
    <n v="41.89"/>
    <n v="5579"/>
  </r>
  <r>
    <s v="TXN-103725"/>
    <x v="3725"/>
    <x v="1"/>
    <x v="2"/>
    <n v="4"/>
    <n v="359.24"/>
    <n v="22.13"/>
    <n v="1436.96"/>
  </r>
  <r>
    <s v="TXN-103726"/>
    <x v="3726"/>
    <x v="3"/>
    <x v="1"/>
    <n v="19"/>
    <n v="255.92"/>
    <n v="28.74"/>
    <n v="4862.4799999999996"/>
  </r>
  <r>
    <s v="TXN-103727"/>
    <x v="3727"/>
    <x v="3"/>
    <x v="0"/>
    <n v="2"/>
    <n v="47.6"/>
    <n v="6.32"/>
    <n v="95.2"/>
  </r>
  <r>
    <s v="TXN-103728"/>
    <x v="3728"/>
    <x v="0"/>
    <x v="3"/>
    <n v="7"/>
    <n v="139.72999999999999"/>
    <n v="7.62"/>
    <n v="978.1099999999999"/>
  </r>
  <r>
    <s v="TXN-103729"/>
    <x v="3729"/>
    <x v="2"/>
    <x v="0"/>
    <n v="9"/>
    <n v="174.83"/>
    <n v="35.380000000000003"/>
    <n v="1573.47"/>
  </r>
  <r>
    <s v="TXN-103730"/>
    <x v="3730"/>
    <x v="3"/>
    <x v="0"/>
    <n v="19"/>
    <n v="285.64"/>
    <n v="39.5"/>
    <n v="5427.16"/>
  </r>
  <r>
    <s v="TXN-103731"/>
    <x v="3731"/>
    <x v="1"/>
    <x v="3"/>
    <n v="16"/>
    <n v="43.71"/>
    <n v="36.950000000000003"/>
    <n v="699.36"/>
  </r>
  <r>
    <s v="TXN-103732"/>
    <x v="3732"/>
    <x v="2"/>
    <x v="0"/>
    <n v="16"/>
    <n v="245.87"/>
    <n v="38.17"/>
    <n v="3933.92"/>
  </r>
  <r>
    <s v="TXN-103733"/>
    <x v="3733"/>
    <x v="2"/>
    <x v="0"/>
    <n v="18"/>
    <n v="407.19"/>
    <n v="9.7100000000000009"/>
    <n v="7329.42"/>
  </r>
  <r>
    <s v="TXN-103734"/>
    <x v="3734"/>
    <x v="3"/>
    <x v="2"/>
    <n v="11"/>
    <n v="322.01"/>
    <n v="36.21"/>
    <n v="3542.1099999999997"/>
  </r>
  <r>
    <s v="TXN-103735"/>
    <x v="3735"/>
    <x v="3"/>
    <x v="0"/>
    <n v="7"/>
    <n v="361.83"/>
    <n v="13.18"/>
    <n v="2532.81"/>
  </r>
  <r>
    <s v="TXN-103736"/>
    <x v="3736"/>
    <x v="2"/>
    <x v="0"/>
    <n v="9"/>
    <n v="311.69"/>
    <n v="9.41"/>
    <n v="2805.21"/>
  </r>
  <r>
    <s v="TXN-103737"/>
    <x v="3737"/>
    <x v="2"/>
    <x v="0"/>
    <n v="4"/>
    <n v="105.26"/>
    <n v="39.07"/>
    <n v="421.04"/>
  </r>
  <r>
    <s v="TXN-103738"/>
    <x v="3738"/>
    <x v="0"/>
    <x v="0"/>
    <n v="13"/>
    <n v="63.51"/>
    <n v="45.02"/>
    <n v="825.63"/>
  </r>
  <r>
    <s v="TXN-103739"/>
    <x v="3739"/>
    <x v="1"/>
    <x v="3"/>
    <n v="4"/>
    <n v="375.91"/>
    <n v="37.25"/>
    <n v="1503.64"/>
  </r>
  <r>
    <s v="TXN-103740"/>
    <x v="3740"/>
    <x v="0"/>
    <x v="1"/>
    <n v="19"/>
    <n v="317.7"/>
    <n v="41.25"/>
    <n v="6036.3"/>
  </r>
  <r>
    <s v="TXN-103741"/>
    <x v="3741"/>
    <x v="3"/>
    <x v="2"/>
    <n v="2"/>
    <n v="265.36"/>
    <n v="49.6"/>
    <n v="530.72"/>
  </r>
  <r>
    <s v="TXN-103742"/>
    <x v="3742"/>
    <x v="0"/>
    <x v="0"/>
    <n v="9"/>
    <n v="97.74"/>
    <n v="11.06"/>
    <n v="879.66"/>
  </r>
  <r>
    <s v="TXN-103743"/>
    <x v="3743"/>
    <x v="0"/>
    <x v="0"/>
    <n v="12"/>
    <n v="277.64999999999998"/>
    <n v="48.43"/>
    <n v="3331.7999999999997"/>
  </r>
  <r>
    <s v="TXN-103744"/>
    <x v="3744"/>
    <x v="0"/>
    <x v="3"/>
    <n v="2"/>
    <n v="29.11"/>
    <n v="32.049999999999997"/>
    <n v="58.22"/>
  </r>
  <r>
    <s v="TXN-103745"/>
    <x v="3745"/>
    <x v="0"/>
    <x v="1"/>
    <n v="6"/>
    <n v="67.14"/>
    <n v="41.6"/>
    <n v="402.84000000000003"/>
  </r>
  <r>
    <s v="TXN-103746"/>
    <x v="3746"/>
    <x v="1"/>
    <x v="0"/>
    <n v="5"/>
    <n v="151.02000000000001"/>
    <n v="34.26"/>
    <n v="755.1"/>
  </r>
  <r>
    <s v="TXN-103747"/>
    <x v="3747"/>
    <x v="1"/>
    <x v="3"/>
    <n v="5"/>
    <n v="208.3"/>
    <n v="30.65"/>
    <n v="1041.5"/>
  </r>
  <r>
    <s v="TXN-103748"/>
    <x v="3748"/>
    <x v="2"/>
    <x v="2"/>
    <n v="5"/>
    <n v="67.89"/>
    <n v="36.659999999999997"/>
    <n v="339.45"/>
  </r>
  <r>
    <s v="TXN-103749"/>
    <x v="3749"/>
    <x v="3"/>
    <x v="2"/>
    <n v="4"/>
    <n v="67.61"/>
    <n v="19.41"/>
    <n v="270.44"/>
  </r>
  <r>
    <s v="TXN-103750"/>
    <x v="3750"/>
    <x v="0"/>
    <x v="0"/>
    <n v="9"/>
    <n v="330.9"/>
    <n v="46.59"/>
    <n v="2978.1"/>
  </r>
  <r>
    <s v="TXN-103751"/>
    <x v="3751"/>
    <x v="2"/>
    <x v="0"/>
    <n v="10"/>
    <n v="263.04000000000002"/>
    <n v="10.19"/>
    <n v="2630.4"/>
  </r>
  <r>
    <s v="TXN-103752"/>
    <x v="3752"/>
    <x v="2"/>
    <x v="1"/>
    <n v="16"/>
    <n v="247.41"/>
    <n v="19.309999999999999"/>
    <n v="3958.56"/>
  </r>
  <r>
    <s v="TXN-103753"/>
    <x v="3753"/>
    <x v="2"/>
    <x v="1"/>
    <n v="10"/>
    <n v="212.08"/>
    <n v="6.4"/>
    <n v="2120.8000000000002"/>
  </r>
  <r>
    <s v="TXN-103754"/>
    <x v="3754"/>
    <x v="1"/>
    <x v="0"/>
    <n v="10"/>
    <n v="439.81"/>
    <n v="17.21"/>
    <n v="4398.1000000000004"/>
  </r>
  <r>
    <s v="TXN-103755"/>
    <x v="3755"/>
    <x v="0"/>
    <x v="3"/>
    <n v="19"/>
    <n v="37.14"/>
    <n v="14.82"/>
    <n v="705.66"/>
  </r>
  <r>
    <s v="TXN-103756"/>
    <x v="3756"/>
    <x v="0"/>
    <x v="1"/>
    <n v="10"/>
    <n v="93.98"/>
    <n v="7.23"/>
    <n v="939.80000000000007"/>
  </r>
  <r>
    <s v="TXN-103757"/>
    <x v="3757"/>
    <x v="3"/>
    <x v="0"/>
    <n v="6"/>
    <n v="296.83999999999997"/>
    <n v="27.13"/>
    <n v="1781.04"/>
  </r>
  <r>
    <s v="TXN-103758"/>
    <x v="3758"/>
    <x v="0"/>
    <x v="1"/>
    <n v="17"/>
    <n v="74.75"/>
    <n v="26.09"/>
    <n v="1270.75"/>
  </r>
  <r>
    <s v="TXN-103759"/>
    <x v="3759"/>
    <x v="0"/>
    <x v="0"/>
    <n v="5"/>
    <n v="271.58999999999997"/>
    <n v="8.5"/>
    <n v="1357.9499999999998"/>
  </r>
  <r>
    <s v="TXN-103760"/>
    <x v="3760"/>
    <x v="2"/>
    <x v="2"/>
    <n v="6"/>
    <n v="262.19"/>
    <n v="16.78"/>
    <n v="1573.1399999999999"/>
  </r>
  <r>
    <s v="TXN-103761"/>
    <x v="3761"/>
    <x v="3"/>
    <x v="0"/>
    <n v="15"/>
    <n v="437.4"/>
    <n v="47.9"/>
    <n v="6561"/>
  </r>
  <r>
    <s v="TXN-103762"/>
    <x v="3762"/>
    <x v="0"/>
    <x v="2"/>
    <n v="19"/>
    <n v="399.33"/>
    <n v="9.98"/>
    <n v="7587.2699999999995"/>
  </r>
  <r>
    <s v="TXN-103763"/>
    <x v="3763"/>
    <x v="1"/>
    <x v="1"/>
    <n v="18"/>
    <n v="426.34"/>
    <n v="18.73"/>
    <n v="7674.12"/>
  </r>
  <r>
    <s v="TXN-103764"/>
    <x v="3764"/>
    <x v="0"/>
    <x v="0"/>
    <n v="4"/>
    <n v="64.86"/>
    <n v="6.61"/>
    <n v="259.44"/>
  </r>
  <r>
    <s v="TXN-103765"/>
    <x v="3765"/>
    <x v="2"/>
    <x v="1"/>
    <n v="8"/>
    <n v="392.71"/>
    <n v="11.7"/>
    <n v="3141.68"/>
  </r>
  <r>
    <s v="TXN-103766"/>
    <x v="3766"/>
    <x v="1"/>
    <x v="2"/>
    <n v="16"/>
    <n v="71.59"/>
    <n v="36.47"/>
    <n v="1145.44"/>
  </r>
  <r>
    <s v="TXN-103767"/>
    <x v="3767"/>
    <x v="2"/>
    <x v="0"/>
    <n v="19"/>
    <n v="290.51"/>
    <n v="21.5"/>
    <n v="5519.69"/>
  </r>
  <r>
    <s v="TXN-103768"/>
    <x v="3768"/>
    <x v="0"/>
    <x v="1"/>
    <n v="3"/>
    <n v="328.37"/>
    <n v="25.34"/>
    <n v="985.11"/>
  </r>
  <r>
    <s v="TXN-103769"/>
    <x v="3769"/>
    <x v="1"/>
    <x v="2"/>
    <n v="10"/>
    <n v="85.39"/>
    <n v="12.06"/>
    <n v="853.9"/>
  </r>
  <r>
    <s v="TXN-103770"/>
    <x v="3770"/>
    <x v="3"/>
    <x v="1"/>
    <n v="2"/>
    <n v="290.39"/>
    <n v="35.700000000000003"/>
    <n v="580.78"/>
  </r>
  <r>
    <s v="TXN-103771"/>
    <x v="3771"/>
    <x v="3"/>
    <x v="3"/>
    <n v="4"/>
    <n v="38.29"/>
    <n v="38.82"/>
    <n v="153.16"/>
  </r>
  <r>
    <s v="TXN-103772"/>
    <x v="3772"/>
    <x v="1"/>
    <x v="2"/>
    <n v="6"/>
    <n v="142.91999999999999"/>
    <n v="13.15"/>
    <n v="857.52"/>
  </r>
  <r>
    <s v="TXN-103773"/>
    <x v="3773"/>
    <x v="1"/>
    <x v="2"/>
    <n v="11"/>
    <n v="415.74"/>
    <n v="7.02"/>
    <n v="4573.1400000000003"/>
  </r>
  <r>
    <s v="TXN-103774"/>
    <x v="3774"/>
    <x v="2"/>
    <x v="2"/>
    <n v="14"/>
    <n v="90.12"/>
    <n v="8.64"/>
    <n v="1261.68"/>
  </r>
  <r>
    <s v="TXN-103775"/>
    <x v="3775"/>
    <x v="1"/>
    <x v="0"/>
    <n v="16"/>
    <n v="43.86"/>
    <n v="34.57"/>
    <n v="701.76"/>
  </r>
  <r>
    <s v="TXN-103776"/>
    <x v="3776"/>
    <x v="2"/>
    <x v="0"/>
    <n v="19"/>
    <n v="208.28"/>
    <n v="11.1"/>
    <n v="3957.32"/>
  </r>
  <r>
    <s v="TXN-103777"/>
    <x v="3777"/>
    <x v="0"/>
    <x v="0"/>
    <n v="2"/>
    <n v="385.09"/>
    <n v="27.23"/>
    <n v="770.18"/>
  </r>
  <r>
    <s v="TXN-103778"/>
    <x v="3778"/>
    <x v="2"/>
    <x v="3"/>
    <n v="17"/>
    <n v="48.81"/>
    <n v="11.87"/>
    <n v="829.77"/>
  </r>
  <r>
    <s v="TXN-103779"/>
    <x v="3779"/>
    <x v="1"/>
    <x v="3"/>
    <n v="9"/>
    <n v="169.98"/>
    <n v="12.66"/>
    <n v="1529.82"/>
  </r>
  <r>
    <s v="TXN-103780"/>
    <x v="3780"/>
    <x v="1"/>
    <x v="2"/>
    <n v="17"/>
    <n v="406.45"/>
    <n v="5.2"/>
    <n v="6909.65"/>
  </r>
  <r>
    <s v="TXN-103781"/>
    <x v="3781"/>
    <x v="0"/>
    <x v="3"/>
    <n v="15"/>
    <n v="66.84"/>
    <n v="19.440000000000001"/>
    <n v="1002.6"/>
  </r>
  <r>
    <s v="TXN-103782"/>
    <x v="3782"/>
    <x v="1"/>
    <x v="1"/>
    <n v="7"/>
    <n v="150.49"/>
    <n v="9.0399999999999991"/>
    <n v="1053.43"/>
  </r>
  <r>
    <s v="TXN-103783"/>
    <x v="3783"/>
    <x v="1"/>
    <x v="2"/>
    <n v="19"/>
    <n v="353.72"/>
    <n v="22.73"/>
    <n v="6720.68"/>
  </r>
  <r>
    <s v="TXN-103784"/>
    <x v="3784"/>
    <x v="3"/>
    <x v="2"/>
    <n v="3"/>
    <n v="251.53"/>
    <n v="31.9"/>
    <n v="754.59"/>
  </r>
  <r>
    <s v="TXN-103785"/>
    <x v="3785"/>
    <x v="3"/>
    <x v="1"/>
    <n v="1"/>
    <n v="377.15"/>
    <n v="21.54"/>
    <n v="377.15"/>
  </r>
  <r>
    <s v="TXN-103786"/>
    <x v="3786"/>
    <x v="0"/>
    <x v="2"/>
    <n v="4"/>
    <n v="63.99"/>
    <n v="36.729999999999997"/>
    <n v="255.96"/>
  </r>
  <r>
    <s v="TXN-103787"/>
    <x v="3787"/>
    <x v="2"/>
    <x v="3"/>
    <n v="18"/>
    <n v="415.48"/>
    <n v="38.369999999999997"/>
    <n v="7478.64"/>
  </r>
  <r>
    <s v="TXN-103788"/>
    <x v="3788"/>
    <x v="3"/>
    <x v="0"/>
    <n v="8"/>
    <n v="421.72"/>
    <n v="36.35"/>
    <n v="3373.76"/>
  </r>
  <r>
    <s v="TXN-103789"/>
    <x v="3789"/>
    <x v="2"/>
    <x v="1"/>
    <n v="19"/>
    <n v="82.98"/>
    <n v="47.15"/>
    <n v="1576.6200000000001"/>
  </r>
  <r>
    <s v="TXN-103790"/>
    <x v="3790"/>
    <x v="1"/>
    <x v="3"/>
    <n v="6"/>
    <n v="30.22"/>
    <n v="15.68"/>
    <n v="181.32"/>
  </r>
  <r>
    <s v="TXN-103791"/>
    <x v="3791"/>
    <x v="3"/>
    <x v="1"/>
    <n v="1"/>
    <n v="445.59"/>
    <n v="13.53"/>
    <n v="445.59"/>
  </r>
  <r>
    <s v="TXN-103792"/>
    <x v="3792"/>
    <x v="0"/>
    <x v="1"/>
    <n v="8"/>
    <n v="225.04"/>
    <n v="32.44"/>
    <n v="1800.32"/>
  </r>
  <r>
    <s v="TXN-103793"/>
    <x v="3793"/>
    <x v="0"/>
    <x v="2"/>
    <n v="1"/>
    <n v="264.07"/>
    <n v="31.77"/>
    <n v="264.07"/>
  </r>
  <r>
    <s v="TXN-103794"/>
    <x v="3794"/>
    <x v="0"/>
    <x v="2"/>
    <n v="19"/>
    <n v="283.11"/>
    <n v="27.95"/>
    <n v="5379.09"/>
  </r>
  <r>
    <s v="TXN-103795"/>
    <x v="3795"/>
    <x v="3"/>
    <x v="3"/>
    <n v="11"/>
    <n v="358.61"/>
    <n v="5.2"/>
    <n v="3944.71"/>
  </r>
  <r>
    <s v="TXN-103796"/>
    <x v="3796"/>
    <x v="2"/>
    <x v="1"/>
    <n v="15"/>
    <n v="368.31"/>
    <n v="29.99"/>
    <n v="5524.65"/>
  </r>
  <r>
    <s v="TXN-103797"/>
    <x v="3797"/>
    <x v="1"/>
    <x v="2"/>
    <n v="11"/>
    <n v="99.76"/>
    <n v="46.98"/>
    <n v="1097.3600000000001"/>
  </r>
  <r>
    <s v="TXN-103798"/>
    <x v="3798"/>
    <x v="2"/>
    <x v="2"/>
    <n v="19"/>
    <n v="118.32"/>
    <n v="20.059999999999999"/>
    <n v="2248.08"/>
  </r>
  <r>
    <s v="TXN-103799"/>
    <x v="3799"/>
    <x v="2"/>
    <x v="1"/>
    <n v="10"/>
    <n v="396.48"/>
    <n v="48.54"/>
    <n v="3964.8"/>
  </r>
  <r>
    <s v="TXN-103800"/>
    <x v="3800"/>
    <x v="1"/>
    <x v="3"/>
    <n v="12"/>
    <n v="371.58"/>
    <n v="21.05"/>
    <n v="4458.96"/>
  </r>
  <r>
    <s v="TXN-103801"/>
    <x v="3801"/>
    <x v="1"/>
    <x v="3"/>
    <n v="1"/>
    <n v="283.86"/>
    <n v="11.29"/>
    <n v="283.86"/>
  </r>
  <r>
    <s v="TXN-103802"/>
    <x v="3802"/>
    <x v="3"/>
    <x v="1"/>
    <n v="7"/>
    <n v="447.7"/>
    <n v="22.93"/>
    <n v="3133.9"/>
  </r>
  <r>
    <s v="TXN-103803"/>
    <x v="3803"/>
    <x v="3"/>
    <x v="3"/>
    <n v="17"/>
    <n v="334.94"/>
    <n v="27.26"/>
    <n v="5693.98"/>
  </r>
  <r>
    <s v="TXN-103804"/>
    <x v="3804"/>
    <x v="3"/>
    <x v="2"/>
    <n v="10"/>
    <n v="109.28"/>
    <n v="33.33"/>
    <n v="1092.8"/>
  </r>
  <r>
    <s v="TXN-103805"/>
    <x v="3805"/>
    <x v="3"/>
    <x v="1"/>
    <n v="6"/>
    <n v="383.37"/>
    <n v="27.72"/>
    <n v="2300.2200000000003"/>
  </r>
  <r>
    <s v="TXN-103806"/>
    <x v="3806"/>
    <x v="3"/>
    <x v="2"/>
    <n v="17"/>
    <n v="195.7"/>
    <n v="29.15"/>
    <n v="3326.8999999999996"/>
  </r>
  <r>
    <s v="TXN-103807"/>
    <x v="3807"/>
    <x v="1"/>
    <x v="0"/>
    <n v="18"/>
    <n v="31.21"/>
    <n v="6.08"/>
    <n v="561.78"/>
  </r>
  <r>
    <s v="TXN-103808"/>
    <x v="3808"/>
    <x v="2"/>
    <x v="0"/>
    <n v="5"/>
    <n v="155.16"/>
    <n v="16.41"/>
    <n v="775.8"/>
  </r>
  <r>
    <s v="TXN-103809"/>
    <x v="3809"/>
    <x v="3"/>
    <x v="3"/>
    <n v="18"/>
    <n v="347.26"/>
    <n v="18.98"/>
    <n v="6250.68"/>
  </r>
  <r>
    <s v="TXN-103810"/>
    <x v="3810"/>
    <x v="3"/>
    <x v="0"/>
    <n v="17"/>
    <n v="432.71"/>
    <n v="49.42"/>
    <n v="7356.07"/>
  </r>
  <r>
    <s v="TXN-103811"/>
    <x v="3811"/>
    <x v="2"/>
    <x v="2"/>
    <n v="16"/>
    <n v="135.47999999999999"/>
    <n v="18.3"/>
    <n v="2167.6799999999998"/>
  </r>
  <r>
    <s v="TXN-103812"/>
    <x v="3812"/>
    <x v="3"/>
    <x v="0"/>
    <n v="8"/>
    <n v="122.61"/>
    <n v="45.35"/>
    <n v="980.88"/>
  </r>
  <r>
    <s v="TXN-103813"/>
    <x v="3813"/>
    <x v="2"/>
    <x v="2"/>
    <n v="13"/>
    <n v="260.39"/>
    <n v="18.71"/>
    <n v="3385.0699999999997"/>
  </r>
  <r>
    <s v="TXN-103814"/>
    <x v="3814"/>
    <x v="2"/>
    <x v="3"/>
    <n v="16"/>
    <n v="368.18"/>
    <n v="9.32"/>
    <n v="5890.88"/>
  </r>
  <r>
    <s v="TXN-103815"/>
    <x v="3815"/>
    <x v="1"/>
    <x v="3"/>
    <n v="11"/>
    <n v="339.87"/>
    <n v="16.14"/>
    <n v="3738.57"/>
  </r>
  <r>
    <s v="TXN-103816"/>
    <x v="3816"/>
    <x v="0"/>
    <x v="2"/>
    <n v="6"/>
    <n v="258.8"/>
    <n v="17.28"/>
    <n v="1552.8000000000002"/>
  </r>
  <r>
    <s v="TXN-103817"/>
    <x v="3817"/>
    <x v="1"/>
    <x v="0"/>
    <n v="3"/>
    <n v="289.83999999999997"/>
    <n v="49.02"/>
    <n v="869.52"/>
  </r>
  <r>
    <s v="TXN-103818"/>
    <x v="3818"/>
    <x v="0"/>
    <x v="3"/>
    <n v="1"/>
    <n v="120.69"/>
    <n v="35.340000000000003"/>
    <n v="120.69"/>
  </r>
  <r>
    <s v="TXN-103819"/>
    <x v="3819"/>
    <x v="0"/>
    <x v="1"/>
    <n v="18"/>
    <n v="203.45"/>
    <n v="46.93"/>
    <n v="3662.1"/>
  </r>
  <r>
    <s v="TXN-103820"/>
    <x v="3820"/>
    <x v="0"/>
    <x v="3"/>
    <n v="5"/>
    <n v="126.46"/>
    <n v="42.57"/>
    <n v="632.29999999999995"/>
  </r>
  <r>
    <s v="TXN-103821"/>
    <x v="3821"/>
    <x v="3"/>
    <x v="0"/>
    <n v="13"/>
    <n v="399.78"/>
    <n v="31.04"/>
    <n v="5197.1399999999994"/>
  </r>
  <r>
    <s v="TXN-103822"/>
    <x v="3822"/>
    <x v="1"/>
    <x v="1"/>
    <n v="10"/>
    <n v="64.400000000000006"/>
    <n v="35.39"/>
    <n v="644"/>
  </r>
  <r>
    <s v="TXN-103823"/>
    <x v="3823"/>
    <x v="0"/>
    <x v="0"/>
    <n v="5"/>
    <n v="310.85000000000002"/>
    <n v="33.119999999999997"/>
    <n v="1554.25"/>
  </r>
  <r>
    <s v="TXN-103824"/>
    <x v="3824"/>
    <x v="2"/>
    <x v="2"/>
    <n v="14"/>
    <n v="128.59"/>
    <n v="34.979999999999997"/>
    <n v="1800.26"/>
  </r>
  <r>
    <s v="TXN-103825"/>
    <x v="3825"/>
    <x v="3"/>
    <x v="1"/>
    <n v="17"/>
    <n v="222.14"/>
    <n v="16.91"/>
    <n v="3776.3799999999997"/>
  </r>
  <r>
    <s v="TXN-103826"/>
    <x v="3826"/>
    <x v="1"/>
    <x v="0"/>
    <n v="1"/>
    <n v="145.59"/>
    <n v="23.37"/>
    <n v="145.59"/>
  </r>
  <r>
    <s v="TXN-103827"/>
    <x v="3827"/>
    <x v="0"/>
    <x v="1"/>
    <n v="2"/>
    <n v="155.94999999999999"/>
    <n v="31.67"/>
    <n v="311.89999999999998"/>
  </r>
  <r>
    <s v="TXN-103828"/>
    <x v="3828"/>
    <x v="2"/>
    <x v="0"/>
    <n v="7"/>
    <n v="128.63999999999999"/>
    <n v="6.62"/>
    <n v="900.4799999999999"/>
  </r>
  <r>
    <s v="TXN-103829"/>
    <x v="3829"/>
    <x v="1"/>
    <x v="1"/>
    <n v="10"/>
    <n v="342.59"/>
    <n v="26.73"/>
    <n v="3425.8999999999996"/>
  </r>
  <r>
    <s v="TXN-103830"/>
    <x v="3830"/>
    <x v="1"/>
    <x v="0"/>
    <n v="7"/>
    <n v="174.4"/>
    <n v="43.69"/>
    <n v="1220.8"/>
  </r>
  <r>
    <s v="TXN-103831"/>
    <x v="3831"/>
    <x v="3"/>
    <x v="2"/>
    <n v="16"/>
    <n v="331.1"/>
    <n v="27.16"/>
    <n v="5297.6"/>
  </r>
  <r>
    <s v="TXN-103832"/>
    <x v="3832"/>
    <x v="1"/>
    <x v="1"/>
    <n v="5"/>
    <n v="213.66"/>
    <n v="29.85"/>
    <n v="1068.3"/>
  </r>
  <r>
    <s v="TXN-103833"/>
    <x v="3833"/>
    <x v="3"/>
    <x v="1"/>
    <n v="12"/>
    <n v="253.28"/>
    <n v="14.09"/>
    <n v="3039.36"/>
  </r>
  <r>
    <s v="TXN-103834"/>
    <x v="3834"/>
    <x v="0"/>
    <x v="1"/>
    <n v="17"/>
    <n v="251.56"/>
    <n v="40.75"/>
    <n v="4276.5200000000004"/>
  </r>
  <r>
    <s v="TXN-103835"/>
    <x v="3835"/>
    <x v="3"/>
    <x v="1"/>
    <n v="16"/>
    <n v="439.51"/>
    <n v="21.15"/>
    <n v="7032.16"/>
  </r>
  <r>
    <s v="TXN-103836"/>
    <x v="3836"/>
    <x v="2"/>
    <x v="2"/>
    <n v="16"/>
    <n v="174.99"/>
    <n v="48.05"/>
    <n v="2799.84"/>
  </r>
  <r>
    <s v="TXN-103837"/>
    <x v="3837"/>
    <x v="3"/>
    <x v="1"/>
    <n v="19"/>
    <n v="105.74"/>
    <n v="49.72"/>
    <n v="2009.06"/>
  </r>
  <r>
    <s v="TXN-103838"/>
    <x v="3838"/>
    <x v="2"/>
    <x v="3"/>
    <n v="15"/>
    <n v="411.67"/>
    <n v="46.22"/>
    <n v="6175.05"/>
  </r>
  <r>
    <s v="TXN-103839"/>
    <x v="3839"/>
    <x v="3"/>
    <x v="2"/>
    <n v="12"/>
    <n v="91.47"/>
    <n v="8.82"/>
    <n v="1097.6399999999999"/>
  </r>
  <r>
    <s v="TXN-103840"/>
    <x v="3840"/>
    <x v="1"/>
    <x v="3"/>
    <n v="10"/>
    <n v="378.06"/>
    <n v="19.989999999999998"/>
    <n v="3780.6"/>
  </r>
  <r>
    <s v="TXN-103841"/>
    <x v="3841"/>
    <x v="0"/>
    <x v="1"/>
    <n v="2"/>
    <n v="80.77"/>
    <n v="47.53"/>
    <n v="161.54"/>
  </r>
  <r>
    <s v="TXN-103842"/>
    <x v="3842"/>
    <x v="2"/>
    <x v="0"/>
    <n v="7"/>
    <n v="301.72000000000003"/>
    <n v="41.2"/>
    <n v="2112.04"/>
  </r>
  <r>
    <s v="TXN-103843"/>
    <x v="3843"/>
    <x v="3"/>
    <x v="3"/>
    <n v="13"/>
    <n v="80.91"/>
    <n v="46"/>
    <n v="1051.83"/>
  </r>
  <r>
    <s v="TXN-103844"/>
    <x v="3844"/>
    <x v="3"/>
    <x v="1"/>
    <n v="3"/>
    <n v="416.58"/>
    <n v="30.76"/>
    <n v="1249.74"/>
  </r>
  <r>
    <s v="TXN-103845"/>
    <x v="3845"/>
    <x v="3"/>
    <x v="3"/>
    <n v="15"/>
    <n v="261"/>
    <n v="26.62"/>
    <n v="3915"/>
  </r>
  <r>
    <s v="TXN-103846"/>
    <x v="3846"/>
    <x v="1"/>
    <x v="1"/>
    <n v="1"/>
    <n v="158.57"/>
    <n v="9.7899999999999991"/>
    <n v="158.57"/>
  </r>
  <r>
    <s v="TXN-103847"/>
    <x v="3847"/>
    <x v="1"/>
    <x v="1"/>
    <n v="3"/>
    <n v="76.47"/>
    <n v="42.78"/>
    <n v="229.41"/>
  </r>
  <r>
    <s v="TXN-103848"/>
    <x v="3848"/>
    <x v="2"/>
    <x v="1"/>
    <n v="10"/>
    <n v="176.78"/>
    <n v="38.53"/>
    <n v="1767.8"/>
  </r>
  <r>
    <s v="TXN-103849"/>
    <x v="3849"/>
    <x v="2"/>
    <x v="0"/>
    <n v="15"/>
    <n v="321.83"/>
    <n v="7.65"/>
    <n v="4827.45"/>
  </r>
  <r>
    <s v="TXN-103850"/>
    <x v="3850"/>
    <x v="1"/>
    <x v="3"/>
    <n v="6"/>
    <n v="182.76"/>
    <n v="14.42"/>
    <n v="1096.56"/>
  </r>
  <r>
    <s v="TXN-103851"/>
    <x v="3851"/>
    <x v="2"/>
    <x v="2"/>
    <n v="15"/>
    <n v="122.43"/>
    <n v="30.08"/>
    <n v="1836.45"/>
  </r>
  <r>
    <s v="TXN-103852"/>
    <x v="3852"/>
    <x v="0"/>
    <x v="2"/>
    <n v="7"/>
    <n v="266.38"/>
    <n v="35.799999999999997"/>
    <n v="1864.6599999999999"/>
  </r>
  <r>
    <s v="TXN-103853"/>
    <x v="3853"/>
    <x v="0"/>
    <x v="2"/>
    <n v="5"/>
    <n v="197.04"/>
    <n v="11.2"/>
    <n v="985.19999999999993"/>
  </r>
  <r>
    <s v="TXN-103854"/>
    <x v="3854"/>
    <x v="1"/>
    <x v="2"/>
    <n v="4"/>
    <n v="87.54"/>
    <n v="16.02"/>
    <n v="350.16"/>
  </r>
  <r>
    <s v="TXN-103855"/>
    <x v="3855"/>
    <x v="2"/>
    <x v="1"/>
    <n v="18"/>
    <n v="82.41"/>
    <n v="13.69"/>
    <n v="1483.3799999999999"/>
  </r>
  <r>
    <s v="TXN-103856"/>
    <x v="3856"/>
    <x v="3"/>
    <x v="3"/>
    <n v="3"/>
    <n v="322.89"/>
    <n v="14.9"/>
    <n v="968.67"/>
  </r>
  <r>
    <s v="TXN-103857"/>
    <x v="3857"/>
    <x v="0"/>
    <x v="3"/>
    <n v="17"/>
    <n v="438.99"/>
    <n v="46.43"/>
    <n v="7462.83"/>
  </r>
  <r>
    <s v="TXN-103858"/>
    <x v="3858"/>
    <x v="1"/>
    <x v="0"/>
    <n v="18"/>
    <n v="116.78"/>
    <n v="37.21"/>
    <n v="2102.04"/>
  </r>
  <r>
    <s v="TXN-103859"/>
    <x v="3859"/>
    <x v="2"/>
    <x v="3"/>
    <n v="18"/>
    <n v="351.43"/>
    <n v="38.17"/>
    <n v="6325.74"/>
  </r>
  <r>
    <s v="TXN-103860"/>
    <x v="3860"/>
    <x v="1"/>
    <x v="3"/>
    <n v="2"/>
    <n v="53.57"/>
    <n v="40.729999999999997"/>
    <n v="107.14"/>
  </r>
  <r>
    <s v="TXN-103861"/>
    <x v="3861"/>
    <x v="3"/>
    <x v="3"/>
    <n v="13"/>
    <n v="181.29"/>
    <n v="21.05"/>
    <n v="2356.77"/>
  </r>
  <r>
    <s v="TXN-103862"/>
    <x v="3862"/>
    <x v="0"/>
    <x v="0"/>
    <n v="15"/>
    <n v="235.66"/>
    <n v="39.520000000000003"/>
    <n v="3534.9"/>
  </r>
  <r>
    <s v="TXN-103863"/>
    <x v="3863"/>
    <x v="1"/>
    <x v="2"/>
    <n v="5"/>
    <n v="132.27000000000001"/>
    <n v="49.03"/>
    <n v="661.35"/>
  </r>
  <r>
    <s v="TXN-103864"/>
    <x v="3864"/>
    <x v="1"/>
    <x v="3"/>
    <n v="3"/>
    <n v="245.6"/>
    <n v="36.43"/>
    <n v="736.8"/>
  </r>
  <r>
    <s v="TXN-103865"/>
    <x v="3865"/>
    <x v="1"/>
    <x v="0"/>
    <n v="5"/>
    <n v="399"/>
    <n v="23.75"/>
    <n v="1995"/>
  </r>
  <r>
    <s v="TXN-103866"/>
    <x v="3866"/>
    <x v="3"/>
    <x v="0"/>
    <n v="5"/>
    <n v="425.86"/>
    <n v="37.24"/>
    <n v="2129.3000000000002"/>
  </r>
  <r>
    <s v="TXN-103867"/>
    <x v="3867"/>
    <x v="1"/>
    <x v="1"/>
    <n v="5"/>
    <n v="59.19"/>
    <n v="45.54"/>
    <n v="295.95"/>
  </r>
  <r>
    <s v="TXN-103868"/>
    <x v="3868"/>
    <x v="3"/>
    <x v="0"/>
    <n v="3"/>
    <n v="133.62"/>
    <n v="10.79"/>
    <n v="400.86"/>
  </r>
  <r>
    <s v="TXN-103869"/>
    <x v="3869"/>
    <x v="3"/>
    <x v="2"/>
    <n v="3"/>
    <n v="440.93"/>
    <n v="16.940000000000001"/>
    <n v="1322.79"/>
  </r>
  <r>
    <s v="TXN-103870"/>
    <x v="3870"/>
    <x v="3"/>
    <x v="3"/>
    <n v="18"/>
    <n v="133"/>
    <n v="46.37"/>
    <n v="2394"/>
  </r>
  <r>
    <s v="TXN-103871"/>
    <x v="3871"/>
    <x v="0"/>
    <x v="0"/>
    <n v="4"/>
    <n v="316.48"/>
    <n v="47.58"/>
    <n v="1265.92"/>
  </r>
  <r>
    <s v="TXN-103872"/>
    <x v="3872"/>
    <x v="0"/>
    <x v="2"/>
    <n v="1"/>
    <n v="125.63"/>
    <n v="26.79"/>
    <n v="125.63"/>
  </r>
  <r>
    <s v="TXN-103873"/>
    <x v="3873"/>
    <x v="1"/>
    <x v="0"/>
    <n v="16"/>
    <n v="170.34"/>
    <n v="21.85"/>
    <n v="2725.44"/>
  </r>
  <r>
    <s v="TXN-103874"/>
    <x v="3874"/>
    <x v="1"/>
    <x v="0"/>
    <n v="8"/>
    <n v="98.61"/>
    <n v="17.73"/>
    <n v="788.88"/>
  </r>
  <r>
    <s v="TXN-103875"/>
    <x v="3875"/>
    <x v="0"/>
    <x v="0"/>
    <n v="17"/>
    <n v="387.56"/>
    <n v="27.44"/>
    <n v="6588.52"/>
  </r>
  <r>
    <s v="TXN-103876"/>
    <x v="3876"/>
    <x v="2"/>
    <x v="0"/>
    <n v="8"/>
    <n v="399.01"/>
    <n v="47.05"/>
    <n v="3192.08"/>
  </r>
  <r>
    <s v="TXN-103877"/>
    <x v="3877"/>
    <x v="0"/>
    <x v="0"/>
    <n v="7"/>
    <n v="144.51"/>
    <n v="11.74"/>
    <n v="1011.5699999999999"/>
  </r>
  <r>
    <s v="TXN-103878"/>
    <x v="3878"/>
    <x v="3"/>
    <x v="2"/>
    <n v="8"/>
    <n v="373.35"/>
    <n v="23.89"/>
    <n v="2986.8"/>
  </r>
  <r>
    <s v="TXN-103879"/>
    <x v="3879"/>
    <x v="0"/>
    <x v="3"/>
    <n v="12"/>
    <n v="171.16"/>
    <n v="46.02"/>
    <n v="2053.92"/>
  </r>
  <r>
    <s v="TXN-103880"/>
    <x v="3880"/>
    <x v="3"/>
    <x v="3"/>
    <n v="16"/>
    <n v="58.52"/>
    <n v="20.71"/>
    <n v="936.32"/>
  </r>
  <r>
    <s v="TXN-103881"/>
    <x v="3881"/>
    <x v="1"/>
    <x v="3"/>
    <n v="12"/>
    <n v="344.88"/>
    <n v="39.56"/>
    <n v="4138.5599999999995"/>
  </r>
  <r>
    <s v="TXN-103882"/>
    <x v="3882"/>
    <x v="2"/>
    <x v="3"/>
    <n v="19"/>
    <n v="274.66000000000003"/>
    <n v="22.52"/>
    <n v="5218.5400000000009"/>
  </r>
  <r>
    <s v="TXN-103883"/>
    <x v="3883"/>
    <x v="1"/>
    <x v="2"/>
    <n v="10"/>
    <n v="134.72"/>
    <n v="41.22"/>
    <n v="1347.2"/>
  </r>
  <r>
    <s v="TXN-103884"/>
    <x v="3884"/>
    <x v="3"/>
    <x v="1"/>
    <n v="7"/>
    <n v="125.43"/>
    <n v="49.15"/>
    <n v="878.01"/>
  </r>
  <r>
    <s v="TXN-103885"/>
    <x v="3885"/>
    <x v="3"/>
    <x v="1"/>
    <n v="12"/>
    <n v="439.41"/>
    <n v="22.45"/>
    <n v="5272.92"/>
  </r>
  <r>
    <s v="TXN-103886"/>
    <x v="3886"/>
    <x v="3"/>
    <x v="2"/>
    <n v="5"/>
    <n v="390.26"/>
    <n v="43.03"/>
    <n v="1951.3"/>
  </r>
  <r>
    <s v="TXN-103887"/>
    <x v="3887"/>
    <x v="2"/>
    <x v="2"/>
    <n v="16"/>
    <n v="367.36"/>
    <n v="49.48"/>
    <n v="5877.76"/>
  </r>
  <r>
    <s v="TXN-103888"/>
    <x v="3888"/>
    <x v="0"/>
    <x v="0"/>
    <n v="9"/>
    <n v="71.12"/>
    <n v="49.27"/>
    <n v="640.08000000000004"/>
  </r>
  <r>
    <s v="TXN-103889"/>
    <x v="3889"/>
    <x v="1"/>
    <x v="0"/>
    <n v="7"/>
    <n v="343.63"/>
    <n v="24.52"/>
    <n v="2405.41"/>
  </r>
  <r>
    <s v="TXN-103890"/>
    <x v="3890"/>
    <x v="1"/>
    <x v="0"/>
    <n v="14"/>
    <n v="108.72"/>
    <n v="26.86"/>
    <n v="1522.08"/>
  </r>
  <r>
    <s v="TXN-103891"/>
    <x v="3891"/>
    <x v="0"/>
    <x v="3"/>
    <n v="11"/>
    <n v="440.18"/>
    <n v="18.649999999999999"/>
    <n v="4841.9800000000005"/>
  </r>
  <r>
    <s v="TXN-103892"/>
    <x v="3892"/>
    <x v="1"/>
    <x v="0"/>
    <n v="7"/>
    <n v="38.130000000000003"/>
    <n v="19.13"/>
    <n v="266.91000000000003"/>
  </r>
  <r>
    <s v="TXN-103893"/>
    <x v="3893"/>
    <x v="2"/>
    <x v="1"/>
    <n v="10"/>
    <n v="168.5"/>
    <n v="27.16"/>
    <n v="1685"/>
  </r>
  <r>
    <s v="TXN-103894"/>
    <x v="3894"/>
    <x v="1"/>
    <x v="3"/>
    <n v="9"/>
    <n v="201.75"/>
    <n v="14.02"/>
    <n v="1815.75"/>
  </r>
  <r>
    <s v="TXN-103895"/>
    <x v="3895"/>
    <x v="3"/>
    <x v="0"/>
    <n v="4"/>
    <n v="373.62"/>
    <n v="37"/>
    <n v="1494.48"/>
  </r>
  <r>
    <s v="TXN-103896"/>
    <x v="3896"/>
    <x v="0"/>
    <x v="3"/>
    <n v="16"/>
    <n v="348.42"/>
    <n v="29.13"/>
    <n v="5574.72"/>
  </r>
  <r>
    <s v="TXN-103897"/>
    <x v="3897"/>
    <x v="2"/>
    <x v="1"/>
    <n v="10"/>
    <n v="178.43"/>
    <n v="45.41"/>
    <n v="1784.3000000000002"/>
  </r>
  <r>
    <s v="TXN-103898"/>
    <x v="3898"/>
    <x v="0"/>
    <x v="0"/>
    <n v="19"/>
    <n v="261.24"/>
    <n v="41.48"/>
    <n v="4963.5600000000004"/>
  </r>
  <r>
    <s v="TXN-103899"/>
    <x v="3899"/>
    <x v="2"/>
    <x v="1"/>
    <n v="17"/>
    <n v="378.57"/>
    <n v="19.510000000000002"/>
    <n v="6435.69"/>
  </r>
  <r>
    <s v="TXN-103900"/>
    <x v="3900"/>
    <x v="3"/>
    <x v="1"/>
    <n v="9"/>
    <n v="23.41"/>
    <n v="27.76"/>
    <n v="210.69"/>
  </r>
  <r>
    <s v="TXN-103901"/>
    <x v="3901"/>
    <x v="0"/>
    <x v="1"/>
    <n v="13"/>
    <n v="364.05"/>
    <n v="38.770000000000003"/>
    <n v="4732.6500000000005"/>
  </r>
  <r>
    <s v="TXN-103902"/>
    <x v="3902"/>
    <x v="1"/>
    <x v="0"/>
    <n v="1"/>
    <n v="426.93"/>
    <n v="13.69"/>
    <n v="426.93"/>
  </r>
  <r>
    <s v="TXN-103903"/>
    <x v="3903"/>
    <x v="2"/>
    <x v="2"/>
    <n v="2"/>
    <n v="29.43"/>
    <n v="6.42"/>
    <n v="58.86"/>
  </r>
  <r>
    <s v="TXN-103904"/>
    <x v="3904"/>
    <x v="0"/>
    <x v="0"/>
    <n v="13"/>
    <n v="35.299999999999997"/>
    <n v="43.35"/>
    <n v="458.9"/>
  </r>
  <r>
    <s v="TXN-103905"/>
    <x v="3905"/>
    <x v="1"/>
    <x v="1"/>
    <n v="9"/>
    <n v="165.19"/>
    <n v="11.19"/>
    <n v="1486.71"/>
  </r>
  <r>
    <s v="TXN-103906"/>
    <x v="3906"/>
    <x v="0"/>
    <x v="0"/>
    <n v="7"/>
    <n v="53.64"/>
    <n v="45.02"/>
    <n v="375.48"/>
  </r>
  <r>
    <s v="TXN-103907"/>
    <x v="3907"/>
    <x v="0"/>
    <x v="1"/>
    <n v="16"/>
    <n v="223.75"/>
    <n v="46.11"/>
    <n v="3580"/>
  </r>
  <r>
    <s v="TXN-103908"/>
    <x v="3908"/>
    <x v="0"/>
    <x v="2"/>
    <n v="19"/>
    <n v="332.12"/>
    <n v="25.73"/>
    <n v="6310.28"/>
  </r>
  <r>
    <s v="TXN-103909"/>
    <x v="3909"/>
    <x v="2"/>
    <x v="3"/>
    <n v="7"/>
    <n v="261.82"/>
    <n v="41.31"/>
    <n v="1832.74"/>
  </r>
  <r>
    <s v="TXN-103910"/>
    <x v="3910"/>
    <x v="1"/>
    <x v="2"/>
    <n v="6"/>
    <n v="100.85"/>
    <n v="21.34"/>
    <n v="605.09999999999991"/>
  </r>
  <r>
    <s v="TXN-103911"/>
    <x v="3911"/>
    <x v="3"/>
    <x v="2"/>
    <n v="18"/>
    <n v="300.02"/>
    <n v="43.62"/>
    <n v="5400.36"/>
  </r>
  <r>
    <s v="TXN-103912"/>
    <x v="3912"/>
    <x v="2"/>
    <x v="3"/>
    <n v="19"/>
    <n v="313.07"/>
    <n v="42.11"/>
    <n v="5948.33"/>
  </r>
  <r>
    <s v="TXN-103913"/>
    <x v="3913"/>
    <x v="2"/>
    <x v="0"/>
    <n v="11"/>
    <n v="420.65"/>
    <n v="8.5299999999999994"/>
    <n v="4627.1499999999996"/>
  </r>
  <r>
    <s v="TXN-103914"/>
    <x v="3914"/>
    <x v="2"/>
    <x v="3"/>
    <n v="12"/>
    <n v="79.28"/>
    <n v="31.22"/>
    <n v="951.36"/>
  </r>
  <r>
    <s v="TXN-103915"/>
    <x v="3915"/>
    <x v="3"/>
    <x v="0"/>
    <n v="10"/>
    <n v="316.32"/>
    <n v="33.799999999999997"/>
    <n v="3163.2"/>
  </r>
  <r>
    <s v="TXN-103916"/>
    <x v="3916"/>
    <x v="1"/>
    <x v="0"/>
    <n v="13"/>
    <n v="411.52"/>
    <n v="5.04"/>
    <n v="5349.76"/>
  </r>
  <r>
    <s v="TXN-103917"/>
    <x v="3917"/>
    <x v="1"/>
    <x v="1"/>
    <n v="12"/>
    <n v="233.43"/>
    <n v="49.1"/>
    <n v="2801.16"/>
  </r>
  <r>
    <s v="TXN-103918"/>
    <x v="3918"/>
    <x v="1"/>
    <x v="1"/>
    <n v="10"/>
    <n v="172.7"/>
    <n v="23.3"/>
    <n v="1727"/>
  </r>
  <r>
    <s v="TXN-103919"/>
    <x v="3919"/>
    <x v="0"/>
    <x v="3"/>
    <n v="18"/>
    <n v="89.69"/>
    <n v="28.28"/>
    <n v="1614.42"/>
  </r>
  <r>
    <s v="TXN-103920"/>
    <x v="3920"/>
    <x v="0"/>
    <x v="2"/>
    <n v="4"/>
    <n v="392.12"/>
    <n v="13.77"/>
    <n v="1568.48"/>
  </r>
  <r>
    <s v="TXN-103921"/>
    <x v="3921"/>
    <x v="0"/>
    <x v="3"/>
    <n v="5"/>
    <n v="186.8"/>
    <n v="32.49"/>
    <n v="934"/>
  </r>
  <r>
    <s v="TXN-103922"/>
    <x v="3922"/>
    <x v="3"/>
    <x v="0"/>
    <n v="5"/>
    <n v="417.36"/>
    <n v="41.48"/>
    <n v="2086.8000000000002"/>
  </r>
  <r>
    <s v="TXN-103923"/>
    <x v="3923"/>
    <x v="0"/>
    <x v="1"/>
    <n v="12"/>
    <n v="383.85"/>
    <n v="31.37"/>
    <n v="4606.2000000000007"/>
  </r>
  <r>
    <s v="TXN-103924"/>
    <x v="3924"/>
    <x v="3"/>
    <x v="3"/>
    <n v="3"/>
    <n v="179.15"/>
    <n v="40.46"/>
    <n v="537.45000000000005"/>
  </r>
  <r>
    <s v="TXN-103925"/>
    <x v="3925"/>
    <x v="1"/>
    <x v="3"/>
    <n v="8"/>
    <n v="264.87"/>
    <n v="37.9"/>
    <n v="2118.96"/>
  </r>
  <r>
    <s v="TXN-103926"/>
    <x v="3926"/>
    <x v="0"/>
    <x v="1"/>
    <n v="2"/>
    <n v="27.31"/>
    <n v="15.69"/>
    <n v="54.62"/>
  </r>
  <r>
    <s v="TXN-103927"/>
    <x v="3927"/>
    <x v="0"/>
    <x v="1"/>
    <n v="18"/>
    <n v="129.87"/>
    <n v="24.61"/>
    <n v="2337.66"/>
  </r>
  <r>
    <s v="TXN-103928"/>
    <x v="3928"/>
    <x v="2"/>
    <x v="1"/>
    <n v="9"/>
    <n v="324.11"/>
    <n v="11.69"/>
    <n v="2916.9900000000002"/>
  </r>
  <r>
    <s v="TXN-103929"/>
    <x v="3929"/>
    <x v="3"/>
    <x v="0"/>
    <n v="13"/>
    <n v="310.05"/>
    <n v="6.89"/>
    <n v="4030.65"/>
  </r>
  <r>
    <s v="TXN-103930"/>
    <x v="3930"/>
    <x v="1"/>
    <x v="1"/>
    <n v="7"/>
    <n v="169.04"/>
    <n v="7.84"/>
    <n v="1183.28"/>
  </r>
  <r>
    <s v="TXN-103931"/>
    <x v="3931"/>
    <x v="2"/>
    <x v="2"/>
    <n v="10"/>
    <n v="366.84"/>
    <n v="47.41"/>
    <n v="3668.3999999999996"/>
  </r>
  <r>
    <s v="TXN-103932"/>
    <x v="3932"/>
    <x v="2"/>
    <x v="3"/>
    <n v="9"/>
    <n v="117.97"/>
    <n v="49.3"/>
    <n v="1061.73"/>
  </r>
  <r>
    <s v="TXN-103933"/>
    <x v="3933"/>
    <x v="1"/>
    <x v="1"/>
    <n v="15"/>
    <n v="215.92"/>
    <n v="9.27"/>
    <n v="3238.7999999999997"/>
  </r>
  <r>
    <s v="TXN-103934"/>
    <x v="3934"/>
    <x v="2"/>
    <x v="1"/>
    <n v="5"/>
    <n v="220.81"/>
    <n v="20.079999999999998"/>
    <n v="1104.05"/>
  </r>
  <r>
    <s v="TXN-103935"/>
    <x v="3935"/>
    <x v="3"/>
    <x v="0"/>
    <n v="12"/>
    <n v="163.58000000000001"/>
    <n v="10.15"/>
    <n v="1962.96"/>
  </r>
  <r>
    <s v="TXN-103936"/>
    <x v="3936"/>
    <x v="3"/>
    <x v="0"/>
    <n v="1"/>
    <n v="430.3"/>
    <n v="42.54"/>
    <n v="430.3"/>
  </r>
  <r>
    <s v="TXN-103937"/>
    <x v="3937"/>
    <x v="0"/>
    <x v="3"/>
    <n v="12"/>
    <n v="318.20999999999998"/>
    <n v="27.33"/>
    <n v="3818.5199999999995"/>
  </r>
  <r>
    <s v="TXN-103938"/>
    <x v="3938"/>
    <x v="2"/>
    <x v="2"/>
    <n v="6"/>
    <n v="249.78"/>
    <n v="32.96"/>
    <n v="1498.68"/>
  </r>
  <r>
    <s v="TXN-103939"/>
    <x v="3939"/>
    <x v="0"/>
    <x v="3"/>
    <n v="19"/>
    <n v="237.32"/>
    <n v="29.3"/>
    <n v="4509.08"/>
  </r>
  <r>
    <s v="TXN-103940"/>
    <x v="3940"/>
    <x v="2"/>
    <x v="1"/>
    <n v="19"/>
    <n v="84.71"/>
    <n v="36.96"/>
    <n v="1609.4899999999998"/>
  </r>
  <r>
    <s v="TXN-103941"/>
    <x v="3941"/>
    <x v="3"/>
    <x v="2"/>
    <n v="16"/>
    <n v="177.22"/>
    <n v="19.36"/>
    <n v="2835.52"/>
  </r>
  <r>
    <s v="TXN-103942"/>
    <x v="3942"/>
    <x v="3"/>
    <x v="2"/>
    <n v="19"/>
    <n v="307.82"/>
    <n v="11.19"/>
    <n v="5848.58"/>
  </r>
  <r>
    <s v="TXN-103943"/>
    <x v="3943"/>
    <x v="3"/>
    <x v="2"/>
    <n v="3"/>
    <n v="417.23"/>
    <n v="5.79"/>
    <n v="1251.69"/>
  </r>
  <r>
    <s v="TXN-103944"/>
    <x v="3944"/>
    <x v="2"/>
    <x v="2"/>
    <n v="10"/>
    <n v="370.25"/>
    <n v="25.06"/>
    <n v="3702.5"/>
  </r>
  <r>
    <s v="TXN-103945"/>
    <x v="3945"/>
    <x v="3"/>
    <x v="3"/>
    <n v="18"/>
    <n v="146.02000000000001"/>
    <n v="45.85"/>
    <n v="2628.36"/>
  </r>
  <r>
    <s v="TXN-103946"/>
    <x v="3946"/>
    <x v="2"/>
    <x v="0"/>
    <n v="13"/>
    <n v="204.05"/>
    <n v="18.739999999999998"/>
    <n v="2652.65"/>
  </r>
  <r>
    <s v="TXN-103947"/>
    <x v="3947"/>
    <x v="0"/>
    <x v="0"/>
    <n v="18"/>
    <n v="51.53"/>
    <n v="13.82"/>
    <n v="927.54"/>
  </r>
  <r>
    <s v="TXN-103948"/>
    <x v="3948"/>
    <x v="2"/>
    <x v="1"/>
    <n v="3"/>
    <n v="59.89"/>
    <n v="46.67"/>
    <n v="179.67000000000002"/>
  </r>
  <r>
    <s v="TXN-103949"/>
    <x v="3949"/>
    <x v="0"/>
    <x v="0"/>
    <n v="3"/>
    <n v="219.82"/>
    <n v="9.75"/>
    <n v="659.46"/>
  </r>
  <r>
    <s v="TXN-103950"/>
    <x v="3950"/>
    <x v="2"/>
    <x v="0"/>
    <n v="12"/>
    <n v="245.88"/>
    <n v="7.33"/>
    <n v="2950.56"/>
  </r>
  <r>
    <s v="TXN-103951"/>
    <x v="3951"/>
    <x v="0"/>
    <x v="0"/>
    <n v="7"/>
    <n v="130.22"/>
    <n v="44.57"/>
    <n v="911.54"/>
  </r>
  <r>
    <s v="TXN-103952"/>
    <x v="3952"/>
    <x v="3"/>
    <x v="0"/>
    <n v="8"/>
    <n v="294.79000000000002"/>
    <n v="36.54"/>
    <n v="2358.3200000000002"/>
  </r>
  <r>
    <s v="TXN-103953"/>
    <x v="3953"/>
    <x v="0"/>
    <x v="1"/>
    <n v="9"/>
    <n v="321.12"/>
    <n v="23.99"/>
    <n v="2890.08"/>
  </r>
  <r>
    <s v="TXN-103954"/>
    <x v="3954"/>
    <x v="3"/>
    <x v="3"/>
    <n v="14"/>
    <n v="145.47"/>
    <n v="38.86"/>
    <n v="2036.58"/>
  </r>
  <r>
    <s v="TXN-103955"/>
    <x v="3955"/>
    <x v="3"/>
    <x v="2"/>
    <n v="5"/>
    <n v="345.04"/>
    <n v="38.36"/>
    <n v="1725.2"/>
  </r>
  <r>
    <s v="TXN-103956"/>
    <x v="3956"/>
    <x v="0"/>
    <x v="0"/>
    <n v="19"/>
    <n v="104.84"/>
    <n v="6.8"/>
    <n v="1991.96"/>
  </r>
  <r>
    <s v="TXN-103957"/>
    <x v="3957"/>
    <x v="2"/>
    <x v="3"/>
    <n v="16"/>
    <n v="251.98"/>
    <n v="35.43"/>
    <n v="4031.68"/>
  </r>
  <r>
    <s v="TXN-103958"/>
    <x v="3958"/>
    <x v="2"/>
    <x v="0"/>
    <n v="12"/>
    <n v="364.96"/>
    <n v="33.840000000000003"/>
    <n v="4379.5199999999995"/>
  </r>
  <r>
    <s v="TXN-103959"/>
    <x v="3959"/>
    <x v="1"/>
    <x v="0"/>
    <n v="4"/>
    <n v="248.83"/>
    <n v="48.37"/>
    <n v="995.32"/>
  </r>
  <r>
    <s v="TXN-103960"/>
    <x v="3960"/>
    <x v="2"/>
    <x v="2"/>
    <n v="8"/>
    <n v="410.01"/>
    <n v="48.5"/>
    <n v="3280.08"/>
  </r>
  <r>
    <s v="TXN-103961"/>
    <x v="3961"/>
    <x v="1"/>
    <x v="2"/>
    <n v="7"/>
    <n v="40.92"/>
    <n v="22"/>
    <n v="286.44"/>
  </r>
  <r>
    <s v="TXN-103962"/>
    <x v="3962"/>
    <x v="2"/>
    <x v="2"/>
    <n v="15"/>
    <n v="271.12"/>
    <n v="31.54"/>
    <n v="4066.8"/>
  </r>
  <r>
    <s v="TXN-103963"/>
    <x v="3963"/>
    <x v="2"/>
    <x v="0"/>
    <n v="6"/>
    <n v="259.58"/>
    <n v="11.36"/>
    <n v="1557.48"/>
  </r>
  <r>
    <s v="TXN-103964"/>
    <x v="3964"/>
    <x v="3"/>
    <x v="0"/>
    <n v="5"/>
    <n v="302.42"/>
    <n v="7.99"/>
    <n v="1512.1000000000001"/>
  </r>
  <r>
    <s v="TXN-103965"/>
    <x v="3965"/>
    <x v="1"/>
    <x v="0"/>
    <n v="14"/>
    <n v="377.62"/>
    <n v="24.48"/>
    <n v="5286.68"/>
  </r>
  <r>
    <s v="TXN-103966"/>
    <x v="3966"/>
    <x v="2"/>
    <x v="2"/>
    <n v="13"/>
    <n v="330.88"/>
    <n v="36.04"/>
    <n v="4301.4399999999996"/>
  </r>
  <r>
    <s v="TXN-103967"/>
    <x v="3967"/>
    <x v="1"/>
    <x v="1"/>
    <n v="10"/>
    <n v="358.88"/>
    <n v="30.55"/>
    <n v="3588.8"/>
  </r>
  <r>
    <s v="TXN-103968"/>
    <x v="3968"/>
    <x v="3"/>
    <x v="3"/>
    <n v="18"/>
    <n v="140.99"/>
    <n v="24.33"/>
    <n v="2537.8200000000002"/>
  </r>
  <r>
    <s v="TXN-103969"/>
    <x v="3969"/>
    <x v="3"/>
    <x v="1"/>
    <n v="4"/>
    <n v="183.87"/>
    <n v="41.82"/>
    <n v="735.48"/>
  </r>
  <r>
    <s v="TXN-103970"/>
    <x v="3970"/>
    <x v="1"/>
    <x v="0"/>
    <n v="8"/>
    <n v="287.83"/>
    <n v="40.75"/>
    <n v="2302.64"/>
  </r>
  <r>
    <s v="TXN-103971"/>
    <x v="3971"/>
    <x v="3"/>
    <x v="0"/>
    <n v="11"/>
    <n v="255.98"/>
    <n v="37.94"/>
    <n v="2815.7799999999997"/>
  </r>
  <r>
    <s v="TXN-103972"/>
    <x v="3972"/>
    <x v="0"/>
    <x v="1"/>
    <n v="17"/>
    <n v="433.1"/>
    <n v="8.4700000000000006"/>
    <n v="7362.7000000000007"/>
  </r>
  <r>
    <s v="TXN-103973"/>
    <x v="3973"/>
    <x v="0"/>
    <x v="0"/>
    <n v="18"/>
    <n v="96.68"/>
    <n v="40.840000000000003"/>
    <n v="1740.2400000000002"/>
  </r>
  <r>
    <s v="TXN-103974"/>
    <x v="3974"/>
    <x v="3"/>
    <x v="3"/>
    <n v="11"/>
    <n v="168.13"/>
    <n v="46.37"/>
    <n v="1849.4299999999998"/>
  </r>
  <r>
    <s v="TXN-103975"/>
    <x v="3975"/>
    <x v="0"/>
    <x v="0"/>
    <n v="16"/>
    <n v="264.36"/>
    <n v="7.67"/>
    <n v="4229.76"/>
  </r>
  <r>
    <s v="TXN-103976"/>
    <x v="3976"/>
    <x v="2"/>
    <x v="3"/>
    <n v="12"/>
    <n v="392.63"/>
    <n v="23.08"/>
    <n v="4711.5599999999995"/>
  </r>
  <r>
    <s v="TXN-103977"/>
    <x v="3977"/>
    <x v="1"/>
    <x v="1"/>
    <n v="13"/>
    <n v="419.3"/>
    <n v="49.48"/>
    <n v="5450.9000000000005"/>
  </r>
  <r>
    <s v="TXN-103978"/>
    <x v="3978"/>
    <x v="2"/>
    <x v="1"/>
    <n v="16"/>
    <n v="161.51"/>
    <n v="31.97"/>
    <n v="2584.16"/>
  </r>
  <r>
    <s v="TXN-103979"/>
    <x v="3979"/>
    <x v="1"/>
    <x v="0"/>
    <n v="1"/>
    <n v="44.66"/>
    <n v="28.11"/>
    <n v="44.66"/>
  </r>
  <r>
    <s v="TXN-103980"/>
    <x v="3980"/>
    <x v="3"/>
    <x v="3"/>
    <n v="16"/>
    <n v="198.69"/>
    <n v="12.99"/>
    <n v="3179.04"/>
  </r>
  <r>
    <s v="TXN-103981"/>
    <x v="3981"/>
    <x v="2"/>
    <x v="0"/>
    <n v="15"/>
    <n v="186.84"/>
    <n v="30.45"/>
    <n v="2802.6"/>
  </r>
  <r>
    <s v="TXN-103982"/>
    <x v="3982"/>
    <x v="3"/>
    <x v="2"/>
    <n v="6"/>
    <n v="444.13"/>
    <n v="24.76"/>
    <n v="2664.7799999999997"/>
  </r>
  <r>
    <s v="TXN-103983"/>
    <x v="3983"/>
    <x v="3"/>
    <x v="2"/>
    <n v="12"/>
    <n v="202.8"/>
    <n v="10.73"/>
    <n v="2433.6000000000004"/>
  </r>
  <r>
    <s v="TXN-103984"/>
    <x v="3984"/>
    <x v="1"/>
    <x v="2"/>
    <n v="8"/>
    <n v="148.34"/>
    <n v="25.89"/>
    <n v="1186.72"/>
  </r>
  <r>
    <s v="TXN-103985"/>
    <x v="3985"/>
    <x v="1"/>
    <x v="2"/>
    <n v="7"/>
    <n v="174.26"/>
    <n v="12.4"/>
    <n v="1219.82"/>
  </r>
  <r>
    <s v="TXN-103986"/>
    <x v="3986"/>
    <x v="1"/>
    <x v="0"/>
    <n v="2"/>
    <n v="187.96"/>
    <n v="37.880000000000003"/>
    <n v="375.92"/>
  </r>
  <r>
    <s v="TXN-103987"/>
    <x v="3987"/>
    <x v="2"/>
    <x v="2"/>
    <n v="12"/>
    <n v="372.46"/>
    <n v="48.81"/>
    <n v="4469.5199999999995"/>
  </r>
  <r>
    <s v="TXN-103988"/>
    <x v="3988"/>
    <x v="0"/>
    <x v="3"/>
    <n v="14"/>
    <n v="50.7"/>
    <n v="26.13"/>
    <n v="709.80000000000007"/>
  </r>
  <r>
    <s v="TXN-103989"/>
    <x v="3989"/>
    <x v="1"/>
    <x v="1"/>
    <n v="16"/>
    <n v="153.02000000000001"/>
    <n v="33.46"/>
    <n v="2448.3200000000002"/>
  </r>
  <r>
    <s v="TXN-103990"/>
    <x v="3990"/>
    <x v="1"/>
    <x v="1"/>
    <n v="11"/>
    <n v="435.37"/>
    <n v="24.39"/>
    <n v="4789.07"/>
  </r>
  <r>
    <s v="TXN-103991"/>
    <x v="3991"/>
    <x v="2"/>
    <x v="2"/>
    <n v="9"/>
    <n v="82.02"/>
    <n v="11.23"/>
    <n v="738.18"/>
  </r>
  <r>
    <s v="TXN-103992"/>
    <x v="3992"/>
    <x v="1"/>
    <x v="2"/>
    <n v="10"/>
    <n v="338.16"/>
    <n v="48.67"/>
    <n v="3381.6000000000004"/>
  </r>
  <r>
    <s v="TXN-103993"/>
    <x v="3993"/>
    <x v="2"/>
    <x v="2"/>
    <n v="17"/>
    <n v="170.35"/>
    <n v="10.83"/>
    <n v="2895.95"/>
  </r>
  <r>
    <s v="TXN-103994"/>
    <x v="3994"/>
    <x v="3"/>
    <x v="0"/>
    <n v="12"/>
    <n v="268.29000000000002"/>
    <n v="10.02"/>
    <n v="3219.4800000000005"/>
  </r>
  <r>
    <s v="TXN-103995"/>
    <x v="3995"/>
    <x v="1"/>
    <x v="1"/>
    <n v="6"/>
    <n v="58.75"/>
    <n v="25.66"/>
    <n v="352.5"/>
  </r>
  <r>
    <s v="TXN-103996"/>
    <x v="3996"/>
    <x v="1"/>
    <x v="2"/>
    <n v="19"/>
    <n v="148.63999999999999"/>
    <n v="34.65"/>
    <n v="2824.16"/>
  </r>
  <r>
    <s v="TXN-103997"/>
    <x v="3997"/>
    <x v="3"/>
    <x v="3"/>
    <n v="11"/>
    <n v="233.13"/>
    <n v="20.97"/>
    <n v="2564.4299999999998"/>
  </r>
  <r>
    <s v="TXN-103998"/>
    <x v="3998"/>
    <x v="3"/>
    <x v="2"/>
    <n v="9"/>
    <n v="116.17"/>
    <n v="13.66"/>
    <n v="1045.53"/>
  </r>
  <r>
    <s v="TXN-103999"/>
    <x v="3999"/>
    <x v="3"/>
    <x v="1"/>
    <n v="6"/>
    <n v="250.94"/>
    <n v="41.85"/>
    <n v="1505.6399999999999"/>
  </r>
  <r>
    <s v="TXN-104000"/>
    <x v="4000"/>
    <x v="1"/>
    <x v="2"/>
    <n v="16"/>
    <n v="110.99"/>
    <n v="21.34"/>
    <n v="1775.84"/>
  </r>
  <r>
    <s v="TXN-104001"/>
    <x v="4001"/>
    <x v="0"/>
    <x v="1"/>
    <n v="16"/>
    <n v="297.97000000000003"/>
    <n v="13.74"/>
    <n v="4767.5200000000004"/>
  </r>
  <r>
    <s v="TXN-104002"/>
    <x v="4002"/>
    <x v="0"/>
    <x v="2"/>
    <n v="6"/>
    <n v="408.44"/>
    <n v="21.43"/>
    <n v="2450.64"/>
  </r>
  <r>
    <s v="TXN-104003"/>
    <x v="4003"/>
    <x v="0"/>
    <x v="3"/>
    <n v="5"/>
    <n v="52.64"/>
    <n v="14.65"/>
    <n v="263.2"/>
  </r>
  <r>
    <s v="TXN-104004"/>
    <x v="4004"/>
    <x v="1"/>
    <x v="2"/>
    <n v="4"/>
    <n v="109.62"/>
    <n v="28.38"/>
    <n v="438.48"/>
  </r>
  <r>
    <s v="TXN-104005"/>
    <x v="4005"/>
    <x v="3"/>
    <x v="3"/>
    <n v="2"/>
    <n v="382.4"/>
    <n v="35.07"/>
    <n v="764.8"/>
  </r>
  <r>
    <s v="TXN-104006"/>
    <x v="4006"/>
    <x v="1"/>
    <x v="3"/>
    <n v="6"/>
    <n v="289.91000000000003"/>
    <n v="40.98"/>
    <n v="1739.46"/>
  </r>
  <r>
    <s v="TXN-104007"/>
    <x v="4007"/>
    <x v="3"/>
    <x v="2"/>
    <n v="9"/>
    <n v="49.7"/>
    <n v="15.24"/>
    <n v="447.3"/>
  </r>
  <r>
    <s v="TXN-104008"/>
    <x v="4008"/>
    <x v="1"/>
    <x v="3"/>
    <n v="17"/>
    <n v="226.82"/>
    <n v="12.51"/>
    <n v="3855.94"/>
  </r>
  <r>
    <s v="TXN-104009"/>
    <x v="4009"/>
    <x v="1"/>
    <x v="0"/>
    <n v="14"/>
    <n v="106.64"/>
    <n v="5.88"/>
    <n v="1492.96"/>
  </r>
  <r>
    <s v="TXN-104010"/>
    <x v="4010"/>
    <x v="3"/>
    <x v="2"/>
    <n v="7"/>
    <n v="102.01"/>
    <n v="15.26"/>
    <n v="714.07"/>
  </r>
  <r>
    <s v="TXN-104011"/>
    <x v="4011"/>
    <x v="0"/>
    <x v="2"/>
    <n v="19"/>
    <n v="424.21"/>
    <n v="6.08"/>
    <n v="8059.99"/>
  </r>
  <r>
    <s v="TXN-104012"/>
    <x v="4012"/>
    <x v="3"/>
    <x v="3"/>
    <n v="1"/>
    <n v="346.39"/>
    <n v="20.55"/>
    <n v="346.39"/>
  </r>
  <r>
    <s v="TXN-104013"/>
    <x v="4013"/>
    <x v="2"/>
    <x v="3"/>
    <n v="15"/>
    <n v="318.01"/>
    <n v="11.56"/>
    <n v="4770.1499999999996"/>
  </r>
  <r>
    <s v="TXN-104014"/>
    <x v="4014"/>
    <x v="2"/>
    <x v="2"/>
    <n v="18"/>
    <n v="119.31"/>
    <n v="31.1"/>
    <n v="2147.58"/>
  </r>
  <r>
    <s v="TXN-104015"/>
    <x v="4015"/>
    <x v="3"/>
    <x v="0"/>
    <n v="3"/>
    <n v="67.02"/>
    <n v="22.27"/>
    <n v="201.06"/>
  </r>
  <r>
    <s v="TXN-104016"/>
    <x v="4016"/>
    <x v="1"/>
    <x v="3"/>
    <n v="18"/>
    <n v="393.88"/>
    <n v="9.2100000000000009"/>
    <n v="7089.84"/>
  </r>
  <r>
    <s v="TXN-104017"/>
    <x v="4017"/>
    <x v="2"/>
    <x v="3"/>
    <n v="2"/>
    <n v="18.05"/>
    <n v="22.99"/>
    <n v="36.1"/>
  </r>
  <r>
    <s v="TXN-104018"/>
    <x v="4018"/>
    <x v="2"/>
    <x v="1"/>
    <n v="10"/>
    <n v="184.13"/>
    <n v="14.42"/>
    <n v="1841.3"/>
  </r>
  <r>
    <s v="TXN-104019"/>
    <x v="4019"/>
    <x v="1"/>
    <x v="0"/>
    <n v="11"/>
    <n v="136.12"/>
    <n v="35.61"/>
    <n v="1497.3200000000002"/>
  </r>
  <r>
    <s v="TXN-104020"/>
    <x v="4020"/>
    <x v="1"/>
    <x v="0"/>
    <n v="3"/>
    <n v="263.33"/>
    <n v="21.4"/>
    <n v="789.99"/>
  </r>
  <r>
    <s v="TXN-104021"/>
    <x v="4021"/>
    <x v="0"/>
    <x v="2"/>
    <n v="7"/>
    <n v="124.35"/>
    <n v="11.62"/>
    <n v="870.44999999999993"/>
  </r>
  <r>
    <s v="TXN-104022"/>
    <x v="4022"/>
    <x v="1"/>
    <x v="0"/>
    <n v="8"/>
    <n v="150.72"/>
    <n v="20.73"/>
    <n v="1205.76"/>
  </r>
  <r>
    <s v="TXN-104023"/>
    <x v="4023"/>
    <x v="3"/>
    <x v="2"/>
    <n v="19"/>
    <n v="384.84"/>
    <n v="15.1"/>
    <n v="7311.9599999999991"/>
  </r>
  <r>
    <s v="TXN-104024"/>
    <x v="4024"/>
    <x v="3"/>
    <x v="1"/>
    <n v="18"/>
    <n v="277.58999999999997"/>
    <n v="40.81"/>
    <n v="4996.62"/>
  </r>
  <r>
    <s v="TXN-104025"/>
    <x v="4025"/>
    <x v="0"/>
    <x v="0"/>
    <n v="13"/>
    <n v="78.8"/>
    <n v="49.25"/>
    <n v="1024.3999999999999"/>
  </r>
  <r>
    <s v="TXN-104026"/>
    <x v="4026"/>
    <x v="2"/>
    <x v="3"/>
    <n v="13"/>
    <n v="331.15"/>
    <n v="6.15"/>
    <n v="4304.95"/>
  </r>
  <r>
    <s v="TXN-104027"/>
    <x v="4027"/>
    <x v="2"/>
    <x v="1"/>
    <n v="19"/>
    <n v="105.64"/>
    <n v="36.049999999999997"/>
    <n v="2007.16"/>
  </r>
  <r>
    <s v="TXN-104028"/>
    <x v="4028"/>
    <x v="1"/>
    <x v="2"/>
    <n v="12"/>
    <n v="203.64"/>
    <n v="16.88"/>
    <n v="2443.6799999999998"/>
  </r>
  <r>
    <s v="TXN-104029"/>
    <x v="4029"/>
    <x v="3"/>
    <x v="1"/>
    <n v="17"/>
    <n v="296.45"/>
    <n v="7.99"/>
    <n v="5039.6499999999996"/>
  </r>
  <r>
    <s v="TXN-104030"/>
    <x v="4030"/>
    <x v="2"/>
    <x v="2"/>
    <n v="12"/>
    <n v="133.65"/>
    <n v="5.65"/>
    <n v="1603.8000000000002"/>
  </r>
  <r>
    <s v="TXN-104031"/>
    <x v="4031"/>
    <x v="0"/>
    <x v="1"/>
    <n v="13"/>
    <n v="182.39"/>
    <n v="44.65"/>
    <n v="2371.0699999999997"/>
  </r>
  <r>
    <s v="TXN-104032"/>
    <x v="4032"/>
    <x v="0"/>
    <x v="2"/>
    <n v="12"/>
    <n v="334.49"/>
    <n v="20.91"/>
    <n v="4013.88"/>
  </r>
  <r>
    <s v="TXN-104033"/>
    <x v="4033"/>
    <x v="3"/>
    <x v="0"/>
    <n v="19"/>
    <n v="423.02"/>
    <n v="49.75"/>
    <n v="8037.3799999999992"/>
  </r>
  <r>
    <s v="TXN-104034"/>
    <x v="4034"/>
    <x v="0"/>
    <x v="3"/>
    <n v="14"/>
    <n v="245.46"/>
    <n v="24.91"/>
    <n v="3436.44"/>
  </r>
  <r>
    <s v="TXN-104035"/>
    <x v="4035"/>
    <x v="0"/>
    <x v="2"/>
    <n v="7"/>
    <n v="19.829999999999998"/>
    <n v="13.44"/>
    <n v="138.81"/>
  </r>
  <r>
    <s v="TXN-104036"/>
    <x v="4036"/>
    <x v="3"/>
    <x v="1"/>
    <n v="13"/>
    <n v="162.56"/>
    <n v="39.97"/>
    <n v="2113.2800000000002"/>
  </r>
  <r>
    <s v="TXN-104037"/>
    <x v="4037"/>
    <x v="1"/>
    <x v="2"/>
    <n v="6"/>
    <n v="188.71"/>
    <n v="46.69"/>
    <n v="1132.26"/>
  </r>
  <r>
    <s v="TXN-104038"/>
    <x v="4038"/>
    <x v="1"/>
    <x v="2"/>
    <n v="19"/>
    <n v="162.87"/>
    <n v="41.7"/>
    <n v="3094.53"/>
  </r>
  <r>
    <s v="TXN-104039"/>
    <x v="4039"/>
    <x v="0"/>
    <x v="2"/>
    <n v="19"/>
    <n v="205.06"/>
    <n v="38.53"/>
    <n v="3896.14"/>
  </r>
  <r>
    <s v="TXN-104040"/>
    <x v="4040"/>
    <x v="1"/>
    <x v="1"/>
    <n v="4"/>
    <n v="290.39"/>
    <n v="20.059999999999999"/>
    <n v="1161.56"/>
  </r>
  <r>
    <s v="TXN-104041"/>
    <x v="4041"/>
    <x v="1"/>
    <x v="3"/>
    <n v="19"/>
    <n v="68.13"/>
    <n v="7.9"/>
    <n v="1294.4699999999998"/>
  </r>
  <r>
    <s v="TXN-104042"/>
    <x v="4042"/>
    <x v="0"/>
    <x v="0"/>
    <n v="9"/>
    <n v="133.96"/>
    <n v="14.06"/>
    <n v="1205.6400000000001"/>
  </r>
  <r>
    <s v="TXN-104043"/>
    <x v="4043"/>
    <x v="1"/>
    <x v="3"/>
    <n v="16"/>
    <n v="236.07"/>
    <n v="25.11"/>
    <n v="3777.12"/>
  </r>
  <r>
    <s v="TXN-104044"/>
    <x v="4044"/>
    <x v="0"/>
    <x v="2"/>
    <n v="4"/>
    <n v="152.62"/>
    <n v="48.03"/>
    <n v="610.48"/>
  </r>
  <r>
    <s v="TXN-104045"/>
    <x v="4045"/>
    <x v="2"/>
    <x v="1"/>
    <n v="6"/>
    <n v="446.13"/>
    <n v="37.53"/>
    <n v="2676.7799999999997"/>
  </r>
  <r>
    <s v="TXN-104046"/>
    <x v="4046"/>
    <x v="3"/>
    <x v="3"/>
    <n v="8"/>
    <n v="202.96"/>
    <n v="42.27"/>
    <n v="1623.68"/>
  </r>
  <r>
    <s v="TXN-104047"/>
    <x v="4047"/>
    <x v="3"/>
    <x v="2"/>
    <n v="16"/>
    <n v="393.43"/>
    <n v="17.48"/>
    <n v="6294.88"/>
  </r>
  <r>
    <s v="TXN-104048"/>
    <x v="4048"/>
    <x v="1"/>
    <x v="0"/>
    <n v="5"/>
    <n v="405.03"/>
    <n v="35.770000000000003"/>
    <n v="2025.1499999999999"/>
  </r>
  <r>
    <s v="TXN-104049"/>
    <x v="4049"/>
    <x v="1"/>
    <x v="0"/>
    <n v="10"/>
    <n v="378.75"/>
    <n v="43.81"/>
    <n v="3787.5"/>
  </r>
  <r>
    <s v="TXN-104050"/>
    <x v="4050"/>
    <x v="1"/>
    <x v="0"/>
    <n v="13"/>
    <n v="35.880000000000003"/>
    <n v="26.57"/>
    <n v="466.44000000000005"/>
  </r>
  <r>
    <s v="TXN-104051"/>
    <x v="4051"/>
    <x v="3"/>
    <x v="2"/>
    <n v="14"/>
    <n v="427.3"/>
    <n v="24.35"/>
    <n v="5982.2"/>
  </r>
  <r>
    <s v="TXN-104052"/>
    <x v="4052"/>
    <x v="2"/>
    <x v="1"/>
    <n v="7"/>
    <n v="71.44"/>
    <n v="37.369999999999997"/>
    <n v="500.08"/>
  </r>
  <r>
    <s v="TXN-104053"/>
    <x v="4053"/>
    <x v="2"/>
    <x v="3"/>
    <n v="6"/>
    <n v="30.45"/>
    <n v="30.2"/>
    <n v="182.7"/>
  </r>
  <r>
    <s v="TXN-104054"/>
    <x v="4054"/>
    <x v="3"/>
    <x v="0"/>
    <n v="7"/>
    <n v="195.54"/>
    <n v="49.69"/>
    <n v="1368.78"/>
  </r>
  <r>
    <s v="TXN-104055"/>
    <x v="4055"/>
    <x v="2"/>
    <x v="2"/>
    <n v="5"/>
    <n v="100.07"/>
    <n v="24.13"/>
    <n v="500.34999999999997"/>
  </r>
  <r>
    <s v="TXN-104056"/>
    <x v="4056"/>
    <x v="3"/>
    <x v="2"/>
    <n v="18"/>
    <n v="95.53"/>
    <n v="12.92"/>
    <n v="1719.54"/>
  </r>
  <r>
    <s v="TXN-104057"/>
    <x v="4057"/>
    <x v="2"/>
    <x v="3"/>
    <n v="12"/>
    <n v="140.56"/>
    <n v="26.24"/>
    <n v="1686.72"/>
  </r>
  <r>
    <s v="TXN-104058"/>
    <x v="4058"/>
    <x v="0"/>
    <x v="0"/>
    <n v="6"/>
    <n v="123.43"/>
    <n v="15.58"/>
    <n v="740.58"/>
  </r>
  <r>
    <s v="TXN-104059"/>
    <x v="4059"/>
    <x v="0"/>
    <x v="2"/>
    <n v="1"/>
    <n v="313.04000000000002"/>
    <n v="30.26"/>
    <n v="313.04000000000002"/>
  </r>
  <r>
    <s v="TXN-104060"/>
    <x v="4060"/>
    <x v="3"/>
    <x v="3"/>
    <n v="4"/>
    <n v="96.65"/>
    <n v="10.66"/>
    <n v="386.6"/>
  </r>
  <r>
    <s v="TXN-104061"/>
    <x v="4061"/>
    <x v="2"/>
    <x v="1"/>
    <n v="19"/>
    <n v="251.48"/>
    <n v="47.75"/>
    <n v="4778.12"/>
  </r>
  <r>
    <s v="TXN-104062"/>
    <x v="4062"/>
    <x v="1"/>
    <x v="1"/>
    <n v="12"/>
    <n v="444.1"/>
    <n v="43.69"/>
    <n v="5329.2000000000007"/>
  </r>
  <r>
    <s v="TXN-104063"/>
    <x v="4063"/>
    <x v="2"/>
    <x v="1"/>
    <n v="15"/>
    <n v="203.37"/>
    <n v="12"/>
    <n v="3050.55"/>
  </r>
  <r>
    <s v="TXN-104064"/>
    <x v="4064"/>
    <x v="0"/>
    <x v="0"/>
    <n v="3"/>
    <n v="294.39"/>
    <n v="12.76"/>
    <n v="883.17"/>
  </r>
  <r>
    <s v="TXN-104065"/>
    <x v="4065"/>
    <x v="0"/>
    <x v="3"/>
    <n v="8"/>
    <n v="436.69"/>
    <n v="28.06"/>
    <n v="3493.52"/>
  </r>
  <r>
    <s v="TXN-104066"/>
    <x v="4066"/>
    <x v="2"/>
    <x v="3"/>
    <n v="11"/>
    <n v="75.3"/>
    <n v="39.78"/>
    <n v="828.3"/>
  </r>
  <r>
    <s v="TXN-104067"/>
    <x v="4067"/>
    <x v="2"/>
    <x v="2"/>
    <n v="16"/>
    <n v="197.38"/>
    <n v="14.86"/>
    <n v="3158.08"/>
  </r>
  <r>
    <s v="TXN-104068"/>
    <x v="4068"/>
    <x v="1"/>
    <x v="2"/>
    <n v="9"/>
    <n v="384.91"/>
    <n v="7.74"/>
    <n v="3464.19"/>
  </r>
  <r>
    <s v="TXN-104069"/>
    <x v="4069"/>
    <x v="1"/>
    <x v="2"/>
    <n v="3"/>
    <n v="420.59"/>
    <n v="29.55"/>
    <n v="1261.77"/>
  </r>
  <r>
    <s v="TXN-104070"/>
    <x v="4070"/>
    <x v="2"/>
    <x v="3"/>
    <n v="5"/>
    <n v="276.74"/>
    <n v="36.119999999999997"/>
    <n v="1383.7"/>
  </r>
  <r>
    <s v="TXN-104071"/>
    <x v="4071"/>
    <x v="2"/>
    <x v="2"/>
    <n v="14"/>
    <n v="77.819999999999993"/>
    <n v="16"/>
    <n v="1089.48"/>
  </r>
  <r>
    <s v="TXN-104072"/>
    <x v="4072"/>
    <x v="2"/>
    <x v="3"/>
    <n v="15"/>
    <n v="407.19"/>
    <n v="38.29"/>
    <n v="6107.85"/>
  </r>
  <r>
    <s v="TXN-104073"/>
    <x v="4073"/>
    <x v="2"/>
    <x v="3"/>
    <n v="6"/>
    <n v="91.3"/>
    <n v="47.78"/>
    <n v="547.79999999999995"/>
  </r>
  <r>
    <s v="TXN-104074"/>
    <x v="4074"/>
    <x v="3"/>
    <x v="1"/>
    <n v="4"/>
    <n v="168.83"/>
    <n v="11.17"/>
    <n v="675.32"/>
  </r>
  <r>
    <s v="TXN-104075"/>
    <x v="4075"/>
    <x v="2"/>
    <x v="2"/>
    <n v="8"/>
    <n v="178.66"/>
    <n v="28"/>
    <n v="1429.28"/>
  </r>
  <r>
    <s v="TXN-104076"/>
    <x v="4076"/>
    <x v="1"/>
    <x v="1"/>
    <n v="19"/>
    <n v="209.85"/>
    <n v="7.56"/>
    <n v="3987.15"/>
  </r>
  <r>
    <s v="TXN-104077"/>
    <x v="4077"/>
    <x v="0"/>
    <x v="0"/>
    <n v="5"/>
    <n v="358.83"/>
    <n v="14.3"/>
    <n v="1794.1499999999999"/>
  </r>
  <r>
    <s v="TXN-104078"/>
    <x v="4078"/>
    <x v="3"/>
    <x v="0"/>
    <n v="13"/>
    <n v="364.03"/>
    <n v="9.0399999999999991"/>
    <n v="4732.3899999999994"/>
  </r>
  <r>
    <s v="TXN-104079"/>
    <x v="4079"/>
    <x v="2"/>
    <x v="0"/>
    <n v="16"/>
    <n v="328.19"/>
    <n v="23.18"/>
    <n v="5251.04"/>
  </r>
  <r>
    <s v="TXN-104080"/>
    <x v="4080"/>
    <x v="0"/>
    <x v="3"/>
    <n v="1"/>
    <n v="25.11"/>
    <n v="41.94"/>
    <n v="25.11"/>
  </r>
  <r>
    <s v="TXN-104081"/>
    <x v="4081"/>
    <x v="3"/>
    <x v="3"/>
    <n v="13"/>
    <n v="260.93"/>
    <n v="30.97"/>
    <n v="3392.09"/>
  </r>
  <r>
    <s v="TXN-104082"/>
    <x v="4082"/>
    <x v="0"/>
    <x v="3"/>
    <n v="11"/>
    <n v="340.29"/>
    <n v="15.02"/>
    <n v="3743.19"/>
  </r>
  <r>
    <s v="TXN-104083"/>
    <x v="4083"/>
    <x v="2"/>
    <x v="2"/>
    <n v="8"/>
    <n v="208.69"/>
    <n v="6.8"/>
    <n v="1669.52"/>
  </r>
  <r>
    <s v="TXN-104084"/>
    <x v="4084"/>
    <x v="2"/>
    <x v="1"/>
    <n v="8"/>
    <n v="426.07"/>
    <n v="29.9"/>
    <n v="3408.56"/>
  </r>
  <r>
    <s v="TXN-104085"/>
    <x v="4085"/>
    <x v="1"/>
    <x v="3"/>
    <n v="14"/>
    <n v="373.45"/>
    <n v="10.98"/>
    <n v="5228.3"/>
  </r>
  <r>
    <s v="TXN-104086"/>
    <x v="4086"/>
    <x v="2"/>
    <x v="1"/>
    <n v="13"/>
    <n v="292.77999999999997"/>
    <n v="20.420000000000002"/>
    <n v="3806.1399999999994"/>
  </r>
  <r>
    <s v="TXN-104087"/>
    <x v="4087"/>
    <x v="2"/>
    <x v="1"/>
    <n v="3"/>
    <n v="42.62"/>
    <n v="27.96"/>
    <n v="127.85999999999999"/>
  </r>
  <r>
    <s v="TXN-104088"/>
    <x v="4088"/>
    <x v="3"/>
    <x v="1"/>
    <n v="4"/>
    <n v="298.94"/>
    <n v="45.67"/>
    <n v="1195.76"/>
  </r>
  <r>
    <s v="TXN-104089"/>
    <x v="4089"/>
    <x v="1"/>
    <x v="2"/>
    <n v="15"/>
    <n v="411.58"/>
    <n v="8.68"/>
    <n v="6173.7"/>
  </r>
  <r>
    <s v="TXN-104090"/>
    <x v="4090"/>
    <x v="3"/>
    <x v="2"/>
    <n v="15"/>
    <n v="180.37"/>
    <n v="35.090000000000003"/>
    <n v="2705.55"/>
  </r>
  <r>
    <s v="TXN-104091"/>
    <x v="4091"/>
    <x v="0"/>
    <x v="0"/>
    <n v="13"/>
    <n v="379.67"/>
    <n v="5.63"/>
    <n v="4935.71"/>
  </r>
  <r>
    <s v="TXN-104092"/>
    <x v="4092"/>
    <x v="2"/>
    <x v="0"/>
    <n v="9"/>
    <n v="151.57"/>
    <n v="33.35"/>
    <n v="1364.1299999999999"/>
  </r>
  <r>
    <s v="TXN-104093"/>
    <x v="4093"/>
    <x v="0"/>
    <x v="1"/>
    <n v="10"/>
    <n v="263.20999999999998"/>
    <n v="29.82"/>
    <n v="2632.1"/>
  </r>
  <r>
    <s v="TXN-104094"/>
    <x v="4094"/>
    <x v="3"/>
    <x v="0"/>
    <n v="12"/>
    <n v="297.24"/>
    <n v="41.53"/>
    <n v="3566.88"/>
  </r>
  <r>
    <s v="TXN-104095"/>
    <x v="4095"/>
    <x v="2"/>
    <x v="1"/>
    <n v="14"/>
    <n v="310.08999999999997"/>
    <n v="28.92"/>
    <n v="4341.2599999999993"/>
  </r>
  <r>
    <s v="TXN-104096"/>
    <x v="4096"/>
    <x v="2"/>
    <x v="2"/>
    <n v="1"/>
    <n v="398.97"/>
    <n v="20.87"/>
    <n v="398.97"/>
  </r>
  <r>
    <s v="TXN-104097"/>
    <x v="4097"/>
    <x v="3"/>
    <x v="2"/>
    <n v="14"/>
    <n v="117.44"/>
    <n v="15.92"/>
    <n v="1644.1599999999999"/>
  </r>
  <r>
    <s v="TXN-104098"/>
    <x v="4098"/>
    <x v="3"/>
    <x v="2"/>
    <n v="14"/>
    <n v="129.5"/>
    <n v="8.84"/>
    <n v="1813"/>
  </r>
  <r>
    <s v="TXN-104099"/>
    <x v="4099"/>
    <x v="3"/>
    <x v="3"/>
    <n v="8"/>
    <n v="321.41000000000003"/>
    <n v="29.06"/>
    <n v="2571.2800000000002"/>
  </r>
  <r>
    <s v="TXN-104100"/>
    <x v="4100"/>
    <x v="3"/>
    <x v="1"/>
    <n v="16"/>
    <n v="92.49"/>
    <n v="44.97"/>
    <n v="1479.84"/>
  </r>
  <r>
    <s v="TXN-104101"/>
    <x v="4101"/>
    <x v="3"/>
    <x v="2"/>
    <n v="14"/>
    <n v="217.23"/>
    <n v="28.16"/>
    <n v="3041.22"/>
  </r>
  <r>
    <s v="TXN-104102"/>
    <x v="4102"/>
    <x v="2"/>
    <x v="1"/>
    <n v="1"/>
    <n v="24.2"/>
    <n v="38.26"/>
    <n v="24.2"/>
  </r>
  <r>
    <s v="TXN-104103"/>
    <x v="4103"/>
    <x v="3"/>
    <x v="0"/>
    <n v="16"/>
    <n v="76.760000000000005"/>
    <n v="18.43"/>
    <n v="1228.1600000000001"/>
  </r>
  <r>
    <s v="TXN-104104"/>
    <x v="4104"/>
    <x v="2"/>
    <x v="0"/>
    <n v="18"/>
    <n v="310.45999999999998"/>
    <n v="25.17"/>
    <n v="5588.28"/>
  </r>
  <r>
    <s v="TXN-104105"/>
    <x v="4105"/>
    <x v="2"/>
    <x v="2"/>
    <n v="7"/>
    <n v="340.27"/>
    <n v="19.61"/>
    <n v="2381.89"/>
  </r>
  <r>
    <s v="TXN-104106"/>
    <x v="4106"/>
    <x v="3"/>
    <x v="1"/>
    <n v="15"/>
    <n v="65.61"/>
    <n v="9.92"/>
    <n v="984.15"/>
  </r>
  <r>
    <s v="TXN-104107"/>
    <x v="4107"/>
    <x v="3"/>
    <x v="2"/>
    <n v="17"/>
    <n v="114.44"/>
    <n v="23.76"/>
    <n v="1945.48"/>
  </r>
  <r>
    <s v="TXN-104108"/>
    <x v="4108"/>
    <x v="1"/>
    <x v="0"/>
    <n v="19"/>
    <n v="58.47"/>
    <n v="39.39"/>
    <n v="1110.93"/>
  </r>
  <r>
    <s v="TXN-104109"/>
    <x v="4109"/>
    <x v="2"/>
    <x v="2"/>
    <n v="13"/>
    <n v="203.82"/>
    <n v="22.77"/>
    <n v="2649.66"/>
  </r>
  <r>
    <s v="TXN-104110"/>
    <x v="4110"/>
    <x v="3"/>
    <x v="1"/>
    <n v="9"/>
    <n v="70.3"/>
    <n v="34.26"/>
    <n v="632.69999999999993"/>
  </r>
  <r>
    <s v="TXN-104111"/>
    <x v="4111"/>
    <x v="3"/>
    <x v="0"/>
    <n v="15"/>
    <n v="205.51"/>
    <n v="39.14"/>
    <n v="3082.6499999999996"/>
  </r>
  <r>
    <s v="TXN-104112"/>
    <x v="4112"/>
    <x v="3"/>
    <x v="3"/>
    <n v="3"/>
    <n v="333.6"/>
    <n v="19.52"/>
    <n v="1000.8000000000001"/>
  </r>
  <r>
    <s v="TXN-104113"/>
    <x v="4113"/>
    <x v="1"/>
    <x v="0"/>
    <n v="1"/>
    <n v="312.43"/>
    <n v="40.89"/>
    <n v="312.43"/>
  </r>
  <r>
    <s v="TXN-104114"/>
    <x v="4114"/>
    <x v="1"/>
    <x v="3"/>
    <n v="16"/>
    <n v="137.36000000000001"/>
    <n v="20.25"/>
    <n v="2197.7600000000002"/>
  </r>
  <r>
    <s v="TXN-104115"/>
    <x v="4115"/>
    <x v="0"/>
    <x v="2"/>
    <n v="8"/>
    <n v="308.25"/>
    <n v="16.52"/>
    <n v="2466"/>
  </r>
  <r>
    <s v="TXN-104116"/>
    <x v="4116"/>
    <x v="2"/>
    <x v="2"/>
    <n v="13"/>
    <n v="418.59"/>
    <n v="15.01"/>
    <n v="5441.67"/>
  </r>
  <r>
    <s v="TXN-104117"/>
    <x v="4117"/>
    <x v="0"/>
    <x v="1"/>
    <n v="8"/>
    <n v="166.5"/>
    <n v="14"/>
    <n v="1332"/>
  </r>
  <r>
    <s v="TXN-104118"/>
    <x v="4118"/>
    <x v="3"/>
    <x v="3"/>
    <n v="17"/>
    <n v="158.5"/>
    <n v="38.17"/>
    <n v="2694.5"/>
  </r>
  <r>
    <s v="TXN-104119"/>
    <x v="4119"/>
    <x v="1"/>
    <x v="2"/>
    <n v="14"/>
    <n v="263.79000000000002"/>
    <n v="44.94"/>
    <n v="3693.0600000000004"/>
  </r>
  <r>
    <s v="TXN-104120"/>
    <x v="4120"/>
    <x v="1"/>
    <x v="3"/>
    <n v="7"/>
    <n v="122.17"/>
    <n v="15.38"/>
    <n v="855.19"/>
  </r>
  <r>
    <s v="TXN-104121"/>
    <x v="4121"/>
    <x v="0"/>
    <x v="2"/>
    <n v="15"/>
    <n v="298.61"/>
    <n v="8.84"/>
    <n v="4479.1500000000005"/>
  </r>
  <r>
    <s v="TXN-104122"/>
    <x v="4122"/>
    <x v="1"/>
    <x v="0"/>
    <n v="16"/>
    <n v="377.12"/>
    <n v="19.12"/>
    <n v="6033.92"/>
  </r>
  <r>
    <s v="TXN-104123"/>
    <x v="4123"/>
    <x v="3"/>
    <x v="2"/>
    <n v="19"/>
    <n v="215.07"/>
    <n v="34.6"/>
    <n v="4086.33"/>
  </r>
  <r>
    <s v="TXN-104124"/>
    <x v="4124"/>
    <x v="1"/>
    <x v="1"/>
    <n v="6"/>
    <n v="310.75"/>
    <n v="21.58"/>
    <n v="1864.5"/>
  </r>
  <r>
    <s v="TXN-104125"/>
    <x v="4125"/>
    <x v="0"/>
    <x v="0"/>
    <n v="1"/>
    <n v="298.74"/>
    <n v="29.71"/>
    <n v="298.74"/>
  </r>
  <r>
    <s v="TXN-104126"/>
    <x v="4126"/>
    <x v="3"/>
    <x v="1"/>
    <n v="12"/>
    <n v="32.299999999999997"/>
    <n v="38.49"/>
    <n v="387.59999999999997"/>
  </r>
  <r>
    <s v="TXN-104127"/>
    <x v="4127"/>
    <x v="0"/>
    <x v="0"/>
    <n v="18"/>
    <n v="95.19"/>
    <n v="23.38"/>
    <n v="1713.42"/>
  </r>
  <r>
    <s v="TXN-104128"/>
    <x v="4128"/>
    <x v="1"/>
    <x v="3"/>
    <n v="16"/>
    <n v="403.74"/>
    <n v="49.99"/>
    <n v="6459.84"/>
  </r>
  <r>
    <s v="TXN-104129"/>
    <x v="4129"/>
    <x v="0"/>
    <x v="1"/>
    <n v="12"/>
    <n v="423.45"/>
    <n v="18.41"/>
    <n v="5081.3999999999996"/>
  </r>
  <r>
    <s v="TXN-104130"/>
    <x v="4130"/>
    <x v="0"/>
    <x v="2"/>
    <n v="13"/>
    <n v="354.6"/>
    <n v="49.02"/>
    <n v="4609.8"/>
  </r>
  <r>
    <s v="TXN-104131"/>
    <x v="4131"/>
    <x v="2"/>
    <x v="3"/>
    <n v="8"/>
    <n v="415.78"/>
    <n v="14.14"/>
    <n v="3326.24"/>
  </r>
  <r>
    <s v="TXN-104132"/>
    <x v="4132"/>
    <x v="1"/>
    <x v="2"/>
    <n v="1"/>
    <n v="148.52000000000001"/>
    <n v="9.99"/>
    <n v="148.52000000000001"/>
  </r>
  <r>
    <s v="TXN-104133"/>
    <x v="4133"/>
    <x v="1"/>
    <x v="0"/>
    <n v="7"/>
    <n v="123.13"/>
    <n v="38.79"/>
    <n v="861.91"/>
  </r>
  <r>
    <s v="TXN-104134"/>
    <x v="4134"/>
    <x v="0"/>
    <x v="0"/>
    <n v="15"/>
    <n v="182.48"/>
    <n v="36.6"/>
    <n v="2737.2"/>
  </r>
  <r>
    <s v="TXN-104135"/>
    <x v="4135"/>
    <x v="2"/>
    <x v="2"/>
    <n v="13"/>
    <n v="39.549999999999997"/>
    <n v="41.5"/>
    <n v="514.15"/>
  </r>
  <r>
    <s v="TXN-104136"/>
    <x v="4136"/>
    <x v="1"/>
    <x v="2"/>
    <n v="13"/>
    <n v="367.39"/>
    <n v="20.46"/>
    <n v="4776.07"/>
  </r>
  <r>
    <s v="TXN-104137"/>
    <x v="4137"/>
    <x v="3"/>
    <x v="3"/>
    <n v="9"/>
    <n v="443.12"/>
    <n v="46.89"/>
    <n v="3988.08"/>
  </r>
  <r>
    <s v="TXN-104138"/>
    <x v="4138"/>
    <x v="0"/>
    <x v="2"/>
    <n v="15"/>
    <n v="373.54"/>
    <n v="10.38"/>
    <n v="5603.1"/>
  </r>
  <r>
    <s v="TXN-104139"/>
    <x v="4139"/>
    <x v="1"/>
    <x v="1"/>
    <n v="4"/>
    <n v="256.64"/>
    <n v="6.36"/>
    <n v="1026.56"/>
  </r>
  <r>
    <s v="TXN-104140"/>
    <x v="4140"/>
    <x v="3"/>
    <x v="1"/>
    <n v="13"/>
    <n v="143.80000000000001"/>
    <n v="18.53"/>
    <n v="1869.4"/>
  </r>
  <r>
    <s v="TXN-104141"/>
    <x v="4141"/>
    <x v="1"/>
    <x v="2"/>
    <n v="12"/>
    <n v="101.4"/>
    <n v="40.880000000000003"/>
    <n v="1216.8000000000002"/>
  </r>
  <r>
    <s v="TXN-104142"/>
    <x v="4142"/>
    <x v="3"/>
    <x v="1"/>
    <n v="5"/>
    <n v="173.69"/>
    <n v="35.28"/>
    <n v="868.45"/>
  </r>
  <r>
    <s v="TXN-104143"/>
    <x v="4143"/>
    <x v="0"/>
    <x v="2"/>
    <n v="7"/>
    <n v="305.3"/>
    <n v="24.63"/>
    <n v="2137.1"/>
  </r>
  <r>
    <s v="TXN-104144"/>
    <x v="4144"/>
    <x v="1"/>
    <x v="3"/>
    <n v="8"/>
    <n v="209.75"/>
    <n v="16.53"/>
    <n v="1678"/>
  </r>
  <r>
    <s v="TXN-104145"/>
    <x v="4145"/>
    <x v="1"/>
    <x v="1"/>
    <n v="5"/>
    <n v="421.35"/>
    <n v="7.67"/>
    <n v="2106.75"/>
  </r>
  <r>
    <s v="TXN-104146"/>
    <x v="4146"/>
    <x v="2"/>
    <x v="1"/>
    <n v="9"/>
    <n v="386.66"/>
    <n v="20.190000000000001"/>
    <n v="3479.94"/>
  </r>
  <r>
    <s v="TXN-104147"/>
    <x v="4147"/>
    <x v="0"/>
    <x v="2"/>
    <n v="14"/>
    <n v="59.99"/>
    <n v="25.7"/>
    <n v="839.86"/>
  </r>
  <r>
    <s v="TXN-104148"/>
    <x v="4148"/>
    <x v="3"/>
    <x v="1"/>
    <n v="12"/>
    <n v="72.650000000000006"/>
    <n v="35.92"/>
    <n v="871.80000000000007"/>
  </r>
  <r>
    <s v="TXN-104149"/>
    <x v="4149"/>
    <x v="1"/>
    <x v="0"/>
    <n v="4"/>
    <n v="309.33"/>
    <n v="34.07"/>
    <n v="1237.32"/>
  </r>
  <r>
    <s v="TXN-104150"/>
    <x v="4150"/>
    <x v="1"/>
    <x v="3"/>
    <n v="8"/>
    <n v="115.77"/>
    <n v="47.63"/>
    <n v="926.16"/>
  </r>
  <r>
    <s v="TXN-104151"/>
    <x v="4151"/>
    <x v="3"/>
    <x v="3"/>
    <n v="17"/>
    <n v="359.2"/>
    <n v="9.52"/>
    <n v="6106.4"/>
  </r>
  <r>
    <s v="TXN-104152"/>
    <x v="4152"/>
    <x v="0"/>
    <x v="1"/>
    <n v="8"/>
    <n v="272.45"/>
    <n v="20.14"/>
    <n v="2179.6"/>
  </r>
  <r>
    <s v="TXN-104153"/>
    <x v="4153"/>
    <x v="2"/>
    <x v="1"/>
    <n v="1"/>
    <n v="115.36"/>
    <n v="26.67"/>
    <n v="115.36"/>
  </r>
  <r>
    <s v="TXN-104154"/>
    <x v="4154"/>
    <x v="2"/>
    <x v="0"/>
    <n v="2"/>
    <n v="223.49"/>
    <n v="35.18"/>
    <n v="446.98"/>
  </r>
  <r>
    <s v="TXN-104155"/>
    <x v="4155"/>
    <x v="1"/>
    <x v="0"/>
    <n v="4"/>
    <n v="191.94"/>
    <n v="27.3"/>
    <n v="767.76"/>
  </r>
  <r>
    <s v="TXN-104156"/>
    <x v="4156"/>
    <x v="3"/>
    <x v="1"/>
    <n v="1"/>
    <n v="394.89"/>
    <n v="46.07"/>
    <n v="394.89"/>
  </r>
  <r>
    <s v="TXN-104157"/>
    <x v="4157"/>
    <x v="1"/>
    <x v="1"/>
    <n v="7"/>
    <n v="29.47"/>
    <n v="32.39"/>
    <n v="206.29"/>
  </r>
  <r>
    <s v="TXN-104158"/>
    <x v="4158"/>
    <x v="3"/>
    <x v="0"/>
    <n v="1"/>
    <n v="404.74"/>
    <n v="6.78"/>
    <n v="404.74"/>
  </r>
  <r>
    <s v="TXN-104159"/>
    <x v="4159"/>
    <x v="2"/>
    <x v="2"/>
    <n v="9"/>
    <n v="298.83"/>
    <n v="10.11"/>
    <n v="2689.47"/>
  </r>
  <r>
    <s v="TXN-104160"/>
    <x v="4160"/>
    <x v="0"/>
    <x v="0"/>
    <n v="3"/>
    <n v="335.96"/>
    <n v="38.909999999999997"/>
    <n v="1007.8799999999999"/>
  </r>
  <r>
    <s v="TXN-104161"/>
    <x v="4161"/>
    <x v="3"/>
    <x v="2"/>
    <n v="12"/>
    <n v="16.63"/>
    <n v="37.21"/>
    <n v="199.56"/>
  </r>
  <r>
    <s v="TXN-104162"/>
    <x v="4162"/>
    <x v="2"/>
    <x v="3"/>
    <n v="19"/>
    <n v="288.47000000000003"/>
    <n v="11.91"/>
    <n v="5480.93"/>
  </r>
  <r>
    <s v="TXN-104163"/>
    <x v="4163"/>
    <x v="1"/>
    <x v="3"/>
    <n v="15"/>
    <n v="271.2"/>
    <n v="7.65"/>
    <n v="4068"/>
  </r>
  <r>
    <s v="TXN-104164"/>
    <x v="4164"/>
    <x v="3"/>
    <x v="0"/>
    <n v="16"/>
    <n v="248.92"/>
    <n v="31.04"/>
    <n v="3982.72"/>
  </r>
  <r>
    <s v="TXN-104165"/>
    <x v="4165"/>
    <x v="0"/>
    <x v="2"/>
    <n v="10"/>
    <n v="356.96"/>
    <n v="33.61"/>
    <n v="3569.6"/>
  </r>
  <r>
    <s v="TXN-104166"/>
    <x v="4166"/>
    <x v="1"/>
    <x v="0"/>
    <n v="6"/>
    <n v="257.02999999999997"/>
    <n v="11.09"/>
    <n v="1542.1799999999998"/>
  </r>
  <r>
    <s v="TXN-104167"/>
    <x v="4167"/>
    <x v="1"/>
    <x v="0"/>
    <n v="17"/>
    <n v="387.91"/>
    <n v="26.31"/>
    <n v="6594.47"/>
  </r>
  <r>
    <s v="TXN-104168"/>
    <x v="4168"/>
    <x v="2"/>
    <x v="2"/>
    <n v="17"/>
    <n v="116.58"/>
    <n v="18.760000000000002"/>
    <n v="1981.86"/>
  </r>
  <r>
    <s v="TXN-104169"/>
    <x v="4169"/>
    <x v="3"/>
    <x v="0"/>
    <n v="19"/>
    <n v="365.7"/>
    <n v="46.91"/>
    <n v="6948.3"/>
  </r>
  <r>
    <s v="TXN-104170"/>
    <x v="4170"/>
    <x v="1"/>
    <x v="3"/>
    <n v="18"/>
    <n v="93.41"/>
    <n v="14.86"/>
    <n v="1681.3799999999999"/>
  </r>
  <r>
    <s v="TXN-104171"/>
    <x v="4171"/>
    <x v="0"/>
    <x v="1"/>
    <n v="11"/>
    <n v="368.8"/>
    <n v="38"/>
    <n v="4056.8"/>
  </r>
  <r>
    <s v="TXN-104172"/>
    <x v="4172"/>
    <x v="3"/>
    <x v="1"/>
    <n v="7"/>
    <n v="424.13"/>
    <n v="28.32"/>
    <n v="2968.91"/>
  </r>
  <r>
    <s v="TXN-104173"/>
    <x v="4173"/>
    <x v="0"/>
    <x v="0"/>
    <n v="10"/>
    <n v="161.36000000000001"/>
    <n v="5.52"/>
    <n v="1613.6000000000001"/>
  </r>
  <r>
    <s v="TXN-104174"/>
    <x v="4174"/>
    <x v="1"/>
    <x v="2"/>
    <n v="7"/>
    <n v="245.74"/>
    <n v="28.26"/>
    <n v="1720.18"/>
  </r>
  <r>
    <s v="TXN-104175"/>
    <x v="4175"/>
    <x v="0"/>
    <x v="2"/>
    <n v="5"/>
    <n v="301.54000000000002"/>
    <n v="9.48"/>
    <n v="1507.7"/>
  </r>
  <r>
    <s v="TXN-104176"/>
    <x v="4176"/>
    <x v="2"/>
    <x v="3"/>
    <n v="12"/>
    <n v="50.03"/>
    <n v="34.659999999999997"/>
    <n v="600.36"/>
  </r>
  <r>
    <s v="TXN-104177"/>
    <x v="4177"/>
    <x v="0"/>
    <x v="2"/>
    <n v="16"/>
    <n v="230.18"/>
    <n v="30.45"/>
    <n v="3682.88"/>
  </r>
  <r>
    <s v="TXN-104178"/>
    <x v="4178"/>
    <x v="3"/>
    <x v="2"/>
    <n v="18"/>
    <n v="172.17"/>
    <n v="5.47"/>
    <n v="3099.06"/>
  </r>
  <r>
    <s v="TXN-104179"/>
    <x v="4179"/>
    <x v="0"/>
    <x v="3"/>
    <n v="3"/>
    <n v="394.58"/>
    <n v="14.21"/>
    <n v="1183.74"/>
  </r>
  <r>
    <s v="TXN-104180"/>
    <x v="4180"/>
    <x v="0"/>
    <x v="0"/>
    <n v="15"/>
    <n v="396.42"/>
    <n v="39.93"/>
    <n v="5946.3"/>
  </r>
  <r>
    <s v="TXN-104181"/>
    <x v="4181"/>
    <x v="2"/>
    <x v="1"/>
    <n v="5"/>
    <n v="319.99"/>
    <n v="17.41"/>
    <n v="1599.95"/>
  </r>
  <r>
    <s v="TXN-104182"/>
    <x v="4182"/>
    <x v="0"/>
    <x v="3"/>
    <n v="13"/>
    <n v="300.41000000000003"/>
    <n v="27.47"/>
    <n v="3905.3300000000004"/>
  </r>
  <r>
    <s v="TXN-104183"/>
    <x v="4183"/>
    <x v="0"/>
    <x v="0"/>
    <n v="19"/>
    <n v="334.29"/>
    <n v="19.04"/>
    <n v="6351.51"/>
  </r>
  <r>
    <s v="TXN-104184"/>
    <x v="4184"/>
    <x v="1"/>
    <x v="3"/>
    <n v="12"/>
    <n v="174.52"/>
    <n v="46.47"/>
    <n v="2094.2400000000002"/>
  </r>
  <r>
    <s v="TXN-104185"/>
    <x v="4185"/>
    <x v="1"/>
    <x v="0"/>
    <n v="5"/>
    <n v="191.26"/>
    <n v="29.15"/>
    <n v="956.3"/>
  </r>
  <r>
    <s v="TXN-104186"/>
    <x v="4186"/>
    <x v="3"/>
    <x v="3"/>
    <n v="6"/>
    <n v="256.08"/>
    <n v="36.33"/>
    <n v="1536.48"/>
  </r>
  <r>
    <s v="TXN-104187"/>
    <x v="4187"/>
    <x v="1"/>
    <x v="0"/>
    <n v="7"/>
    <n v="423.07"/>
    <n v="8.76"/>
    <n v="2961.49"/>
  </r>
  <r>
    <s v="TXN-104188"/>
    <x v="4188"/>
    <x v="1"/>
    <x v="3"/>
    <n v="10"/>
    <n v="330.08"/>
    <n v="6.82"/>
    <n v="3300.7999999999997"/>
  </r>
  <r>
    <s v="TXN-104189"/>
    <x v="4189"/>
    <x v="1"/>
    <x v="0"/>
    <n v="16"/>
    <n v="254.9"/>
    <n v="16.670000000000002"/>
    <n v="4078.4"/>
  </r>
  <r>
    <s v="TXN-104190"/>
    <x v="4190"/>
    <x v="1"/>
    <x v="3"/>
    <n v="8"/>
    <n v="350.24"/>
    <n v="18.91"/>
    <n v="2801.92"/>
  </r>
  <r>
    <s v="TXN-104191"/>
    <x v="4191"/>
    <x v="2"/>
    <x v="1"/>
    <n v="9"/>
    <n v="176.65"/>
    <n v="35.950000000000003"/>
    <n v="1589.8500000000001"/>
  </r>
  <r>
    <s v="TXN-104192"/>
    <x v="4192"/>
    <x v="1"/>
    <x v="1"/>
    <n v="4"/>
    <n v="332.89"/>
    <n v="30.61"/>
    <n v="1331.56"/>
  </r>
  <r>
    <s v="TXN-104193"/>
    <x v="4193"/>
    <x v="2"/>
    <x v="2"/>
    <n v="8"/>
    <n v="193.94"/>
    <n v="21.86"/>
    <n v="1551.52"/>
  </r>
  <r>
    <s v="TXN-104194"/>
    <x v="4194"/>
    <x v="2"/>
    <x v="0"/>
    <n v="7"/>
    <n v="137.01"/>
    <n v="34.44"/>
    <n v="959.06999999999994"/>
  </r>
  <r>
    <s v="TXN-104195"/>
    <x v="4195"/>
    <x v="1"/>
    <x v="3"/>
    <n v="15"/>
    <n v="280.43"/>
    <n v="12.36"/>
    <n v="4206.45"/>
  </r>
  <r>
    <s v="TXN-104196"/>
    <x v="4196"/>
    <x v="0"/>
    <x v="0"/>
    <n v="3"/>
    <n v="313.95"/>
    <n v="7.86"/>
    <n v="941.84999999999991"/>
  </r>
  <r>
    <s v="TXN-104197"/>
    <x v="4197"/>
    <x v="2"/>
    <x v="1"/>
    <n v="17"/>
    <n v="215.06"/>
    <n v="43.45"/>
    <n v="3656.02"/>
  </r>
  <r>
    <s v="TXN-104198"/>
    <x v="4198"/>
    <x v="0"/>
    <x v="0"/>
    <n v="11"/>
    <n v="261.20999999999998"/>
    <n v="30.38"/>
    <n v="2873.31"/>
  </r>
  <r>
    <s v="TXN-104199"/>
    <x v="4199"/>
    <x v="0"/>
    <x v="3"/>
    <n v="9"/>
    <n v="317.07"/>
    <n v="34.21"/>
    <n v="2853.63"/>
  </r>
  <r>
    <s v="TXN-104200"/>
    <x v="4200"/>
    <x v="1"/>
    <x v="0"/>
    <n v="5"/>
    <n v="349.07"/>
    <n v="18.829999999999998"/>
    <n v="1745.35"/>
  </r>
  <r>
    <s v="TXN-104201"/>
    <x v="4201"/>
    <x v="3"/>
    <x v="3"/>
    <n v="10"/>
    <n v="404.63"/>
    <n v="21.74"/>
    <n v="4046.3"/>
  </r>
  <r>
    <s v="TXN-104202"/>
    <x v="4202"/>
    <x v="1"/>
    <x v="1"/>
    <n v="15"/>
    <n v="169.55"/>
    <n v="8.7100000000000009"/>
    <n v="2543.25"/>
  </r>
  <r>
    <s v="TXN-104203"/>
    <x v="4203"/>
    <x v="3"/>
    <x v="1"/>
    <n v="14"/>
    <n v="428.92"/>
    <n v="43.56"/>
    <n v="6004.88"/>
  </r>
  <r>
    <s v="TXN-104204"/>
    <x v="4204"/>
    <x v="3"/>
    <x v="1"/>
    <n v="4"/>
    <n v="292.39999999999998"/>
    <n v="31.66"/>
    <n v="1169.5999999999999"/>
  </r>
  <r>
    <s v="TXN-104205"/>
    <x v="4205"/>
    <x v="1"/>
    <x v="2"/>
    <n v="2"/>
    <n v="357.76"/>
    <n v="8.76"/>
    <n v="715.52"/>
  </r>
  <r>
    <s v="TXN-104206"/>
    <x v="4206"/>
    <x v="1"/>
    <x v="1"/>
    <n v="12"/>
    <n v="319.55"/>
    <n v="41.2"/>
    <n v="3834.6000000000004"/>
  </r>
  <r>
    <s v="TXN-104207"/>
    <x v="4207"/>
    <x v="3"/>
    <x v="0"/>
    <n v="1"/>
    <n v="104.82"/>
    <n v="24.99"/>
    <n v="104.82"/>
  </r>
  <r>
    <s v="TXN-104208"/>
    <x v="4208"/>
    <x v="1"/>
    <x v="2"/>
    <n v="5"/>
    <n v="46.54"/>
    <n v="39.43"/>
    <n v="232.7"/>
  </r>
  <r>
    <s v="TXN-104209"/>
    <x v="4209"/>
    <x v="3"/>
    <x v="1"/>
    <n v="6"/>
    <n v="331.07"/>
    <n v="5.57"/>
    <n v="1986.42"/>
  </r>
  <r>
    <s v="TXN-104210"/>
    <x v="4210"/>
    <x v="0"/>
    <x v="0"/>
    <n v="11"/>
    <n v="237.55"/>
    <n v="6.29"/>
    <n v="2613.0500000000002"/>
  </r>
  <r>
    <s v="TXN-104211"/>
    <x v="4211"/>
    <x v="1"/>
    <x v="0"/>
    <n v="8"/>
    <n v="320.61"/>
    <n v="12.69"/>
    <n v="2564.88"/>
  </r>
  <r>
    <s v="TXN-104212"/>
    <x v="4212"/>
    <x v="0"/>
    <x v="0"/>
    <n v="7"/>
    <n v="222.69"/>
    <n v="14.49"/>
    <n v="1558.83"/>
  </r>
  <r>
    <s v="TXN-104213"/>
    <x v="4213"/>
    <x v="2"/>
    <x v="3"/>
    <n v="4"/>
    <n v="151.16999999999999"/>
    <n v="39.380000000000003"/>
    <n v="604.67999999999995"/>
  </r>
  <r>
    <s v="TXN-104214"/>
    <x v="4214"/>
    <x v="0"/>
    <x v="2"/>
    <n v="6"/>
    <n v="139.34"/>
    <n v="36.799999999999997"/>
    <n v="836.04"/>
  </r>
  <r>
    <s v="TXN-104215"/>
    <x v="4215"/>
    <x v="0"/>
    <x v="0"/>
    <n v="16"/>
    <n v="332.92"/>
    <n v="32.72"/>
    <n v="5326.72"/>
  </r>
  <r>
    <s v="TXN-104216"/>
    <x v="4216"/>
    <x v="3"/>
    <x v="3"/>
    <n v="15"/>
    <n v="135.76"/>
    <n v="44.82"/>
    <n v="2036.3999999999999"/>
  </r>
  <r>
    <s v="TXN-104217"/>
    <x v="4217"/>
    <x v="0"/>
    <x v="1"/>
    <n v="14"/>
    <n v="326.02999999999997"/>
    <n v="16.12"/>
    <n v="4564.42"/>
  </r>
  <r>
    <s v="TXN-104218"/>
    <x v="4218"/>
    <x v="1"/>
    <x v="0"/>
    <n v="12"/>
    <n v="182.33"/>
    <n v="45.7"/>
    <n v="2187.96"/>
  </r>
  <r>
    <s v="TXN-104219"/>
    <x v="4219"/>
    <x v="3"/>
    <x v="3"/>
    <n v="12"/>
    <n v="350.46"/>
    <n v="45.93"/>
    <n v="4205.5199999999995"/>
  </r>
  <r>
    <s v="TXN-104220"/>
    <x v="4220"/>
    <x v="2"/>
    <x v="0"/>
    <n v="16"/>
    <n v="77.55"/>
    <n v="24.54"/>
    <n v="1240.8"/>
  </r>
  <r>
    <s v="TXN-104221"/>
    <x v="4221"/>
    <x v="1"/>
    <x v="2"/>
    <n v="15"/>
    <n v="104.56"/>
    <n v="9.25"/>
    <n v="1568.4"/>
  </r>
  <r>
    <s v="TXN-104222"/>
    <x v="4222"/>
    <x v="2"/>
    <x v="2"/>
    <n v="13"/>
    <n v="313.52999999999997"/>
    <n v="37.700000000000003"/>
    <n v="4075.8899999999994"/>
  </r>
  <r>
    <s v="TXN-104223"/>
    <x v="4223"/>
    <x v="0"/>
    <x v="1"/>
    <n v="11"/>
    <n v="258.92"/>
    <n v="20.16"/>
    <n v="2848.1200000000003"/>
  </r>
  <r>
    <s v="TXN-104224"/>
    <x v="4224"/>
    <x v="1"/>
    <x v="0"/>
    <n v="17"/>
    <n v="104.09"/>
    <n v="40.770000000000003"/>
    <n v="1769.53"/>
  </r>
  <r>
    <s v="TXN-104225"/>
    <x v="4225"/>
    <x v="1"/>
    <x v="3"/>
    <n v="15"/>
    <n v="407.78"/>
    <n v="12.37"/>
    <n v="6116.7"/>
  </r>
  <r>
    <s v="TXN-104226"/>
    <x v="4226"/>
    <x v="2"/>
    <x v="1"/>
    <n v="14"/>
    <n v="135.4"/>
    <n v="29.28"/>
    <n v="1895.6000000000001"/>
  </r>
  <r>
    <s v="TXN-104227"/>
    <x v="4227"/>
    <x v="1"/>
    <x v="0"/>
    <n v="10"/>
    <n v="198.46"/>
    <n v="27.86"/>
    <n v="1984.6000000000001"/>
  </r>
  <r>
    <s v="TXN-104228"/>
    <x v="4228"/>
    <x v="1"/>
    <x v="1"/>
    <n v="12"/>
    <n v="103.39"/>
    <n v="9.51"/>
    <n v="1240.68"/>
  </r>
  <r>
    <s v="TXN-104229"/>
    <x v="4229"/>
    <x v="1"/>
    <x v="3"/>
    <n v="16"/>
    <n v="184.1"/>
    <n v="21.35"/>
    <n v="2945.6"/>
  </r>
  <r>
    <s v="TXN-104230"/>
    <x v="4230"/>
    <x v="0"/>
    <x v="1"/>
    <n v="15"/>
    <n v="229.12"/>
    <n v="8.81"/>
    <n v="3436.8"/>
  </r>
  <r>
    <s v="TXN-104231"/>
    <x v="4231"/>
    <x v="2"/>
    <x v="1"/>
    <n v="10"/>
    <n v="143.78"/>
    <n v="25.91"/>
    <n v="1437.8"/>
  </r>
  <r>
    <s v="TXN-104232"/>
    <x v="4232"/>
    <x v="1"/>
    <x v="1"/>
    <n v="4"/>
    <n v="349.67"/>
    <n v="42.93"/>
    <n v="1398.68"/>
  </r>
  <r>
    <s v="TXN-104233"/>
    <x v="4233"/>
    <x v="3"/>
    <x v="0"/>
    <n v="9"/>
    <n v="186.66"/>
    <n v="17.16"/>
    <n v="1679.94"/>
  </r>
  <r>
    <s v="TXN-104234"/>
    <x v="4234"/>
    <x v="3"/>
    <x v="3"/>
    <n v="9"/>
    <n v="332.47"/>
    <n v="39.42"/>
    <n v="2992.2300000000005"/>
  </r>
  <r>
    <s v="TXN-104235"/>
    <x v="4235"/>
    <x v="3"/>
    <x v="2"/>
    <n v="11"/>
    <n v="105.47"/>
    <n v="13.25"/>
    <n v="1160.17"/>
  </r>
  <r>
    <s v="TXN-104236"/>
    <x v="4236"/>
    <x v="3"/>
    <x v="0"/>
    <n v="11"/>
    <n v="179.32"/>
    <n v="35.32"/>
    <n v="1972.52"/>
  </r>
  <r>
    <s v="TXN-104237"/>
    <x v="4237"/>
    <x v="0"/>
    <x v="2"/>
    <n v="7"/>
    <n v="19"/>
    <n v="46.2"/>
    <n v="133"/>
  </r>
  <r>
    <s v="TXN-104238"/>
    <x v="4238"/>
    <x v="1"/>
    <x v="2"/>
    <n v="10"/>
    <n v="345.13"/>
    <n v="19.579999999999998"/>
    <n v="3451.3"/>
  </r>
  <r>
    <s v="TXN-104239"/>
    <x v="4239"/>
    <x v="2"/>
    <x v="0"/>
    <n v="4"/>
    <n v="287.45"/>
    <n v="45.52"/>
    <n v="1149.8"/>
  </r>
  <r>
    <s v="TXN-104240"/>
    <x v="4240"/>
    <x v="1"/>
    <x v="0"/>
    <n v="5"/>
    <n v="370.84"/>
    <n v="27.74"/>
    <n v="1854.1999999999998"/>
  </r>
  <r>
    <s v="TXN-104241"/>
    <x v="4241"/>
    <x v="0"/>
    <x v="3"/>
    <n v="5"/>
    <n v="213.46"/>
    <n v="19.260000000000002"/>
    <n v="1067.3"/>
  </r>
  <r>
    <s v="TXN-104242"/>
    <x v="4242"/>
    <x v="3"/>
    <x v="3"/>
    <n v="11"/>
    <n v="362.99"/>
    <n v="45.34"/>
    <n v="3992.8900000000003"/>
  </r>
  <r>
    <s v="TXN-104243"/>
    <x v="4243"/>
    <x v="0"/>
    <x v="1"/>
    <n v="9"/>
    <n v="296.87"/>
    <n v="6.44"/>
    <n v="2671.83"/>
  </r>
  <r>
    <s v="TXN-104244"/>
    <x v="4244"/>
    <x v="1"/>
    <x v="2"/>
    <n v="16"/>
    <n v="17.07"/>
    <n v="6.26"/>
    <n v="273.12"/>
  </r>
  <r>
    <s v="TXN-104245"/>
    <x v="4245"/>
    <x v="2"/>
    <x v="3"/>
    <n v="9"/>
    <n v="125.73"/>
    <n v="31.99"/>
    <n v="1131.57"/>
  </r>
  <r>
    <s v="TXN-104246"/>
    <x v="4246"/>
    <x v="0"/>
    <x v="1"/>
    <n v="4"/>
    <n v="230.1"/>
    <n v="40.85"/>
    <n v="920.4"/>
  </r>
  <r>
    <s v="TXN-104247"/>
    <x v="4247"/>
    <x v="2"/>
    <x v="3"/>
    <n v="2"/>
    <n v="284.32"/>
    <n v="38.82"/>
    <n v="568.64"/>
  </r>
  <r>
    <s v="TXN-104248"/>
    <x v="4248"/>
    <x v="0"/>
    <x v="0"/>
    <n v="14"/>
    <n v="44"/>
    <n v="8.58"/>
    <n v="616"/>
  </r>
  <r>
    <s v="TXN-104249"/>
    <x v="4249"/>
    <x v="2"/>
    <x v="3"/>
    <n v="3"/>
    <n v="321.86"/>
    <n v="47.76"/>
    <n v="965.58"/>
  </r>
  <r>
    <s v="TXN-104250"/>
    <x v="4250"/>
    <x v="2"/>
    <x v="2"/>
    <n v="18"/>
    <n v="251.67"/>
    <n v="36.64"/>
    <n v="4530.0599999999995"/>
  </r>
  <r>
    <s v="TXN-104251"/>
    <x v="4251"/>
    <x v="3"/>
    <x v="3"/>
    <n v="6"/>
    <n v="243.95"/>
    <n v="47.71"/>
    <n v="1463.6999999999998"/>
  </r>
  <r>
    <s v="TXN-104252"/>
    <x v="4252"/>
    <x v="2"/>
    <x v="2"/>
    <n v="11"/>
    <n v="142.38999999999999"/>
    <n v="19.809999999999999"/>
    <n v="1566.29"/>
  </r>
  <r>
    <s v="TXN-104253"/>
    <x v="4253"/>
    <x v="3"/>
    <x v="0"/>
    <n v="18"/>
    <n v="273.95"/>
    <n v="36.229999999999997"/>
    <n v="4931.0999999999995"/>
  </r>
  <r>
    <s v="TXN-104254"/>
    <x v="4254"/>
    <x v="1"/>
    <x v="2"/>
    <n v="12"/>
    <n v="27.45"/>
    <n v="43.7"/>
    <n v="329.4"/>
  </r>
  <r>
    <s v="TXN-104255"/>
    <x v="4255"/>
    <x v="1"/>
    <x v="3"/>
    <n v="5"/>
    <n v="43.61"/>
    <n v="22.12"/>
    <n v="218.05"/>
  </r>
  <r>
    <s v="TXN-104256"/>
    <x v="4256"/>
    <x v="3"/>
    <x v="1"/>
    <n v="9"/>
    <n v="334.37"/>
    <n v="48.42"/>
    <n v="3009.33"/>
  </r>
  <r>
    <s v="TXN-104257"/>
    <x v="4257"/>
    <x v="3"/>
    <x v="0"/>
    <n v="18"/>
    <n v="155.36000000000001"/>
    <n v="16.920000000000002"/>
    <n v="2796.4800000000005"/>
  </r>
  <r>
    <s v="TXN-104258"/>
    <x v="4258"/>
    <x v="0"/>
    <x v="3"/>
    <n v="19"/>
    <n v="166.26"/>
    <n v="19.2"/>
    <n v="3158.9399999999996"/>
  </r>
  <r>
    <s v="TXN-104259"/>
    <x v="4259"/>
    <x v="0"/>
    <x v="0"/>
    <n v="3"/>
    <n v="106.04"/>
    <n v="46.41"/>
    <n v="318.12"/>
  </r>
  <r>
    <s v="TXN-104260"/>
    <x v="4260"/>
    <x v="0"/>
    <x v="0"/>
    <n v="9"/>
    <n v="209.12"/>
    <n v="48.63"/>
    <n v="1882.08"/>
  </r>
  <r>
    <s v="TXN-104261"/>
    <x v="4261"/>
    <x v="1"/>
    <x v="3"/>
    <n v="4"/>
    <n v="38.090000000000003"/>
    <n v="17.829999999999998"/>
    <n v="152.36000000000001"/>
  </r>
  <r>
    <s v="TXN-104262"/>
    <x v="4262"/>
    <x v="0"/>
    <x v="3"/>
    <n v="17"/>
    <n v="146.01"/>
    <n v="11.14"/>
    <n v="2482.17"/>
  </r>
  <r>
    <s v="TXN-104263"/>
    <x v="4263"/>
    <x v="2"/>
    <x v="1"/>
    <n v="17"/>
    <n v="244.54"/>
    <n v="39.159999999999997"/>
    <n v="4157.18"/>
  </r>
  <r>
    <s v="TXN-104264"/>
    <x v="4264"/>
    <x v="2"/>
    <x v="0"/>
    <n v="2"/>
    <n v="217.82"/>
    <n v="46.83"/>
    <n v="435.64"/>
  </r>
  <r>
    <s v="TXN-104265"/>
    <x v="4265"/>
    <x v="0"/>
    <x v="0"/>
    <n v="9"/>
    <n v="449.86"/>
    <n v="32.03"/>
    <n v="4048.7400000000002"/>
  </r>
  <r>
    <s v="TXN-104266"/>
    <x v="4266"/>
    <x v="2"/>
    <x v="3"/>
    <n v="9"/>
    <n v="184.42"/>
    <n v="33.549999999999997"/>
    <n v="1659.78"/>
  </r>
  <r>
    <s v="TXN-104267"/>
    <x v="4267"/>
    <x v="1"/>
    <x v="2"/>
    <n v="5"/>
    <n v="183.65"/>
    <n v="39.33"/>
    <n v="918.25"/>
  </r>
  <r>
    <s v="TXN-104268"/>
    <x v="4268"/>
    <x v="2"/>
    <x v="3"/>
    <n v="15"/>
    <n v="234.31"/>
    <n v="11.89"/>
    <n v="3514.65"/>
  </r>
  <r>
    <s v="TXN-104269"/>
    <x v="4269"/>
    <x v="1"/>
    <x v="0"/>
    <n v="15"/>
    <n v="98.19"/>
    <n v="48.81"/>
    <n v="1472.85"/>
  </r>
  <r>
    <s v="TXN-104270"/>
    <x v="4270"/>
    <x v="3"/>
    <x v="3"/>
    <n v="3"/>
    <n v="396.25"/>
    <n v="21.39"/>
    <n v="1188.75"/>
  </r>
  <r>
    <s v="TXN-104271"/>
    <x v="4271"/>
    <x v="3"/>
    <x v="1"/>
    <n v="19"/>
    <n v="264.14999999999998"/>
    <n v="33.270000000000003"/>
    <n v="5018.8499999999995"/>
  </r>
  <r>
    <s v="TXN-104272"/>
    <x v="4272"/>
    <x v="3"/>
    <x v="2"/>
    <n v="3"/>
    <n v="98.97"/>
    <n v="26.09"/>
    <n v="296.90999999999997"/>
  </r>
  <r>
    <s v="TXN-104273"/>
    <x v="4273"/>
    <x v="3"/>
    <x v="3"/>
    <n v="6"/>
    <n v="360.25"/>
    <n v="26.07"/>
    <n v="2161.5"/>
  </r>
  <r>
    <s v="TXN-104274"/>
    <x v="4274"/>
    <x v="2"/>
    <x v="1"/>
    <n v="4"/>
    <n v="30.42"/>
    <n v="36.619999999999997"/>
    <n v="121.68"/>
  </r>
  <r>
    <s v="TXN-104275"/>
    <x v="4275"/>
    <x v="0"/>
    <x v="0"/>
    <n v="13"/>
    <n v="442.42"/>
    <n v="49.76"/>
    <n v="5751.46"/>
  </r>
  <r>
    <s v="TXN-104276"/>
    <x v="4276"/>
    <x v="2"/>
    <x v="3"/>
    <n v="13"/>
    <n v="391.41"/>
    <n v="34.659999999999997"/>
    <n v="5088.33"/>
  </r>
  <r>
    <s v="TXN-104277"/>
    <x v="4277"/>
    <x v="1"/>
    <x v="0"/>
    <n v="11"/>
    <n v="267.35000000000002"/>
    <n v="40.729999999999997"/>
    <n v="2940.8500000000004"/>
  </r>
  <r>
    <s v="TXN-104278"/>
    <x v="4278"/>
    <x v="2"/>
    <x v="1"/>
    <n v="5"/>
    <n v="63.86"/>
    <n v="6.24"/>
    <n v="319.3"/>
  </r>
  <r>
    <s v="TXN-104279"/>
    <x v="4279"/>
    <x v="2"/>
    <x v="0"/>
    <n v="1"/>
    <n v="109.04"/>
    <n v="41.47"/>
    <n v="109.04"/>
  </r>
  <r>
    <s v="TXN-104280"/>
    <x v="4280"/>
    <x v="1"/>
    <x v="1"/>
    <n v="9"/>
    <n v="136.91"/>
    <n v="18.5"/>
    <n v="1232.19"/>
  </r>
  <r>
    <s v="TXN-104281"/>
    <x v="4281"/>
    <x v="3"/>
    <x v="1"/>
    <n v="17"/>
    <n v="120.23"/>
    <n v="10.7"/>
    <n v="2043.91"/>
  </r>
  <r>
    <s v="TXN-104282"/>
    <x v="4282"/>
    <x v="3"/>
    <x v="1"/>
    <n v="1"/>
    <n v="231.67"/>
    <n v="10.1"/>
    <n v="231.67"/>
  </r>
  <r>
    <s v="TXN-104283"/>
    <x v="4283"/>
    <x v="3"/>
    <x v="3"/>
    <n v="3"/>
    <n v="425.91"/>
    <n v="35.590000000000003"/>
    <n v="1277.73"/>
  </r>
  <r>
    <s v="TXN-104284"/>
    <x v="4284"/>
    <x v="0"/>
    <x v="0"/>
    <n v="15"/>
    <n v="208.49"/>
    <n v="49.89"/>
    <n v="3127.3500000000004"/>
  </r>
  <r>
    <s v="TXN-104285"/>
    <x v="4285"/>
    <x v="1"/>
    <x v="0"/>
    <n v="10"/>
    <n v="302.95"/>
    <n v="34.979999999999997"/>
    <n v="3029.5"/>
  </r>
  <r>
    <s v="TXN-104286"/>
    <x v="4286"/>
    <x v="1"/>
    <x v="2"/>
    <n v="8"/>
    <n v="314.69"/>
    <n v="16.809999999999999"/>
    <n v="2517.52"/>
  </r>
  <r>
    <s v="TXN-104287"/>
    <x v="4287"/>
    <x v="2"/>
    <x v="2"/>
    <n v="12"/>
    <n v="394.2"/>
    <n v="14.15"/>
    <n v="4730.3999999999996"/>
  </r>
  <r>
    <s v="TXN-104288"/>
    <x v="4288"/>
    <x v="0"/>
    <x v="2"/>
    <n v="15"/>
    <n v="30.2"/>
    <n v="28.67"/>
    <n v="453"/>
  </r>
  <r>
    <s v="TXN-104289"/>
    <x v="4289"/>
    <x v="3"/>
    <x v="2"/>
    <n v="9"/>
    <n v="191.18"/>
    <n v="7.93"/>
    <n v="1720.6200000000001"/>
  </r>
  <r>
    <s v="TXN-104290"/>
    <x v="4290"/>
    <x v="0"/>
    <x v="0"/>
    <n v="10"/>
    <n v="356.47"/>
    <n v="22.97"/>
    <n v="3564.7000000000003"/>
  </r>
  <r>
    <s v="TXN-104291"/>
    <x v="4291"/>
    <x v="1"/>
    <x v="1"/>
    <n v="9"/>
    <n v="369.56"/>
    <n v="34.979999999999997"/>
    <n v="3326.04"/>
  </r>
  <r>
    <s v="TXN-104292"/>
    <x v="4292"/>
    <x v="1"/>
    <x v="1"/>
    <n v="15"/>
    <n v="418.43"/>
    <n v="48.54"/>
    <n v="6276.45"/>
  </r>
  <r>
    <s v="TXN-104293"/>
    <x v="4293"/>
    <x v="2"/>
    <x v="3"/>
    <n v="1"/>
    <n v="320.86"/>
    <n v="24.15"/>
    <n v="320.86"/>
  </r>
  <r>
    <s v="TXN-104294"/>
    <x v="4294"/>
    <x v="2"/>
    <x v="1"/>
    <n v="2"/>
    <n v="122.02"/>
    <n v="14.01"/>
    <n v="244.04"/>
  </r>
  <r>
    <s v="TXN-104295"/>
    <x v="4295"/>
    <x v="1"/>
    <x v="0"/>
    <n v="19"/>
    <n v="235.21"/>
    <n v="41.78"/>
    <n v="4468.99"/>
  </r>
  <r>
    <s v="TXN-104296"/>
    <x v="4296"/>
    <x v="3"/>
    <x v="0"/>
    <n v="14"/>
    <n v="29.55"/>
    <n v="38.49"/>
    <n v="413.7"/>
  </r>
  <r>
    <s v="TXN-104297"/>
    <x v="4297"/>
    <x v="3"/>
    <x v="0"/>
    <n v="8"/>
    <n v="296.58999999999997"/>
    <n v="43.69"/>
    <n v="2372.7199999999998"/>
  </r>
  <r>
    <s v="TXN-104298"/>
    <x v="4298"/>
    <x v="0"/>
    <x v="3"/>
    <n v="6"/>
    <n v="256.33999999999997"/>
    <n v="14.66"/>
    <n v="1538.04"/>
  </r>
  <r>
    <s v="TXN-104299"/>
    <x v="4299"/>
    <x v="1"/>
    <x v="2"/>
    <n v="12"/>
    <n v="305.24"/>
    <n v="23.22"/>
    <n v="3662.88"/>
  </r>
  <r>
    <s v="TXN-104300"/>
    <x v="4300"/>
    <x v="1"/>
    <x v="1"/>
    <n v="15"/>
    <n v="419.65"/>
    <n v="49.17"/>
    <n v="6294.75"/>
  </r>
  <r>
    <s v="TXN-104301"/>
    <x v="4301"/>
    <x v="3"/>
    <x v="0"/>
    <n v="14"/>
    <n v="314.12"/>
    <n v="12.11"/>
    <n v="4397.68"/>
  </r>
  <r>
    <s v="TXN-104302"/>
    <x v="4302"/>
    <x v="3"/>
    <x v="0"/>
    <n v="1"/>
    <n v="154.74"/>
    <n v="35.22"/>
    <n v="154.74"/>
  </r>
  <r>
    <s v="TXN-104303"/>
    <x v="4303"/>
    <x v="1"/>
    <x v="2"/>
    <n v="11"/>
    <n v="101.85"/>
    <n v="15.67"/>
    <n v="1120.3499999999999"/>
  </r>
  <r>
    <s v="TXN-104304"/>
    <x v="4304"/>
    <x v="2"/>
    <x v="0"/>
    <n v="3"/>
    <n v="386.84"/>
    <n v="27.51"/>
    <n v="1160.52"/>
  </r>
  <r>
    <s v="TXN-104305"/>
    <x v="4305"/>
    <x v="1"/>
    <x v="1"/>
    <n v="19"/>
    <n v="99.94"/>
    <n v="41.02"/>
    <n v="1898.86"/>
  </r>
  <r>
    <s v="TXN-104306"/>
    <x v="4306"/>
    <x v="1"/>
    <x v="3"/>
    <n v="18"/>
    <n v="85.72"/>
    <n v="26.99"/>
    <n v="1542.96"/>
  </r>
  <r>
    <s v="TXN-104307"/>
    <x v="4307"/>
    <x v="3"/>
    <x v="0"/>
    <n v="2"/>
    <n v="105.27"/>
    <n v="41.25"/>
    <n v="210.54"/>
  </r>
  <r>
    <s v="TXN-104308"/>
    <x v="4308"/>
    <x v="3"/>
    <x v="1"/>
    <n v="7"/>
    <n v="236.59"/>
    <n v="24.19"/>
    <n v="1656.13"/>
  </r>
  <r>
    <s v="TXN-104309"/>
    <x v="4309"/>
    <x v="2"/>
    <x v="0"/>
    <n v="8"/>
    <n v="69.459999999999994"/>
    <n v="49.97"/>
    <n v="555.67999999999995"/>
  </r>
  <r>
    <s v="TXN-104310"/>
    <x v="4310"/>
    <x v="2"/>
    <x v="2"/>
    <n v="19"/>
    <n v="423.11"/>
    <n v="24.61"/>
    <n v="8039.09"/>
  </r>
  <r>
    <s v="TXN-104311"/>
    <x v="4311"/>
    <x v="0"/>
    <x v="0"/>
    <n v="15"/>
    <n v="435.34"/>
    <n v="11.72"/>
    <n v="6530.0999999999995"/>
  </r>
  <r>
    <s v="TXN-104312"/>
    <x v="4312"/>
    <x v="1"/>
    <x v="0"/>
    <n v="10"/>
    <n v="438.62"/>
    <n v="23.08"/>
    <n v="4386.2"/>
  </r>
  <r>
    <s v="TXN-104313"/>
    <x v="4313"/>
    <x v="3"/>
    <x v="3"/>
    <n v="1"/>
    <n v="32.5"/>
    <n v="38.42"/>
    <n v="32.5"/>
  </r>
  <r>
    <s v="TXN-104314"/>
    <x v="4314"/>
    <x v="2"/>
    <x v="2"/>
    <n v="6"/>
    <n v="426.62"/>
    <n v="43.16"/>
    <n v="2559.7200000000003"/>
  </r>
  <r>
    <s v="TXN-104315"/>
    <x v="4315"/>
    <x v="0"/>
    <x v="2"/>
    <n v="13"/>
    <n v="448.88"/>
    <n v="25.7"/>
    <n v="5835.44"/>
  </r>
  <r>
    <s v="TXN-104316"/>
    <x v="4316"/>
    <x v="0"/>
    <x v="3"/>
    <n v="14"/>
    <n v="424.99"/>
    <n v="31.75"/>
    <n v="5949.8600000000006"/>
  </r>
  <r>
    <s v="TXN-104317"/>
    <x v="4317"/>
    <x v="3"/>
    <x v="0"/>
    <n v="3"/>
    <n v="307.02"/>
    <n v="43.02"/>
    <n v="921.06"/>
  </r>
  <r>
    <s v="TXN-104318"/>
    <x v="4318"/>
    <x v="3"/>
    <x v="1"/>
    <n v="11"/>
    <n v="320.18"/>
    <n v="41.61"/>
    <n v="3521.98"/>
  </r>
  <r>
    <s v="TXN-104319"/>
    <x v="4319"/>
    <x v="0"/>
    <x v="2"/>
    <n v="3"/>
    <n v="68.62"/>
    <n v="34.6"/>
    <n v="205.86"/>
  </r>
  <r>
    <s v="TXN-104320"/>
    <x v="4320"/>
    <x v="2"/>
    <x v="2"/>
    <n v="19"/>
    <n v="395.38"/>
    <n v="41.68"/>
    <n v="7512.22"/>
  </r>
  <r>
    <s v="TXN-104321"/>
    <x v="4321"/>
    <x v="0"/>
    <x v="0"/>
    <n v="10"/>
    <n v="41.41"/>
    <n v="30.92"/>
    <n v="414.09999999999997"/>
  </r>
  <r>
    <s v="TXN-104322"/>
    <x v="4322"/>
    <x v="1"/>
    <x v="0"/>
    <n v="15"/>
    <n v="153.55000000000001"/>
    <n v="5.21"/>
    <n v="2303.25"/>
  </r>
  <r>
    <s v="TXN-104323"/>
    <x v="4323"/>
    <x v="1"/>
    <x v="2"/>
    <n v="11"/>
    <n v="446.16"/>
    <n v="6.86"/>
    <n v="4907.76"/>
  </r>
  <r>
    <s v="TXN-104324"/>
    <x v="4324"/>
    <x v="3"/>
    <x v="0"/>
    <n v="15"/>
    <n v="199"/>
    <n v="49.09"/>
    <n v="2985"/>
  </r>
  <r>
    <s v="TXN-104325"/>
    <x v="4325"/>
    <x v="2"/>
    <x v="1"/>
    <n v="13"/>
    <n v="72.489999999999995"/>
    <n v="11.52"/>
    <n v="942.36999999999989"/>
  </r>
  <r>
    <s v="TXN-104326"/>
    <x v="4326"/>
    <x v="2"/>
    <x v="2"/>
    <n v="5"/>
    <n v="436.66"/>
    <n v="23.2"/>
    <n v="2183.3000000000002"/>
  </r>
  <r>
    <s v="TXN-104327"/>
    <x v="4327"/>
    <x v="1"/>
    <x v="1"/>
    <n v="4"/>
    <n v="443.11"/>
    <n v="47.02"/>
    <n v="1772.44"/>
  </r>
  <r>
    <s v="TXN-104328"/>
    <x v="4328"/>
    <x v="0"/>
    <x v="1"/>
    <n v="13"/>
    <n v="96.77"/>
    <n v="13.78"/>
    <n v="1258.01"/>
  </r>
  <r>
    <s v="TXN-104329"/>
    <x v="4329"/>
    <x v="3"/>
    <x v="0"/>
    <n v="9"/>
    <n v="391.26"/>
    <n v="42.97"/>
    <n v="3521.34"/>
  </r>
  <r>
    <s v="TXN-104330"/>
    <x v="4330"/>
    <x v="0"/>
    <x v="1"/>
    <n v="17"/>
    <n v="185.14"/>
    <n v="41.82"/>
    <n v="3147.3799999999997"/>
  </r>
  <r>
    <s v="TXN-104331"/>
    <x v="4331"/>
    <x v="0"/>
    <x v="0"/>
    <n v="2"/>
    <n v="181.2"/>
    <n v="49.38"/>
    <n v="362.4"/>
  </r>
  <r>
    <s v="TXN-104332"/>
    <x v="4332"/>
    <x v="0"/>
    <x v="3"/>
    <n v="5"/>
    <n v="129.63999999999999"/>
    <n v="17.68"/>
    <n v="648.19999999999993"/>
  </r>
  <r>
    <s v="TXN-104333"/>
    <x v="4333"/>
    <x v="2"/>
    <x v="0"/>
    <n v="16"/>
    <n v="34.93"/>
    <n v="19.190000000000001"/>
    <n v="558.88"/>
  </r>
  <r>
    <s v="TXN-104334"/>
    <x v="4334"/>
    <x v="1"/>
    <x v="1"/>
    <n v="7"/>
    <n v="131.94999999999999"/>
    <n v="45.63"/>
    <n v="923.64999999999986"/>
  </r>
  <r>
    <s v="TXN-104335"/>
    <x v="4335"/>
    <x v="2"/>
    <x v="3"/>
    <n v="1"/>
    <n v="38.869999999999997"/>
    <n v="15.53"/>
    <n v="38.869999999999997"/>
  </r>
  <r>
    <s v="TXN-104336"/>
    <x v="4336"/>
    <x v="1"/>
    <x v="0"/>
    <n v="12"/>
    <n v="417.14"/>
    <n v="29.66"/>
    <n v="5005.68"/>
  </r>
  <r>
    <s v="TXN-104337"/>
    <x v="4337"/>
    <x v="3"/>
    <x v="1"/>
    <n v="11"/>
    <n v="303.02"/>
    <n v="36.83"/>
    <n v="3333.22"/>
  </r>
  <r>
    <s v="TXN-104338"/>
    <x v="4338"/>
    <x v="3"/>
    <x v="2"/>
    <n v="12"/>
    <n v="400.74"/>
    <n v="17.23"/>
    <n v="4808.88"/>
  </r>
  <r>
    <s v="TXN-104339"/>
    <x v="4339"/>
    <x v="0"/>
    <x v="2"/>
    <n v="19"/>
    <n v="327.16000000000003"/>
    <n v="47.23"/>
    <n v="6216.0400000000009"/>
  </r>
  <r>
    <s v="TXN-104340"/>
    <x v="4340"/>
    <x v="1"/>
    <x v="0"/>
    <n v="12"/>
    <n v="72.540000000000006"/>
    <n v="34.96"/>
    <n v="870.48"/>
  </r>
  <r>
    <s v="TXN-104341"/>
    <x v="4341"/>
    <x v="1"/>
    <x v="0"/>
    <n v="12"/>
    <n v="424.18"/>
    <n v="7.12"/>
    <n v="5090.16"/>
  </r>
  <r>
    <s v="TXN-104342"/>
    <x v="4342"/>
    <x v="1"/>
    <x v="2"/>
    <n v="14"/>
    <n v="406.5"/>
    <n v="11.11"/>
    <n v="5691"/>
  </r>
  <r>
    <s v="TXN-104343"/>
    <x v="4343"/>
    <x v="0"/>
    <x v="1"/>
    <n v="2"/>
    <n v="166.74"/>
    <n v="13.59"/>
    <n v="333.48"/>
  </r>
  <r>
    <s v="TXN-104344"/>
    <x v="4344"/>
    <x v="0"/>
    <x v="1"/>
    <n v="2"/>
    <n v="63.96"/>
    <n v="16.02"/>
    <n v="127.92"/>
  </r>
  <r>
    <s v="TXN-104345"/>
    <x v="4345"/>
    <x v="3"/>
    <x v="1"/>
    <n v="4"/>
    <n v="321.45999999999998"/>
    <n v="37.880000000000003"/>
    <n v="1285.8399999999999"/>
  </r>
  <r>
    <s v="TXN-104346"/>
    <x v="4346"/>
    <x v="2"/>
    <x v="0"/>
    <n v="16"/>
    <n v="331.97"/>
    <n v="9"/>
    <n v="5311.52"/>
  </r>
  <r>
    <s v="TXN-104347"/>
    <x v="4347"/>
    <x v="1"/>
    <x v="3"/>
    <n v="10"/>
    <n v="405.17"/>
    <n v="20.78"/>
    <n v="4051.7000000000003"/>
  </r>
  <r>
    <s v="TXN-104348"/>
    <x v="4348"/>
    <x v="1"/>
    <x v="3"/>
    <n v="13"/>
    <n v="38.380000000000003"/>
    <n v="46.01"/>
    <n v="498.94000000000005"/>
  </r>
  <r>
    <s v="TXN-104349"/>
    <x v="4349"/>
    <x v="2"/>
    <x v="3"/>
    <n v="2"/>
    <n v="77.069999999999993"/>
    <n v="30.05"/>
    <n v="154.13999999999999"/>
  </r>
  <r>
    <s v="TXN-104350"/>
    <x v="4350"/>
    <x v="1"/>
    <x v="3"/>
    <n v="3"/>
    <n v="275.44"/>
    <n v="16.95"/>
    <n v="826.31999999999994"/>
  </r>
  <r>
    <s v="TXN-104351"/>
    <x v="4351"/>
    <x v="0"/>
    <x v="3"/>
    <n v="19"/>
    <n v="284.51"/>
    <n v="48.07"/>
    <n v="5405.69"/>
  </r>
  <r>
    <s v="TXN-104352"/>
    <x v="4352"/>
    <x v="0"/>
    <x v="0"/>
    <n v="6"/>
    <n v="30.1"/>
    <n v="15.99"/>
    <n v="180.60000000000002"/>
  </r>
  <r>
    <s v="TXN-104353"/>
    <x v="4353"/>
    <x v="1"/>
    <x v="0"/>
    <n v="19"/>
    <n v="187.97"/>
    <n v="45.73"/>
    <n v="3571.43"/>
  </r>
  <r>
    <s v="TXN-104354"/>
    <x v="4354"/>
    <x v="0"/>
    <x v="3"/>
    <n v="19"/>
    <n v="269.32"/>
    <n v="37.659999999999997"/>
    <n v="5117.08"/>
  </r>
  <r>
    <s v="TXN-104355"/>
    <x v="4355"/>
    <x v="0"/>
    <x v="0"/>
    <n v="8"/>
    <n v="336.12"/>
    <n v="38.32"/>
    <n v="2688.96"/>
  </r>
  <r>
    <s v="TXN-104356"/>
    <x v="4356"/>
    <x v="1"/>
    <x v="0"/>
    <n v="14"/>
    <n v="152.87"/>
    <n v="39.42"/>
    <n v="2140.1800000000003"/>
  </r>
  <r>
    <s v="TXN-104357"/>
    <x v="4357"/>
    <x v="3"/>
    <x v="3"/>
    <n v="10"/>
    <n v="225.76"/>
    <n v="27.8"/>
    <n v="2257.6"/>
  </r>
  <r>
    <s v="TXN-104358"/>
    <x v="4358"/>
    <x v="2"/>
    <x v="1"/>
    <n v="3"/>
    <n v="369.21"/>
    <n v="41.66"/>
    <n v="1107.6299999999999"/>
  </r>
  <r>
    <s v="TXN-104359"/>
    <x v="4359"/>
    <x v="0"/>
    <x v="0"/>
    <n v="6"/>
    <n v="429.97"/>
    <n v="42.63"/>
    <n v="2579.8200000000002"/>
  </r>
  <r>
    <s v="TXN-104360"/>
    <x v="4360"/>
    <x v="3"/>
    <x v="1"/>
    <n v="15"/>
    <n v="115.57"/>
    <n v="21.22"/>
    <n v="1733.55"/>
  </r>
  <r>
    <s v="TXN-104361"/>
    <x v="4361"/>
    <x v="0"/>
    <x v="0"/>
    <n v="18"/>
    <n v="125.45"/>
    <n v="23.02"/>
    <n v="2258.1"/>
  </r>
  <r>
    <s v="TXN-104362"/>
    <x v="4362"/>
    <x v="0"/>
    <x v="0"/>
    <n v="14"/>
    <n v="423.85"/>
    <n v="44.99"/>
    <n v="5933.9000000000005"/>
  </r>
  <r>
    <s v="TXN-104363"/>
    <x v="4363"/>
    <x v="2"/>
    <x v="3"/>
    <n v="19"/>
    <n v="187.52"/>
    <n v="28.61"/>
    <n v="3562.88"/>
  </r>
  <r>
    <s v="TXN-104364"/>
    <x v="4364"/>
    <x v="0"/>
    <x v="0"/>
    <n v="10"/>
    <n v="327.62"/>
    <n v="44.01"/>
    <n v="3276.2"/>
  </r>
  <r>
    <s v="TXN-104365"/>
    <x v="4365"/>
    <x v="2"/>
    <x v="2"/>
    <n v="15"/>
    <n v="281.52999999999997"/>
    <n v="33.200000000000003"/>
    <n v="4222.95"/>
  </r>
  <r>
    <s v="TXN-104366"/>
    <x v="4366"/>
    <x v="2"/>
    <x v="2"/>
    <n v="4"/>
    <n v="139.59"/>
    <n v="31.71"/>
    <n v="558.36"/>
  </r>
  <r>
    <s v="TXN-104367"/>
    <x v="4367"/>
    <x v="2"/>
    <x v="3"/>
    <n v="2"/>
    <n v="299.47000000000003"/>
    <n v="6.39"/>
    <n v="598.94000000000005"/>
  </r>
  <r>
    <s v="TXN-104368"/>
    <x v="4368"/>
    <x v="3"/>
    <x v="1"/>
    <n v="3"/>
    <n v="300.33999999999997"/>
    <n v="17.510000000000002"/>
    <n v="901.02"/>
  </r>
  <r>
    <s v="TXN-104369"/>
    <x v="4369"/>
    <x v="1"/>
    <x v="1"/>
    <n v="7"/>
    <n v="272.92"/>
    <n v="27.59"/>
    <n v="1910.44"/>
  </r>
  <r>
    <s v="TXN-104370"/>
    <x v="4370"/>
    <x v="3"/>
    <x v="1"/>
    <n v="16"/>
    <n v="58.8"/>
    <n v="31.43"/>
    <n v="940.8"/>
  </r>
  <r>
    <s v="TXN-104371"/>
    <x v="4371"/>
    <x v="1"/>
    <x v="2"/>
    <n v="10"/>
    <n v="447.9"/>
    <n v="33.369999999999997"/>
    <n v="4479"/>
  </r>
  <r>
    <s v="TXN-104372"/>
    <x v="4372"/>
    <x v="1"/>
    <x v="1"/>
    <n v="19"/>
    <n v="189.48"/>
    <n v="37.229999999999997"/>
    <n v="3600.12"/>
  </r>
  <r>
    <s v="TXN-104373"/>
    <x v="4373"/>
    <x v="2"/>
    <x v="1"/>
    <n v="17"/>
    <n v="292.82"/>
    <n v="34.53"/>
    <n v="4977.9399999999996"/>
  </r>
  <r>
    <s v="TXN-104374"/>
    <x v="4374"/>
    <x v="0"/>
    <x v="3"/>
    <n v="19"/>
    <n v="400.36"/>
    <n v="43.19"/>
    <n v="7606.84"/>
  </r>
  <r>
    <s v="TXN-104375"/>
    <x v="4375"/>
    <x v="2"/>
    <x v="1"/>
    <n v="5"/>
    <n v="199.42"/>
    <n v="18.3"/>
    <n v="997.09999999999991"/>
  </r>
  <r>
    <s v="TXN-104376"/>
    <x v="4376"/>
    <x v="0"/>
    <x v="2"/>
    <n v="13"/>
    <n v="351.77"/>
    <n v="33.869999999999997"/>
    <n v="4573.01"/>
  </r>
  <r>
    <s v="TXN-104377"/>
    <x v="4377"/>
    <x v="1"/>
    <x v="2"/>
    <n v="13"/>
    <n v="437.76"/>
    <n v="7.3"/>
    <n v="5690.88"/>
  </r>
  <r>
    <s v="TXN-104378"/>
    <x v="4378"/>
    <x v="2"/>
    <x v="2"/>
    <n v="11"/>
    <n v="171.46"/>
    <n v="26.61"/>
    <n v="1886.0600000000002"/>
  </r>
  <r>
    <s v="TXN-104379"/>
    <x v="4379"/>
    <x v="0"/>
    <x v="3"/>
    <n v="11"/>
    <n v="191.59"/>
    <n v="17.059999999999999"/>
    <n v="2107.4900000000002"/>
  </r>
  <r>
    <s v="TXN-104380"/>
    <x v="4380"/>
    <x v="3"/>
    <x v="3"/>
    <n v="16"/>
    <n v="408.97"/>
    <n v="22.14"/>
    <n v="6543.52"/>
  </r>
  <r>
    <s v="TXN-104381"/>
    <x v="4381"/>
    <x v="0"/>
    <x v="0"/>
    <n v="15"/>
    <n v="84.86"/>
    <n v="20.96"/>
    <n v="1272.9000000000001"/>
  </r>
  <r>
    <s v="TXN-104382"/>
    <x v="4382"/>
    <x v="2"/>
    <x v="1"/>
    <n v="17"/>
    <n v="27.92"/>
    <n v="7.72"/>
    <n v="474.64000000000004"/>
  </r>
  <r>
    <s v="TXN-104383"/>
    <x v="4383"/>
    <x v="3"/>
    <x v="3"/>
    <n v="18"/>
    <n v="410.41"/>
    <n v="26"/>
    <n v="7387.38"/>
  </r>
  <r>
    <s v="TXN-104384"/>
    <x v="4384"/>
    <x v="0"/>
    <x v="2"/>
    <n v="19"/>
    <n v="372.48"/>
    <n v="49.76"/>
    <n v="7077.1200000000008"/>
  </r>
  <r>
    <s v="TXN-104385"/>
    <x v="4385"/>
    <x v="0"/>
    <x v="2"/>
    <n v="4"/>
    <n v="438.09"/>
    <n v="18.45"/>
    <n v="1752.36"/>
  </r>
  <r>
    <s v="TXN-104386"/>
    <x v="4386"/>
    <x v="0"/>
    <x v="3"/>
    <n v="5"/>
    <n v="40.799999999999997"/>
    <n v="38.130000000000003"/>
    <n v="204"/>
  </r>
  <r>
    <s v="TXN-104387"/>
    <x v="4387"/>
    <x v="0"/>
    <x v="3"/>
    <n v="7"/>
    <n v="83.36"/>
    <n v="29.65"/>
    <n v="583.52"/>
  </r>
  <r>
    <s v="TXN-104388"/>
    <x v="4388"/>
    <x v="0"/>
    <x v="3"/>
    <n v="2"/>
    <n v="61.26"/>
    <n v="19.64"/>
    <n v="122.52"/>
  </r>
  <r>
    <s v="TXN-104389"/>
    <x v="4389"/>
    <x v="3"/>
    <x v="0"/>
    <n v="1"/>
    <n v="312.44"/>
    <n v="9.0299999999999994"/>
    <n v="312.44"/>
  </r>
  <r>
    <s v="TXN-104390"/>
    <x v="4390"/>
    <x v="1"/>
    <x v="2"/>
    <n v="12"/>
    <n v="278.81"/>
    <n v="14.71"/>
    <n v="3345.7200000000003"/>
  </r>
  <r>
    <s v="TXN-104391"/>
    <x v="4391"/>
    <x v="3"/>
    <x v="0"/>
    <n v="10"/>
    <n v="171.63"/>
    <n v="40.18"/>
    <n v="1716.3"/>
  </r>
  <r>
    <s v="TXN-104392"/>
    <x v="4392"/>
    <x v="3"/>
    <x v="0"/>
    <n v="8"/>
    <n v="40.450000000000003"/>
    <n v="17.559999999999999"/>
    <n v="323.60000000000002"/>
  </r>
  <r>
    <s v="TXN-104393"/>
    <x v="4393"/>
    <x v="3"/>
    <x v="1"/>
    <n v="1"/>
    <n v="293.43"/>
    <n v="11.49"/>
    <n v="293.43"/>
  </r>
  <r>
    <s v="TXN-104394"/>
    <x v="4394"/>
    <x v="1"/>
    <x v="2"/>
    <n v="12"/>
    <n v="263.22000000000003"/>
    <n v="19.91"/>
    <n v="3158.6400000000003"/>
  </r>
  <r>
    <s v="TXN-104395"/>
    <x v="4395"/>
    <x v="2"/>
    <x v="2"/>
    <n v="2"/>
    <n v="64.56"/>
    <n v="31.28"/>
    <n v="129.12"/>
  </r>
  <r>
    <s v="TXN-104396"/>
    <x v="4396"/>
    <x v="1"/>
    <x v="3"/>
    <n v="10"/>
    <n v="410.42"/>
    <n v="36.659999999999997"/>
    <n v="4104.2"/>
  </r>
  <r>
    <s v="TXN-104397"/>
    <x v="4397"/>
    <x v="3"/>
    <x v="3"/>
    <n v="17"/>
    <n v="101.94"/>
    <n v="22.43"/>
    <n v="1732.98"/>
  </r>
  <r>
    <s v="TXN-104398"/>
    <x v="4398"/>
    <x v="0"/>
    <x v="1"/>
    <n v="3"/>
    <n v="338.55"/>
    <n v="27.42"/>
    <n v="1015.6500000000001"/>
  </r>
  <r>
    <s v="TXN-104399"/>
    <x v="4399"/>
    <x v="0"/>
    <x v="0"/>
    <n v="7"/>
    <n v="400.07"/>
    <n v="25.47"/>
    <n v="2800.49"/>
  </r>
  <r>
    <s v="TXN-104400"/>
    <x v="4400"/>
    <x v="3"/>
    <x v="3"/>
    <n v="12"/>
    <n v="267.27999999999997"/>
    <n v="5.41"/>
    <n v="3207.3599999999997"/>
  </r>
  <r>
    <s v="TXN-104401"/>
    <x v="4401"/>
    <x v="0"/>
    <x v="3"/>
    <n v="8"/>
    <n v="122.76"/>
    <n v="22.8"/>
    <n v="982.08"/>
  </r>
  <r>
    <s v="TXN-104402"/>
    <x v="4402"/>
    <x v="3"/>
    <x v="2"/>
    <n v="12"/>
    <n v="149.87"/>
    <n v="31.43"/>
    <n v="1798.44"/>
  </r>
  <r>
    <s v="TXN-104403"/>
    <x v="4403"/>
    <x v="0"/>
    <x v="2"/>
    <n v="3"/>
    <n v="400.36"/>
    <n v="30.65"/>
    <n v="1201.08"/>
  </r>
  <r>
    <s v="TXN-104404"/>
    <x v="4404"/>
    <x v="1"/>
    <x v="3"/>
    <n v="17"/>
    <n v="145.09"/>
    <n v="38.74"/>
    <n v="2466.5300000000002"/>
  </r>
  <r>
    <s v="TXN-104405"/>
    <x v="4405"/>
    <x v="2"/>
    <x v="2"/>
    <n v="9"/>
    <n v="339.72"/>
    <n v="35.17"/>
    <n v="3057.4800000000005"/>
  </r>
  <r>
    <s v="TXN-104406"/>
    <x v="4406"/>
    <x v="2"/>
    <x v="1"/>
    <n v="10"/>
    <n v="445.73"/>
    <n v="17.46"/>
    <n v="4457.3"/>
  </r>
  <r>
    <s v="TXN-104407"/>
    <x v="4407"/>
    <x v="1"/>
    <x v="3"/>
    <n v="6"/>
    <n v="449.92"/>
    <n v="16.5"/>
    <n v="2699.52"/>
  </r>
  <r>
    <s v="TXN-104408"/>
    <x v="4408"/>
    <x v="1"/>
    <x v="2"/>
    <n v="1"/>
    <n v="247.3"/>
    <n v="25.89"/>
    <n v="247.3"/>
  </r>
  <r>
    <s v="TXN-104409"/>
    <x v="4409"/>
    <x v="3"/>
    <x v="1"/>
    <n v="12"/>
    <n v="374.64"/>
    <n v="37.979999999999997"/>
    <n v="4495.68"/>
  </r>
  <r>
    <s v="TXN-104410"/>
    <x v="4410"/>
    <x v="3"/>
    <x v="2"/>
    <n v="5"/>
    <n v="445.76"/>
    <n v="9.2200000000000006"/>
    <n v="2228.8000000000002"/>
  </r>
  <r>
    <s v="TXN-104411"/>
    <x v="4411"/>
    <x v="3"/>
    <x v="2"/>
    <n v="13"/>
    <n v="178.3"/>
    <n v="47.67"/>
    <n v="2317.9"/>
  </r>
  <r>
    <s v="TXN-104412"/>
    <x v="4412"/>
    <x v="0"/>
    <x v="2"/>
    <n v="15"/>
    <n v="125.17"/>
    <n v="29.44"/>
    <n v="1877.55"/>
  </r>
  <r>
    <s v="TXN-104413"/>
    <x v="4413"/>
    <x v="3"/>
    <x v="3"/>
    <n v="11"/>
    <n v="65.13"/>
    <n v="18.79"/>
    <n v="716.43"/>
  </r>
  <r>
    <s v="TXN-104414"/>
    <x v="4414"/>
    <x v="1"/>
    <x v="0"/>
    <n v="8"/>
    <n v="76.72"/>
    <n v="36.200000000000003"/>
    <n v="613.76"/>
  </r>
  <r>
    <s v="TXN-104415"/>
    <x v="4415"/>
    <x v="2"/>
    <x v="2"/>
    <n v="5"/>
    <n v="386.37"/>
    <n v="7.01"/>
    <n v="1931.85"/>
  </r>
  <r>
    <s v="TXN-104416"/>
    <x v="4416"/>
    <x v="0"/>
    <x v="1"/>
    <n v="2"/>
    <n v="271.3"/>
    <n v="26.8"/>
    <n v="542.6"/>
  </r>
  <r>
    <s v="TXN-104417"/>
    <x v="4417"/>
    <x v="3"/>
    <x v="3"/>
    <n v="12"/>
    <n v="395.13"/>
    <n v="26.87"/>
    <n v="4741.5599999999995"/>
  </r>
  <r>
    <s v="TXN-104418"/>
    <x v="4418"/>
    <x v="0"/>
    <x v="3"/>
    <n v="2"/>
    <n v="358.52"/>
    <n v="12.29"/>
    <n v="717.04"/>
  </r>
  <r>
    <s v="TXN-104419"/>
    <x v="4419"/>
    <x v="0"/>
    <x v="1"/>
    <n v="16"/>
    <n v="308.24"/>
    <n v="42.68"/>
    <n v="4931.84"/>
  </r>
  <r>
    <s v="TXN-104420"/>
    <x v="4420"/>
    <x v="3"/>
    <x v="2"/>
    <n v="3"/>
    <n v="280.25"/>
    <n v="40.86"/>
    <n v="840.75"/>
  </r>
  <r>
    <s v="TXN-104421"/>
    <x v="4421"/>
    <x v="0"/>
    <x v="0"/>
    <n v="10"/>
    <n v="36.5"/>
    <n v="11.87"/>
    <n v="365"/>
  </r>
  <r>
    <s v="TXN-104422"/>
    <x v="4422"/>
    <x v="2"/>
    <x v="2"/>
    <n v="19"/>
    <n v="394.5"/>
    <n v="21.37"/>
    <n v="7495.5"/>
  </r>
  <r>
    <s v="TXN-104423"/>
    <x v="4423"/>
    <x v="1"/>
    <x v="1"/>
    <n v="8"/>
    <n v="197.05"/>
    <n v="9.52"/>
    <n v="1576.4"/>
  </r>
  <r>
    <s v="TXN-104424"/>
    <x v="4424"/>
    <x v="1"/>
    <x v="3"/>
    <n v="7"/>
    <n v="258.73"/>
    <n v="43.19"/>
    <n v="1811.1100000000001"/>
  </r>
  <r>
    <s v="TXN-104425"/>
    <x v="4425"/>
    <x v="2"/>
    <x v="0"/>
    <n v="1"/>
    <n v="25.04"/>
    <n v="19.55"/>
    <n v="25.04"/>
  </r>
  <r>
    <s v="TXN-104426"/>
    <x v="4426"/>
    <x v="0"/>
    <x v="3"/>
    <n v="12"/>
    <n v="422.22"/>
    <n v="24.77"/>
    <n v="5066.6400000000003"/>
  </r>
  <r>
    <s v="TXN-104427"/>
    <x v="4427"/>
    <x v="3"/>
    <x v="1"/>
    <n v="5"/>
    <n v="407.74"/>
    <n v="19.57"/>
    <n v="2038.7"/>
  </r>
  <r>
    <s v="TXN-104428"/>
    <x v="4428"/>
    <x v="0"/>
    <x v="2"/>
    <n v="16"/>
    <n v="251.55"/>
    <n v="18.95"/>
    <n v="4024.8"/>
  </r>
  <r>
    <s v="TXN-104429"/>
    <x v="4429"/>
    <x v="2"/>
    <x v="0"/>
    <n v="4"/>
    <n v="266.33999999999997"/>
    <n v="38.630000000000003"/>
    <n v="1065.3599999999999"/>
  </r>
  <r>
    <s v="TXN-104430"/>
    <x v="4430"/>
    <x v="0"/>
    <x v="3"/>
    <n v="17"/>
    <n v="321.83"/>
    <n v="38.64"/>
    <n v="5471.11"/>
  </r>
  <r>
    <s v="TXN-104431"/>
    <x v="4431"/>
    <x v="1"/>
    <x v="3"/>
    <n v="2"/>
    <n v="130.51"/>
    <n v="28.3"/>
    <n v="261.02"/>
  </r>
  <r>
    <s v="TXN-104432"/>
    <x v="4432"/>
    <x v="0"/>
    <x v="3"/>
    <n v="12"/>
    <n v="111.92"/>
    <n v="34.590000000000003"/>
    <n v="1343.04"/>
  </r>
  <r>
    <s v="TXN-104433"/>
    <x v="4433"/>
    <x v="2"/>
    <x v="2"/>
    <n v="1"/>
    <n v="308.36"/>
    <n v="28.02"/>
    <n v="308.36"/>
  </r>
  <r>
    <s v="TXN-104434"/>
    <x v="4434"/>
    <x v="1"/>
    <x v="0"/>
    <n v="12"/>
    <n v="60.87"/>
    <n v="6.29"/>
    <n v="730.43999999999994"/>
  </r>
  <r>
    <s v="TXN-104435"/>
    <x v="4435"/>
    <x v="0"/>
    <x v="2"/>
    <n v="12"/>
    <n v="212.79"/>
    <n v="7.97"/>
    <n v="2553.48"/>
  </r>
  <r>
    <s v="TXN-104436"/>
    <x v="4436"/>
    <x v="0"/>
    <x v="2"/>
    <n v="12"/>
    <n v="229.6"/>
    <n v="22.27"/>
    <n v="2755.2"/>
  </r>
  <r>
    <s v="TXN-104437"/>
    <x v="4437"/>
    <x v="1"/>
    <x v="2"/>
    <n v="19"/>
    <n v="181.19"/>
    <n v="38.74"/>
    <n v="3442.61"/>
  </r>
  <r>
    <s v="TXN-104438"/>
    <x v="4438"/>
    <x v="3"/>
    <x v="1"/>
    <n v="17"/>
    <n v="96"/>
    <n v="46.1"/>
    <n v="1632"/>
  </r>
  <r>
    <s v="TXN-104439"/>
    <x v="4439"/>
    <x v="1"/>
    <x v="1"/>
    <n v="11"/>
    <n v="169.88"/>
    <n v="6.34"/>
    <n v="1868.6799999999998"/>
  </r>
  <r>
    <s v="TXN-104440"/>
    <x v="4440"/>
    <x v="3"/>
    <x v="1"/>
    <n v="13"/>
    <n v="162.16999999999999"/>
    <n v="21.56"/>
    <n v="2108.21"/>
  </r>
  <r>
    <s v="TXN-104441"/>
    <x v="4441"/>
    <x v="2"/>
    <x v="0"/>
    <n v="8"/>
    <n v="232.43"/>
    <n v="15.07"/>
    <n v="1859.44"/>
  </r>
  <r>
    <s v="TXN-104442"/>
    <x v="4442"/>
    <x v="2"/>
    <x v="2"/>
    <n v="10"/>
    <n v="308.64999999999998"/>
    <n v="41.68"/>
    <n v="3086.5"/>
  </r>
  <r>
    <s v="TXN-104443"/>
    <x v="4443"/>
    <x v="1"/>
    <x v="2"/>
    <n v="8"/>
    <n v="436.2"/>
    <n v="43.07"/>
    <n v="3489.6"/>
  </r>
  <r>
    <s v="TXN-104444"/>
    <x v="4444"/>
    <x v="1"/>
    <x v="1"/>
    <n v="8"/>
    <n v="78.14"/>
    <n v="14.29"/>
    <n v="625.12"/>
  </r>
  <r>
    <s v="TXN-104445"/>
    <x v="4445"/>
    <x v="2"/>
    <x v="2"/>
    <n v="9"/>
    <n v="394.83"/>
    <n v="36.99"/>
    <n v="3553.47"/>
  </r>
  <r>
    <s v="TXN-104446"/>
    <x v="4446"/>
    <x v="3"/>
    <x v="2"/>
    <n v="7"/>
    <n v="138.97999999999999"/>
    <n v="37.93"/>
    <n v="972.8599999999999"/>
  </r>
  <r>
    <s v="TXN-104447"/>
    <x v="4447"/>
    <x v="2"/>
    <x v="3"/>
    <n v="14"/>
    <n v="272.45"/>
    <n v="12.97"/>
    <n v="3814.2999999999997"/>
  </r>
  <r>
    <s v="TXN-104448"/>
    <x v="4448"/>
    <x v="1"/>
    <x v="2"/>
    <n v="2"/>
    <n v="253.06"/>
    <n v="24.52"/>
    <n v="506.12"/>
  </r>
  <r>
    <s v="TXN-104449"/>
    <x v="4449"/>
    <x v="2"/>
    <x v="3"/>
    <n v="11"/>
    <n v="257.49"/>
    <n v="32.92"/>
    <n v="2832.3900000000003"/>
  </r>
  <r>
    <s v="TXN-104450"/>
    <x v="4450"/>
    <x v="1"/>
    <x v="2"/>
    <n v="8"/>
    <n v="329.8"/>
    <n v="6.17"/>
    <n v="2638.4"/>
  </r>
  <r>
    <s v="TXN-104451"/>
    <x v="4451"/>
    <x v="1"/>
    <x v="0"/>
    <n v="13"/>
    <n v="181.34"/>
    <n v="23.21"/>
    <n v="2357.42"/>
  </r>
  <r>
    <s v="TXN-104452"/>
    <x v="4452"/>
    <x v="2"/>
    <x v="1"/>
    <n v="15"/>
    <n v="154.15"/>
    <n v="11.97"/>
    <n v="2312.25"/>
  </r>
  <r>
    <s v="TXN-104453"/>
    <x v="4453"/>
    <x v="3"/>
    <x v="3"/>
    <n v="3"/>
    <n v="386.06"/>
    <n v="29.39"/>
    <n v="1158.18"/>
  </r>
  <r>
    <s v="TXN-104454"/>
    <x v="4454"/>
    <x v="0"/>
    <x v="1"/>
    <n v="14"/>
    <n v="111.13"/>
    <n v="42.93"/>
    <n v="1555.82"/>
  </r>
  <r>
    <s v="TXN-104455"/>
    <x v="4455"/>
    <x v="2"/>
    <x v="3"/>
    <n v="15"/>
    <n v="93.82"/>
    <n v="28.61"/>
    <n v="1407.3"/>
  </r>
  <r>
    <s v="TXN-104456"/>
    <x v="4456"/>
    <x v="0"/>
    <x v="3"/>
    <n v="2"/>
    <n v="22.28"/>
    <n v="6.62"/>
    <n v="44.56"/>
  </r>
  <r>
    <s v="TXN-104457"/>
    <x v="4457"/>
    <x v="2"/>
    <x v="3"/>
    <n v="19"/>
    <n v="107"/>
    <n v="6.33"/>
    <n v="2033"/>
  </r>
  <r>
    <s v="TXN-104458"/>
    <x v="4458"/>
    <x v="0"/>
    <x v="0"/>
    <n v="12"/>
    <n v="240.8"/>
    <n v="32.25"/>
    <n v="2889.6000000000004"/>
  </r>
  <r>
    <s v="TXN-104459"/>
    <x v="4459"/>
    <x v="3"/>
    <x v="2"/>
    <n v="4"/>
    <n v="249.48"/>
    <n v="19.760000000000002"/>
    <n v="997.92"/>
  </r>
  <r>
    <s v="TXN-104460"/>
    <x v="4460"/>
    <x v="3"/>
    <x v="3"/>
    <n v="3"/>
    <n v="126.05"/>
    <n v="30.77"/>
    <n v="378.15"/>
  </r>
  <r>
    <s v="TXN-104461"/>
    <x v="4461"/>
    <x v="2"/>
    <x v="0"/>
    <n v="5"/>
    <n v="46.9"/>
    <n v="12.36"/>
    <n v="234.5"/>
  </r>
  <r>
    <s v="TXN-104462"/>
    <x v="4462"/>
    <x v="1"/>
    <x v="3"/>
    <n v="3"/>
    <n v="339.05"/>
    <n v="39.96"/>
    <n v="1017.1500000000001"/>
  </r>
  <r>
    <s v="TXN-104463"/>
    <x v="4463"/>
    <x v="0"/>
    <x v="2"/>
    <n v="15"/>
    <n v="344.84"/>
    <n v="43.73"/>
    <n v="5172.5999999999995"/>
  </r>
  <r>
    <s v="TXN-104464"/>
    <x v="4464"/>
    <x v="1"/>
    <x v="3"/>
    <n v="19"/>
    <n v="449.06"/>
    <n v="45.02"/>
    <n v="8532.14"/>
  </r>
  <r>
    <s v="TXN-104465"/>
    <x v="4465"/>
    <x v="1"/>
    <x v="0"/>
    <n v="2"/>
    <n v="406.56"/>
    <n v="18.68"/>
    <n v="813.12"/>
  </r>
  <r>
    <s v="TXN-104466"/>
    <x v="4466"/>
    <x v="1"/>
    <x v="2"/>
    <n v="12"/>
    <n v="417.87"/>
    <n v="34.729999999999997"/>
    <n v="5014.4400000000005"/>
  </r>
  <r>
    <s v="TXN-104467"/>
    <x v="4467"/>
    <x v="3"/>
    <x v="0"/>
    <n v="5"/>
    <n v="362.32"/>
    <n v="17.559999999999999"/>
    <n v="1811.6"/>
  </r>
  <r>
    <s v="TXN-104468"/>
    <x v="4468"/>
    <x v="2"/>
    <x v="2"/>
    <n v="17"/>
    <n v="282.94"/>
    <n v="39.32"/>
    <n v="4809.9799999999996"/>
  </r>
  <r>
    <s v="TXN-104469"/>
    <x v="4469"/>
    <x v="2"/>
    <x v="2"/>
    <n v="14"/>
    <n v="71.349999999999994"/>
    <n v="10.42"/>
    <n v="998.89999999999986"/>
  </r>
  <r>
    <s v="TXN-104470"/>
    <x v="4470"/>
    <x v="3"/>
    <x v="1"/>
    <n v="10"/>
    <n v="285.89999999999998"/>
    <n v="39.32"/>
    <n v="2859"/>
  </r>
  <r>
    <s v="TXN-104471"/>
    <x v="4471"/>
    <x v="3"/>
    <x v="1"/>
    <n v="3"/>
    <n v="39.81"/>
    <n v="24.79"/>
    <n v="119.43"/>
  </r>
  <r>
    <s v="TXN-104472"/>
    <x v="4472"/>
    <x v="2"/>
    <x v="1"/>
    <n v="4"/>
    <n v="400.16"/>
    <n v="43.5"/>
    <n v="1600.64"/>
  </r>
  <r>
    <s v="TXN-104473"/>
    <x v="4473"/>
    <x v="1"/>
    <x v="2"/>
    <n v="6"/>
    <n v="224.85"/>
    <n v="38.25"/>
    <n v="1349.1"/>
  </r>
  <r>
    <s v="TXN-104474"/>
    <x v="4474"/>
    <x v="0"/>
    <x v="3"/>
    <n v="16"/>
    <n v="318.55"/>
    <n v="21.94"/>
    <n v="5096.8"/>
  </r>
  <r>
    <s v="TXN-104475"/>
    <x v="4475"/>
    <x v="0"/>
    <x v="0"/>
    <n v="7"/>
    <n v="38.200000000000003"/>
    <n v="45.66"/>
    <n v="267.40000000000003"/>
  </r>
  <r>
    <s v="TXN-104476"/>
    <x v="4476"/>
    <x v="0"/>
    <x v="0"/>
    <n v="15"/>
    <n v="247.63"/>
    <n v="17.75"/>
    <n v="3714.45"/>
  </r>
  <r>
    <s v="TXN-104477"/>
    <x v="4477"/>
    <x v="1"/>
    <x v="0"/>
    <n v="11"/>
    <n v="146.4"/>
    <n v="48.51"/>
    <n v="1610.4"/>
  </r>
  <r>
    <s v="TXN-104478"/>
    <x v="4478"/>
    <x v="2"/>
    <x v="1"/>
    <n v="1"/>
    <n v="139.32"/>
    <n v="39.520000000000003"/>
    <n v="139.32"/>
  </r>
  <r>
    <s v="TXN-104479"/>
    <x v="4479"/>
    <x v="3"/>
    <x v="2"/>
    <n v="5"/>
    <n v="184.81"/>
    <n v="49.58"/>
    <n v="924.05"/>
  </r>
  <r>
    <s v="TXN-104480"/>
    <x v="4480"/>
    <x v="2"/>
    <x v="1"/>
    <n v="13"/>
    <n v="15.78"/>
    <n v="7.43"/>
    <n v="205.14"/>
  </r>
  <r>
    <s v="TXN-104481"/>
    <x v="4481"/>
    <x v="1"/>
    <x v="3"/>
    <n v="14"/>
    <n v="218.26"/>
    <n v="17.329999999999998"/>
    <n v="3055.64"/>
  </r>
  <r>
    <s v="TXN-104482"/>
    <x v="4482"/>
    <x v="3"/>
    <x v="2"/>
    <n v="9"/>
    <n v="226.91"/>
    <n v="38.36"/>
    <n v="2042.19"/>
  </r>
  <r>
    <s v="TXN-104483"/>
    <x v="4483"/>
    <x v="1"/>
    <x v="0"/>
    <n v="17"/>
    <n v="390.53"/>
    <n v="46.5"/>
    <n v="6639.0099999999993"/>
  </r>
  <r>
    <s v="TXN-104484"/>
    <x v="4484"/>
    <x v="0"/>
    <x v="1"/>
    <n v="15"/>
    <n v="210.38"/>
    <n v="6.29"/>
    <n v="3155.7"/>
  </r>
  <r>
    <s v="TXN-104485"/>
    <x v="4485"/>
    <x v="0"/>
    <x v="1"/>
    <n v="7"/>
    <n v="173.47"/>
    <n v="5"/>
    <n v="1214.29"/>
  </r>
  <r>
    <s v="TXN-104486"/>
    <x v="4486"/>
    <x v="1"/>
    <x v="3"/>
    <n v="12"/>
    <n v="447.72"/>
    <n v="16.53"/>
    <n v="5372.64"/>
  </r>
  <r>
    <s v="TXN-104487"/>
    <x v="4487"/>
    <x v="3"/>
    <x v="3"/>
    <n v="6"/>
    <n v="263.69"/>
    <n v="43.38"/>
    <n v="1582.1399999999999"/>
  </r>
  <r>
    <s v="TXN-104488"/>
    <x v="4488"/>
    <x v="3"/>
    <x v="1"/>
    <n v="16"/>
    <n v="220.85"/>
    <n v="39.520000000000003"/>
    <n v="3533.6"/>
  </r>
  <r>
    <s v="TXN-104489"/>
    <x v="4489"/>
    <x v="2"/>
    <x v="3"/>
    <n v="5"/>
    <n v="230.98"/>
    <n v="20.309999999999999"/>
    <n v="1154.8999999999999"/>
  </r>
  <r>
    <s v="TXN-104490"/>
    <x v="4490"/>
    <x v="0"/>
    <x v="0"/>
    <n v="9"/>
    <n v="367.09"/>
    <n v="5.09"/>
    <n v="3303.81"/>
  </r>
  <r>
    <s v="TXN-104491"/>
    <x v="4491"/>
    <x v="2"/>
    <x v="3"/>
    <n v="14"/>
    <n v="163.52000000000001"/>
    <n v="29.96"/>
    <n v="2289.2800000000002"/>
  </r>
  <r>
    <s v="TXN-104492"/>
    <x v="4492"/>
    <x v="2"/>
    <x v="3"/>
    <n v="8"/>
    <n v="184.59"/>
    <n v="15.71"/>
    <n v="1476.72"/>
  </r>
  <r>
    <s v="TXN-104493"/>
    <x v="4493"/>
    <x v="1"/>
    <x v="1"/>
    <n v="14"/>
    <n v="343.93"/>
    <n v="38.549999999999997"/>
    <n v="4815.0200000000004"/>
  </r>
  <r>
    <s v="TXN-104494"/>
    <x v="4494"/>
    <x v="1"/>
    <x v="1"/>
    <n v="12"/>
    <n v="47.21"/>
    <n v="25.09"/>
    <n v="566.52"/>
  </r>
  <r>
    <s v="TXN-104495"/>
    <x v="4495"/>
    <x v="2"/>
    <x v="2"/>
    <n v="10"/>
    <n v="391.42"/>
    <n v="35.54"/>
    <n v="3914.2000000000003"/>
  </r>
  <r>
    <s v="TXN-104496"/>
    <x v="4496"/>
    <x v="0"/>
    <x v="2"/>
    <n v="13"/>
    <n v="202.42"/>
    <n v="43.35"/>
    <n v="2631.46"/>
  </r>
  <r>
    <s v="TXN-104497"/>
    <x v="4497"/>
    <x v="1"/>
    <x v="1"/>
    <n v="19"/>
    <n v="268.07"/>
    <n v="29.11"/>
    <n v="5093.33"/>
  </r>
  <r>
    <s v="TXN-104498"/>
    <x v="4498"/>
    <x v="2"/>
    <x v="3"/>
    <n v="15"/>
    <n v="344.62"/>
    <n v="20.12"/>
    <n v="5169.3"/>
  </r>
  <r>
    <s v="TXN-104499"/>
    <x v="4499"/>
    <x v="2"/>
    <x v="3"/>
    <n v="8"/>
    <n v="131.1"/>
    <n v="39.630000000000003"/>
    <n v="1048.8"/>
  </r>
  <r>
    <s v="TXN-104500"/>
    <x v="4500"/>
    <x v="2"/>
    <x v="2"/>
    <n v="10"/>
    <n v="402.34"/>
    <n v="16.93"/>
    <n v="4023.3999999999996"/>
  </r>
  <r>
    <s v="TXN-104501"/>
    <x v="4501"/>
    <x v="2"/>
    <x v="2"/>
    <n v="3"/>
    <n v="440.97"/>
    <n v="45.12"/>
    <n v="1322.91"/>
  </r>
  <r>
    <s v="TXN-104502"/>
    <x v="4502"/>
    <x v="2"/>
    <x v="2"/>
    <n v="3"/>
    <n v="230.26"/>
    <n v="8.2100000000000009"/>
    <n v="690.78"/>
  </r>
  <r>
    <s v="TXN-104503"/>
    <x v="4503"/>
    <x v="2"/>
    <x v="0"/>
    <n v="5"/>
    <n v="422.6"/>
    <n v="42.6"/>
    <n v="2113"/>
  </r>
  <r>
    <s v="TXN-104504"/>
    <x v="4504"/>
    <x v="1"/>
    <x v="0"/>
    <n v="16"/>
    <n v="15.99"/>
    <n v="9.1199999999999992"/>
    <n v="255.84"/>
  </r>
  <r>
    <s v="TXN-104505"/>
    <x v="4505"/>
    <x v="0"/>
    <x v="2"/>
    <n v="17"/>
    <n v="404.05"/>
    <n v="7.53"/>
    <n v="6868.85"/>
  </r>
  <r>
    <s v="TXN-104506"/>
    <x v="4506"/>
    <x v="2"/>
    <x v="3"/>
    <n v="6"/>
    <n v="150.65"/>
    <n v="21.35"/>
    <n v="903.90000000000009"/>
  </r>
  <r>
    <s v="TXN-104507"/>
    <x v="4507"/>
    <x v="3"/>
    <x v="2"/>
    <n v="16"/>
    <n v="150.84"/>
    <n v="48.04"/>
    <n v="2413.44"/>
  </r>
  <r>
    <s v="TXN-104508"/>
    <x v="4508"/>
    <x v="1"/>
    <x v="0"/>
    <n v="2"/>
    <n v="114.6"/>
    <n v="49.26"/>
    <n v="229.2"/>
  </r>
  <r>
    <s v="TXN-104509"/>
    <x v="4509"/>
    <x v="1"/>
    <x v="3"/>
    <n v="15"/>
    <n v="153.24"/>
    <n v="14.09"/>
    <n v="2298.6000000000004"/>
  </r>
  <r>
    <s v="TXN-104510"/>
    <x v="4510"/>
    <x v="2"/>
    <x v="0"/>
    <n v="18"/>
    <n v="108.26"/>
    <n v="11.69"/>
    <n v="1948.68"/>
  </r>
  <r>
    <s v="TXN-104511"/>
    <x v="4511"/>
    <x v="1"/>
    <x v="3"/>
    <n v="1"/>
    <n v="409.1"/>
    <n v="20.88"/>
    <n v="409.1"/>
  </r>
  <r>
    <s v="TXN-104512"/>
    <x v="4512"/>
    <x v="2"/>
    <x v="0"/>
    <n v="19"/>
    <n v="406.13"/>
    <n v="20.170000000000002"/>
    <n v="7716.47"/>
  </r>
  <r>
    <s v="TXN-104513"/>
    <x v="4513"/>
    <x v="0"/>
    <x v="3"/>
    <n v="12"/>
    <n v="59.91"/>
    <n v="39.18"/>
    <n v="718.92"/>
  </r>
  <r>
    <s v="TXN-104514"/>
    <x v="4514"/>
    <x v="0"/>
    <x v="3"/>
    <n v="8"/>
    <n v="77.569999999999993"/>
    <n v="24.98"/>
    <n v="620.55999999999995"/>
  </r>
  <r>
    <s v="TXN-104515"/>
    <x v="4515"/>
    <x v="1"/>
    <x v="3"/>
    <n v="6"/>
    <n v="390.05"/>
    <n v="40.090000000000003"/>
    <n v="2340.3000000000002"/>
  </r>
  <r>
    <s v="TXN-104516"/>
    <x v="4516"/>
    <x v="1"/>
    <x v="3"/>
    <n v="12"/>
    <n v="188.84"/>
    <n v="38.69"/>
    <n v="2266.08"/>
  </r>
  <r>
    <s v="TXN-104517"/>
    <x v="4517"/>
    <x v="3"/>
    <x v="1"/>
    <n v="7"/>
    <n v="89.05"/>
    <n v="31.02"/>
    <n v="623.35"/>
  </r>
  <r>
    <s v="TXN-104518"/>
    <x v="4518"/>
    <x v="1"/>
    <x v="0"/>
    <n v="18"/>
    <n v="237.39"/>
    <n v="42.51"/>
    <n v="4273.0199999999995"/>
  </r>
  <r>
    <s v="TXN-104519"/>
    <x v="4519"/>
    <x v="3"/>
    <x v="0"/>
    <n v="14"/>
    <n v="196.54"/>
    <n v="13.8"/>
    <n v="2751.56"/>
  </r>
  <r>
    <s v="TXN-104520"/>
    <x v="4520"/>
    <x v="0"/>
    <x v="1"/>
    <n v="8"/>
    <n v="110.73"/>
    <n v="12.28"/>
    <n v="885.84"/>
  </r>
  <r>
    <s v="TXN-104521"/>
    <x v="4521"/>
    <x v="0"/>
    <x v="3"/>
    <n v="14"/>
    <n v="328.67"/>
    <n v="38.78"/>
    <n v="4601.38"/>
  </r>
  <r>
    <s v="TXN-104522"/>
    <x v="4522"/>
    <x v="2"/>
    <x v="3"/>
    <n v="5"/>
    <n v="289.8"/>
    <n v="16.02"/>
    <n v="1449"/>
  </r>
  <r>
    <s v="TXN-104523"/>
    <x v="4523"/>
    <x v="0"/>
    <x v="0"/>
    <n v="9"/>
    <n v="58.8"/>
    <n v="5.13"/>
    <n v="529.19999999999993"/>
  </r>
  <r>
    <s v="TXN-104524"/>
    <x v="4524"/>
    <x v="3"/>
    <x v="1"/>
    <n v="8"/>
    <n v="417.58"/>
    <n v="46.04"/>
    <n v="3340.64"/>
  </r>
  <r>
    <s v="TXN-104525"/>
    <x v="4525"/>
    <x v="1"/>
    <x v="3"/>
    <n v="2"/>
    <n v="258.16000000000003"/>
    <n v="33.03"/>
    <n v="516.32000000000005"/>
  </r>
  <r>
    <s v="TXN-104526"/>
    <x v="4526"/>
    <x v="2"/>
    <x v="3"/>
    <n v="16"/>
    <n v="124.21"/>
    <n v="25.02"/>
    <n v="1987.36"/>
  </r>
  <r>
    <s v="TXN-104527"/>
    <x v="4527"/>
    <x v="3"/>
    <x v="3"/>
    <n v="13"/>
    <n v="105.13"/>
    <n v="37.659999999999997"/>
    <n v="1366.69"/>
  </r>
  <r>
    <s v="TXN-104528"/>
    <x v="4528"/>
    <x v="1"/>
    <x v="2"/>
    <n v="7"/>
    <n v="74.569999999999993"/>
    <n v="20"/>
    <n v="521.99"/>
  </r>
  <r>
    <s v="TXN-104529"/>
    <x v="4529"/>
    <x v="2"/>
    <x v="1"/>
    <n v="16"/>
    <n v="200"/>
    <n v="47.91"/>
    <n v="3200"/>
  </r>
  <r>
    <s v="TXN-104530"/>
    <x v="4530"/>
    <x v="0"/>
    <x v="3"/>
    <n v="7"/>
    <n v="74.39"/>
    <n v="8.09"/>
    <n v="520.73"/>
  </r>
  <r>
    <s v="TXN-104531"/>
    <x v="4531"/>
    <x v="3"/>
    <x v="2"/>
    <n v="14"/>
    <n v="196.17"/>
    <n v="33.840000000000003"/>
    <n v="2746.3799999999997"/>
  </r>
  <r>
    <s v="TXN-104532"/>
    <x v="4532"/>
    <x v="1"/>
    <x v="1"/>
    <n v="14"/>
    <n v="80.14"/>
    <n v="39.979999999999997"/>
    <n v="1121.96"/>
  </r>
  <r>
    <s v="TXN-104533"/>
    <x v="4533"/>
    <x v="2"/>
    <x v="3"/>
    <n v="12"/>
    <n v="300.88"/>
    <n v="26.11"/>
    <n v="3610.56"/>
  </r>
  <r>
    <s v="TXN-104534"/>
    <x v="4534"/>
    <x v="2"/>
    <x v="0"/>
    <n v="1"/>
    <n v="356.69"/>
    <n v="38.97"/>
    <n v="356.69"/>
  </r>
  <r>
    <s v="TXN-104535"/>
    <x v="4535"/>
    <x v="0"/>
    <x v="2"/>
    <n v="1"/>
    <n v="254.27"/>
    <n v="46.71"/>
    <n v="254.27"/>
  </r>
  <r>
    <s v="TXN-104536"/>
    <x v="4536"/>
    <x v="1"/>
    <x v="2"/>
    <n v="12"/>
    <n v="310.98"/>
    <n v="38.479999999999997"/>
    <n v="3731.76"/>
  </r>
  <r>
    <s v="TXN-104537"/>
    <x v="4537"/>
    <x v="0"/>
    <x v="3"/>
    <n v="15"/>
    <n v="423.23"/>
    <n v="18.920000000000002"/>
    <n v="6348.4500000000007"/>
  </r>
  <r>
    <s v="TXN-104538"/>
    <x v="4538"/>
    <x v="0"/>
    <x v="3"/>
    <n v="4"/>
    <n v="292.87"/>
    <n v="30.28"/>
    <n v="1171.48"/>
  </r>
  <r>
    <s v="TXN-104539"/>
    <x v="4539"/>
    <x v="1"/>
    <x v="2"/>
    <n v="7"/>
    <n v="173.73"/>
    <n v="46.02"/>
    <n v="1216.1099999999999"/>
  </r>
  <r>
    <s v="TXN-104540"/>
    <x v="4540"/>
    <x v="1"/>
    <x v="0"/>
    <n v="16"/>
    <n v="210.8"/>
    <n v="25.21"/>
    <n v="3372.8"/>
  </r>
  <r>
    <s v="TXN-104541"/>
    <x v="4541"/>
    <x v="1"/>
    <x v="0"/>
    <n v="3"/>
    <n v="389.4"/>
    <n v="35.68"/>
    <n v="1168.1999999999998"/>
  </r>
  <r>
    <s v="TXN-104542"/>
    <x v="4542"/>
    <x v="3"/>
    <x v="1"/>
    <n v="7"/>
    <n v="72.3"/>
    <n v="25.95"/>
    <n v="506.09999999999997"/>
  </r>
  <r>
    <s v="TXN-104543"/>
    <x v="4543"/>
    <x v="1"/>
    <x v="3"/>
    <n v="6"/>
    <n v="157.03"/>
    <n v="10.46"/>
    <n v="942.18000000000006"/>
  </r>
  <r>
    <s v="TXN-104544"/>
    <x v="4544"/>
    <x v="2"/>
    <x v="0"/>
    <n v="16"/>
    <n v="266.33"/>
    <n v="7.64"/>
    <n v="4261.28"/>
  </r>
  <r>
    <s v="TXN-104545"/>
    <x v="4545"/>
    <x v="0"/>
    <x v="1"/>
    <n v="8"/>
    <n v="309.39"/>
    <n v="47.85"/>
    <n v="2475.12"/>
  </r>
  <r>
    <s v="TXN-104546"/>
    <x v="4546"/>
    <x v="3"/>
    <x v="0"/>
    <n v="6"/>
    <n v="347.24"/>
    <n v="32.56"/>
    <n v="2083.44"/>
  </r>
  <r>
    <s v="TXN-104547"/>
    <x v="4547"/>
    <x v="1"/>
    <x v="3"/>
    <n v="10"/>
    <n v="153.76"/>
    <n v="9.67"/>
    <n v="1537.6"/>
  </r>
  <r>
    <s v="TXN-104548"/>
    <x v="4548"/>
    <x v="3"/>
    <x v="1"/>
    <n v="16"/>
    <n v="78.88"/>
    <n v="43.58"/>
    <n v="1262.08"/>
  </r>
  <r>
    <s v="TXN-104549"/>
    <x v="4549"/>
    <x v="1"/>
    <x v="1"/>
    <n v="11"/>
    <n v="430.38"/>
    <n v="28.52"/>
    <n v="4734.18"/>
  </r>
  <r>
    <s v="TXN-104550"/>
    <x v="4550"/>
    <x v="3"/>
    <x v="1"/>
    <n v="13"/>
    <n v="48.69"/>
    <n v="39.74"/>
    <n v="632.97"/>
  </r>
  <r>
    <s v="TXN-104551"/>
    <x v="4551"/>
    <x v="0"/>
    <x v="0"/>
    <n v="6"/>
    <n v="57.13"/>
    <n v="10.7"/>
    <n v="342.78000000000003"/>
  </r>
  <r>
    <s v="TXN-104552"/>
    <x v="4552"/>
    <x v="0"/>
    <x v="3"/>
    <n v="1"/>
    <n v="230.55"/>
    <n v="45.81"/>
    <n v="230.55"/>
  </r>
  <r>
    <s v="TXN-104553"/>
    <x v="4553"/>
    <x v="2"/>
    <x v="1"/>
    <n v="19"/>
    <n v="371.47"/>
    <n v="31.57"/>
    <n v="7057.93"/>
  </r>
  <r>
    <s v="TXN-104554"/>
    <x v="4554"/>
    <x v="2"/>
    <x v="2"/>
    <n v="12"/>
    <n v="352.02"/>
    <n v="38.22"/>
    <n v="4224.24"/>
  </r>
  <r>
    <s v="TXN-104555"/>
    <x v="4555"/>
    <x v="1"/>
    <x v="3"/>
    <n v="6"/>
    <n v="422.93"/>
    <n v="6.41"/>
    <n v="2537.58"/>
  </r>
  <r>
    <s v="TXN-104556"/>
    <x v="4556"/>
    <x v="0"/>
    <x v="2"/>
    <n v="18"/>
    <n v="77.03"/>
    <n v="19.190000000000001"/>
    <n v="1386.54"/>
  </r>
  <r>
    <s v="TXN-104557"/>
    <x v="4557"/>
    <x v="3"/>
    <x v="2"/>
    <n v="13"/>
    <n v="178.75"/>
    <n v="17.04"/>
    <n v="2323.75"/>
  </r>
  <r>
    <s v="TXN-104558"/>
    <x v="4558"/>
    <x v="3"/>
    <x v="1"/>
    <n v="7"/>
    <n v="138.09"/>
    <n v="47.73"/>
    <n v="966.63"/>
  </r>
  <r>
    <s v="TXN-104559"/>
    <x v="4559"/>
    <x v="3"/>
    <x v="1"/>
    <n v="13"/>
    <n v="389.55"/>
    <n v="13.34"/>
    <n v="5064.1500000000005"/>
  </r>
  <r>
    <s v="TXN-104560"/>
    <x v="4560"/>
    <x v="2"/>
    <x v="0"/>
    <n v="8"/>
    <n v="227.69"/>
    <n v="36.82"/>
    <n v="1821.52"/>
  </r>
  <r>
    <s v="TXN-104561"/>
    <x v="4561"/>
    <x v="3"/>
    <x v="0"/>
    <n v="17"/>
    <n v="27.17"/>
    <n v="6.92"/>
    <n v="461.89000000000004"/>
  </r>
  <r>
    <s v="TXN-104562"/>
    <x v="4562"/>
    <x v="2"/>
    <x v="0"/>
    <n v="9"/>
    <n v="323.11"/>
    <n v="13.9"/>
    <n v="2907.9900000000002"/>
  </r>
  <r>
    <s v="TXN-104563"/>
    <x v="4563"/>
    <x v="2"/>
    <x v="3"/>
    <n v="13"/>
    <n v="184.39"/>
    <n v="20.239999999999998"/>
    <n v="2397.0699999999997"/>
  </r>
  <r>
    <s v="TXN-104564"/>
    <x v="4564"/>
    <x v="1"/>
    <x v="0"/>
    <n v="2"/>
    <n v="246.28"/>
    <n v="40.75"/>
    <n v="492.56"/>
  </r>
  <r>
    <s v="TXN-104565"/>
    <x v="4565"/>
    <x v="3"/>
    <x v="2"/>
    <n v="4"/>
    <n v="403.85"/>
    <n v="40.549999999999997"/>
    <n v="1615.4"/>
  </r>
  <r>
    <s v="TXN-104566"/>
    <x v="4566"/>
    <x v="3"/>
    <x v="0"/>
    <n v="2"/>
    <n v="127.05"/>
    <n v="47.87"/>
    <n v="254.1"/>
  </r>
  <r>
    <s v="TXN-104567"/>
    <x v="4567"/>
    <x v="0"/>
    <x v="1"/>
    <n v="4"/>
    <n v="119.9"/>
    <n v="46.25"/>
    <n v="479.6"/>
  </r>
  <r>
    <s v="TXN-104568"/>
    <x v="4568"/>
    <x v="1"/>
    <x v="0"/>
    <n v="18"/>
    <n v="129.86000000000001"/>
    <n v="8.67"/>
    <n v="2337.4800000000005"/>
  </r>
  <r>
    <s v="TXN-104569"/>
    <x v="4569"/>
    <x v="0"/>
    <x v="3"/>
    <n v="5"/>
    <n v="162.41"/>
    <n v="42.34"/>
    <n v="812.05"/>
  </r>
  <r>
    <s v="TXN-104570"/>
    <x v="4570"/>
    <x v="1"/>
    <x v="3"/>
    <n v="19"/>
    <n v="62.15"/>
    <n v="25.3"/>
    <n v="1180.8499999999999"/>
  </r>
  <r>
    <s v="TXN-104571"/>
    <x v="4571"/>
    <x v="3"/>
    <x v="2"/>
    <n v="10"/>
    <n v="318.44"/>
    <n v="43.96"/>
    <n v="3184.4"/>
  </r>
  <r>
    <s v="TXN-104572"/>
    <x v="4572"/>
    <x v="2"/>
    <x v="3"/>
    <n v="18"/>
    <n v="105.61"/>
    <n v="9.02"/>
    <n v="1900.98"/>
  </r>
  <r>
    <s v="TXN-104573"/>
    <x v="4573"/>
    <x v="2"/>
    <x v="0"/>
    <n v="10"/>
    <n v="417.91"/>
    <n v="42.02"/>
    <n v="4179.1000000000004"/>
  </r>
  <r>
    <s v="TXN-104574"/>
    <x v="4574"/>
    <x v="2"/>
    <x v="1"/>
    <n v="5"/>
    <n v="109.22"/>
    <n v="12.18"/>
    <n v="546.1"/>
  </r>
  <r>
    <s v="TXN-104575"/>
    <x v="4575"/>
    <x v="2"/>
    <x v="3"/>
    <n v="17"/>
    <n v="126.58"/>
    <n v="20.02"/>
    <n v="2151.86"/>
  </r>
  <r>
    <s v="TXN-104576"/>
    <x v="4576"/>
    <x v="2"/>
    <x v="2"/>
    <n v="13"/>
    <n v="144.56"/>
    <n v="6.3"/>
    <n v="1879.28"/>
  </r>
  <r>
    <s v="TXN-104577"/>
    <x v="4577"/>
    <x v="0"/>
    <x v="0"/>
    <n v="17"/>
    <n v="349.43"/>
    <n v="10.57"/>
    <n v="5940.31"/>
  </r>
  <r>
    <s v="TXN-104578"/>
    <x v="4578"/>
    <x v="1"/>
    <x v="2"/>
    <n v="9"/>
    <n v="201.3"/>
    <n v="25.06"/>
    <n v="1811.7"/>
  </r>
  <r>
    <s v="TXN-104579"/>
    <x v="4579"/>
    <x v="3"/>
    <x v="3"/>
    <n v="12"/>
    <n v="371.5"/>
    <n v="41.83"/>
    <n v="4458"/>
  </r>
  <r>
    <s v="TXN-104580"/>
    <x v="4580"/>
    <x v="0"/>
    <x v="3"/>
    <n v="14"/>
    <n v="356.52"/>
    <n v="39.82"/>
    <n v="4991.28"/>
  </r>
  <r>
    <s v="TXN-104581"/>
    <x v="4581"/>
    <x v="1"/>
    <x v="2"/>
    <n v="14"/>
    <n v="419.36"/>
    <n v="15.59"/>
    <n v="5871.04"/>
  </r>
  <r>
    <s v="TXN-104582"/>
    <x v="4582"/>
    <x v="2"/>
    <x v="0"/>
    <n v="8"/>
    <n v="344.24"/>
    <n v="11.83"/>
    <n v="2753.92"/>
  </r>
  <r>
    <s v="TXN-104583"/>
    <x v="4583"/>
    <x v="1"/>
    <x v="3"/>
    <n v="5"/>
    <n v="38.06"/>
    <n v="22.52"/>
    <n v="190.3"/>
  </r>
  <r>
    <s v="TXN-104584"/>
    <x v="4584"/>
    <x v="1"/>
    <x v="1"/>
    <n v="19"/>
    <n v="379.3"/>
    <n v="44.75"/>
    <n v="7206.7"/>
  </r>
  <r>
    <s v="TXN-104585"/>
    <x v="4585"/>
    <x v="2"/>
    <x v="3"/>
    <n v="14"/>
    <n v="423.09"/>
    <n v="9.11"/>
    <n v="5923.2599999999993"/>
  </r>
  <r>
    <s v="TXN-104586"/>
    <x v="4586"/>
    <x v="2"/>
    <x v="0"/>
    <n v="9"/>
    <n v="447.26"/>
    <n v="29.43"/>
    <n v="4025.34"/>
  </r>
  <r>
    <s v="TXN-104587"/>
    <x v="4587"/>
    <x v="2"/>
    <x v="3"/>
    <n v="7"/>
    <n v="69.930000000000007"/>
    <n v="9"/>
    <n v="489.51000000000005"/>
  </r>
  <r>
    <s v="TXN-104588"/>
    <x v="4588"/>
    <x v="3"/>
    <x v="2"/>
    <n v="8"/>
    <n v="281.97000000000003"/>
    <n v="26.16"/>
    <n v="2255.7600000000002"/>
  </r>
  <r>
    <s v="TXN-104589"/>
    <x v="4589"/>
    <x v="2"/>
    <x v="3"/>
    <n v="14"/>
    <n v="102.16"/>
    <n v="10.71"/>
    <n v="1430.24"/>
  </r>
  <r>
    <s v="TXN-104590"/>
    <x v="4590"/>
    <x v="3"/>
    <x v="3"/>
    <n v="14"/>
    <n v="129.56"/>
    <n v="8.6199999999999992"/>
    <n v="1813.8400000000001"/>
  </r>
  <r>
    <s v="TXN-104591"/>
    <x v="4591"/>
    <x v="2"/>
    <x v="0"/>
    <n v="11"/>
    <n v="339.46"/>
    <n v="13.59"/>
    <n v="3734.06"/>
  </r>
  <r>
    <s v="TXN-104592"/>
    <x v="4592"/>
    <x v="3"/>
    <x v="2"/>
    <n v="14"/>
    <n v="440.3"/>
    <n v="16.489999999999998"/>
    <n v="6164.2"/>
  </r>
  <r>
    <s v="TXN-104593"/>
    <x v="4593"/>
    <x v="1"/>
    <x v="0"/>
    <n v="8"/>
    <n v="273.95999999999998"/>
    <n v="17.43"/>
    <n v="2191.6799999999998"/>
  </r>
  <r>
    <s v="TXN-104594"/>
    <x v="4594"/>
    <x v="0"/>
    <x v="3"/>
    <n v="3"/>
    <n v="385.08"/>
    <n v="34.04"/>
    <n v="1155.24"/>
  </r>
  <r>
    <s v="TXN-104595"/>
    <x v="4595"/>
    <x v="1"/>
    <x v="1"/>
    <n v="18"/>
    <n v="19.36"/>
    <n v="7.47"/>
    <n v="348.48"/>
  </r>
  <r>
    <s v="TXN-104596"/>
    <x v="4596"/>
    <x v="1"/>
    <x v="3"/>
    <n v="3"/>
    <n v="31.42"/>
    <n v="8.64"/>
    <n v="94.26"/>
  </r>
  <r>
    <s v="TXN-104597"/>
    <x v="4597"/>
    <x v="2"/>
    <x v="0"/>
    <n v="13"/>
    <n v="274.77999999999997"/>
    <n v="13.49"/>
    <n v="3572.1399999999994"/>
  </r>
  <r>
    <s v="TXN-104598"/>
    <x v="4598"/>
    <x v="3"/>
    <x v="1"/>
    <n v="12"/>
    <n v="184.51"/>
    <n v="44.24"/>
    <n v="2214.12"/>
  </r>
  <r>
    <s v="TXN-104599"/>
    <x v="4599"/>
    <x v="0"/>
    <x v="0"/>
    <n v="15"/>
    <n v="402.1"/>
    <n v="33.29"/>
    <n v="6031.5"/>
  </r>
  <r>
    <s v="TXN-104600"/>
    <x v="4600"/>
    <x v="2"/>
    <x v="0"/>
    <n v="18"/>
    <n v="146.71"/>
    <n v="37.869999999999997"/>
    <n v="2640.78"/>
  </r>
  <r>
    <s v="TXN-104601"/>
    <x v="4601"/>
    <x v="2"/>
    <x v="2"/>
    <n v="5"/>
    <n v="203.23"/>
    <n v="21.67"/>
    <n v="1016.15"/>
  </r>
  <r>
    <s v="TXN-104602"/>
    <x v="4602"/>
    <x v="2"/>
    <x v="1"/>
    <n v="7"/>
    <n v="244.88"/>
    <n v="14.59"/>
    <n v="1714.1599999999999"/>
  </r>
  <r>
    <s v="TXN-104603"/>
    <x v="4603"/>
    <x v="1"/>
    <x v="3"/>
    <n v="11"/>
    <n v="134.13999999999999"/>
    <n v="6.71"/>
    <n v="1475.54"/>
  </r>
  <r>
    <s v="TXN-104604"/>
    <x v="4604"/>
    <x v="3"/>
    <x v="0"/>
    <n v="11"/>
    <n v="410.24"/>
    <n v="26.98"/>
    <n v="4512.6400000000003"/>
  </r>
  <r>
    <s v="TXN-104605"/>
    <x v="4605"/>
    <x v="3"/>
    <x v="3"/>
    <n v="15"/>
    <n v="217.34"/>
    <n v="30.84"/>
    <n v="3260.1"/>
  </r>
  <r>
    <s v="TXN-104606"/>
    <x v="4606"/>
    <x v="0"/>
    <x v="2"/>
    <n v="10"/>
    <n v="199.8"/>
    <n v="45.37"/>
    <n v="1998"/>
  </r>
  <r>
    <s v="TXN-104607"/>
    <x v="4607"/>
    <x v="3"/>
    <x v="2"/>
    <n v="15"/>
    <n v="384.72"/>
    <n v="44.69"/>
    <n v="5770.8"/>
  </r>
  <r>
    <s v="TXN-104608"/>
    <x v="4608"/>
    <x v="3"/>
    <x v="1"/>
    <n v="13"/>
    <n v="151.05000000000001"/>
    <n v="24.11"/>
    <n v="1963.65"/>
  </r>
  <r>
    <s v="TXN-104609"/>
    <x v="4609"/>
    <x v="2"/>
    <x v="2"/>
    <n v="14"/>
    <n v="370.69"/>
    <n v="24.06"/>
    <n v="5189.66"/>
  </r>
  <r>
    <s v="TXN-104610"/>
    <x v="4610"/>
    <x v="2"/>
    <x v="2"/>
    <n v="17"/>
    <n v="68.63"/>
    <n v="12.25"/>
    <n v="1166.71"/>
  </r>
  <r>
    <s v="TXN-104611"/>
    <x v="4611"/>
    <x v="1"/>
    <x v="3"/>
    <n v="13"/>
    <n v="94.92"/>
    <n v="16.59"/>
    <n v="1233.96"/>
  </r>
  <r>
    <s v="TXN-104612"/>
    <x v="4612"/>
    <x v="2"/>
    <x v="2"/>
    <n v="10"/>
    <n v="428.64"/>
    <n v="46.65"/>
    <n v="4286.3999999999996"/>
  </r>
  <r>
    <s v="TXN-104613"/>
    <x v="4613"/>
    <x v="2"/>
    <x v="2"/>
    <n v="1"/>
    <n v="381.54"/>
    <n v="11.35"/>
    <n v="381.54"/>
  </r>
  <r>
    <s v="TXN-104614"/>
    <x v="4614"/>
    <x v="2"/>
    <x v="0"/>
    <n v="1"/>
    <n v="184.04"/>
    <n v="48.59"/>
    <n v="184.04"/>
  </r>
  <r>
    <s v="TXN-104615"/>
    <x v="4615"/>
    <x v="2"/>
    <x v="2"/>
    <n v="15"/>
    <n v="292.91000000000003"/>
    <n v="27.71"/>
    <n v="4393.6500000000005"/>
  </r>
  <r>
    <s v="TXN-104616"/>
    <x v="4616"/>
    <x v="1"/>
    <x v="0"/>
    <n v="16"/>
    <n v="425.22"/>
    <n v="25.55"/>
    <n v="6803.52"/>
  </r>
  <r>
    <s v="TXN-104617"/>
    <x v="4617"/>
    <x v="2"/>
    <x v="2"/>
    <n v="12"/>
    <n v="107.55"/>
    <n v="12.86"/>
    <n v="1290.5999999999999"/>
  </r>
  <r>
    <s v="TXN-104618"/>
    <x v="4618"/>
    <x v="0"/>
    <x v="2"/>
    <n v="6"/>
    <n v="41.14"/>
    <n v="34.770000000000003"/>
    <n v="246.84"/>
  </r>
  <r>
    <s v="TXN-104619"/>
    <x v="4619"/>
    <x v="0"/>
    <x v="1"/>
    <n v="6"/>
    <n v="249.03"/>
    <n v="25.69"/>
    <n v="1494.18"/>
  </r>
  <r>
    <s v="TXN-104620"/>
    <x v="4620"/>
    <x v="0"/>
    <x v="1"/>
    <n v="12"/>
    <n v="77.459999999999994"/>
    <n v="21.68"/>
    <n v="929.52"/>
  </r>
  <r>
    <s v="TXN-104621"/>
    <x v="4621"/>
    <x v="0"/>
    <x v="0"/>
    <n v="15"/>
    <n v="96.89"/>
    <n v="16.899999999999999"/>
    <n v="1453.35"/>
  </r>
  <r>
    <s v="TXN-104622"/>
    <x v="4622"/>
    <x v="2"/>
    <x v="2"/>
    <n v="4"/>
    <n v="402.87"/>
    <n v="7.99"/>
    <n v="1611.48"/>
  </r>
  <r>
    <s v="TXN-104623"/>
    <x v="4623"/>
    <x v="0"/>
    <x v="3"/>
    <n v="4"/>
    <n v="18.72"/>
    <n v="28.37"/>
    <n v="74.88"/>
  </r>
  <r>
    <s v="TXN-104624"/>
    <x v="4624"/>
    <x v="2"/>
    <x v="1"/>
    <n v="2"/>
    <n v="370.41"/>
    <n v="19.079999999999998"/>
    <n v="740.82"/>
  </r>
  <r>
    <s v="TXN-104625"/>
    <x v="4625"/>
    <x v="1"/>
    <x v="3"/>
    <n v="12"/>
    <n v="240.12"/>
    <n v="36.85"/>
    <n v="2881.44"/>
  </r>
  <r>
    <s v="TXN-104626"/>
    <x v="4626"/>
    <x v="0"/>
    <x v="1"/>
    <n v="7"/>
    <n v="258.51"/>
    <n v="37.56"/>
    <n v="1809.57"/>
  </r>
  <r>
    <s v="TXN-104627"/>
    <x v="4627"/>
    <x v="3"/>
    <x v="1"/>
    <n v="9"/>
    <n v="307.38"/>
    <n v="19.940000000000001"/>
    <n v="2766.42"/>
  </r>
  <r>
    <s v="TXN-104628"/>
    <x v="4628"/>
    <x v="0"/>
    <x v="2"/>
    <n v="9"/>
    <n v="202.96"/>
    <n v="35.11"/>
    <n v="1826.64"/>
  </r>
  <r>
    <s v="TXN-104629"/>
    <x v="4629"/>
    <x v="0"/>
    <x v="1"/>
    <n v="8"/>
    <n v="65.73"/>
    <n v="16.64"/>
    <n v="525.84"/>
  </r>
  <r>
    <s v="TXN-104630"/>
    <x v="4630"/>
    <x v="2"/>
    <x v="3"/>
    <n v="14"/>
    <n v="60.18"/>
    <n v="37.72"/>
    <n v="842.52"/>
  </r>
  <r>
    <s v="TXN-104631"/>
    <x v="4631"/>
    <x v="0"/>
    <x v="1"/>
    <n v="1"/>
    <n v="343.27"/>
    <n v="5.72"/>
    <n v="343.27"/>
  </r>
  <r>
    <s v="TXN-104632"/>
    <x v="4632"/>
    <x v="3"/>
    <x v="0"/>
    <n v="12"/>
    <n v="111.54"/>
    <n v="11.82"/>
    <n v="1338.48"/>
  </r>
  <r>
    <s v="TXN-104633"/>
    <x v="4633"/>
    <x v="2"/>
    <x v="2"/>
    <n v="2"/>
    <n v="27.71"/>
    <n v="16.03"/>
    <n v="55.42"/>
  </r>
  <r>
    <s v="TXN-104634"/>
    <x v="4634"/>
    <x v="2"/>
    <x v="2"/>
    <n v="13"/>
    <n v="441.14"/>
    <n v="39.78"/>
    <n v="5734.82"/>
  </r>
  <r>
    <s v="TXN-104635"/>
    <x v="4635"/>
    <x v="1"/>
    <x v="0"/>
    <n v="4"/>
    <n v="441.48"/>
    <n v="7.99"/>
    <n v="1765.92"/>
  </r>
  <r>
    <s v="TXN-104636"/>
    <x v="4636"/>
    <x v="1"/>
    <x v="0"/>
    <n v="18"/>
    <n v="179.8"/>
    <n v="13.46"/>
    <n v="3236.4"/>
  </r>
  <r>
    <s v="TXN-104637"/>
    <x v="4637"/>
    <x v="0"/>
    <x v="0"/>
    <n v="19"/>
    <n v="26.59"/>
    <n v="21.14"/>
    <n v="505.21"/>
  </r>
  <r>
    <s v="TXN-104638"/>
    <x v="4638"/>
    <x v="1"/>
    <x v="1"/>
    <n v="16"/>
    <n v="331.5"/>
    <n v="5.41"/>
    <n v="5304"/>
  </r>
  <r>
    <s v="TXN-104639"/>
    <x v="4639"/>
    <x v="1"/>
    <x v="2"/>
    <n v="14"/>
    <n v="376.57"/>
    <n v="39.299999999999997"/>
    <n v="5271.98"/>
  </r>
  <r>
    <s v="TXN-104640"/>
    <x v="4640"/>
    <x v="1"/>
    <x v="0"/>
    <n v="8"/>
    <n v="69.819999999999993"/>
    <n v="30.2"/>
    <n v="558.55999999999995"/>
  </r>
  <r>
    <s v="TXN-104641"/>
    <x v="4641"/>
    <x v="2"/>
    <x v="1"/>
    <n v="12"/>
    <n v="74.36"/>
    <n v="45.53"/>
    <n v="892.31999999999994"/>
  </r>
  <r>
    <s v="TXN-104642"/>
    <x v="4642"/>
    <x v="2"/>
    <x v="0"/>
    <n v="9"/>
    <n v="372.76"/>
    <n v="6.4"/>
    <n v="3354.84"/>
  </r>
  <r>
    <s v="TXN-104643"/>
    <x v="4643"/>
    <x v="2"/>
    <x v="3"/>
    <n v="6"/>
    <n v="416.07"/>
    <n v="17.21"/>
    <n v="2496.42"/>
  </r>
  <r>
    <s v="TXN-104644"/>
    <x v="4644"/>
    <x v="1"/>
    <x v="3"/>
    <n v="18"/>
    <n v="359.08"/>
    <n v="37.909999999999997"/>
    <n v="6463.44"/>
  </r>
  <r>
    <s v="TXN-104645"/>
    <x v="4645"/>
    <x v="2"/>
    <x v="2"/>
    <n v="2"/>
    <n v="102.72"/>
    <n v="35.380000000000003"/>
    <n v="205.44"/>
  </r>
  <r>
    <s v="TXN-104646"/>
    <x v="4646"/>
    <x v="1"/>
    <x v="1"/>
    <n v="8"/>
    <n v="194.31"/>
    <n v="15.94"/>
    <n v="1554.48"/>
  </r>
  <r>
    <s v="TXN-104647"/>
    <x v="4647"/>
    <x v="2"/>
    <x v="3"/>
    <n v="14"/>
    <n v="276.57"/>
    <n v="31.81"/>
    <n v="3871.98"/>
  </r>
  <r>
    <s v="TXN-104648"/>
    <x v="4648"/>
    <x v="2"/>
    <x v="3"/>
    <n v="6"/>
    <n v="85.15"/>
    <n v="40.72"/>
    <n v="510.90000000000003"/>
  </r>
  <r>
    <s v="TXN-104649"/>
    <x v="4649"/>
    <x v="3"/>
    <x v="1"/>
    <n v="10"/>
    <n v="107.01"/>
    <n v="6.5"/>
    <n v="1070.1000000000001"/>
  </r>
  <r>
    <s v="TXN-104650"/>
    <x v="4650"/>
    <x v="0"/>
    <x v="0"/>
    <n v="8"/>
    <n v="138.41"/>
    <n v="37.29"/>
    <n v="1107.28"/>
  </r>
  <r>
    <s v="TXN-104651"/>
    <x v="4651"/>
    <x v="1"/>
    <x v="1"/>
    <n v="17"/>
    <n v="236.88"/>
    <n v="16.34"/>
    <n v="4026.96"/>
  </r>
  <r>
    <s v="TXN-104652"/>
    <x v="4652"/>
    <x v="3"/>
    <x v="0"/>
    <n v="12"/>
    <n v="237.44"/>
    <n v="47.65"/>
    <n v="2849.2799999999997"/>
  </r>
  <r>
    <s v="TXN-104653"/>
    <x v="4653"/>
    <x v="2"/>
    <x v="3"/>
    <n v="17"/>
    <n v="369.31"/>
    <n v="29.22"/>
    <n v="6278.27"/>
  </r>
  <r>
    <s v="TXN-104654"/>
    <x v="4654"/>
    <x v="1"/>
    <x v="3"/>
    <n v="13"/>
    <n v="342.68"/>
    <n v="6.5"/>
    <n v="4454.84"/>
  </r>
  <r>
    <s v="TXN-104655"/>
    <x v="4655"/>
    <x v="2"/>
    <x v="3"/>
    <n v="19"/>
    <n v="412.52"/>
    <n v="23.15"/>
    <n v="7837.8799999999992"/>
  </r>
  <r>
    <s v="TXN-104656"/>
    <x v="4656"/>
    <x v="0"/>
    <x v="2"/>
    <n v="12"/>
    <n v="377.4"/>
    <n v="48.48"/>
    <n v="4528.7999999999993"/>
  </r>
  <r>
    <s v="TXN-104657"/>
    <x v="4657"/>
    <x v="3"/>
    <x v="2"/>
    <n v="16"/>
    <n v="125.81"/>
    <n v="37.869999999999997"/>
    <n v="2012.96"/>
  </r>
  <r>
    <s v="TXN-104658"/>
    <x v="4658"/>
    <x v="0"/>
    <x v="2"/>
    <n v="5"/>
    <n v="159.44999999999999"/>
    <n v="18.52"/>
    <n v="797.25"/>
  </r>
  <r>
    <s v="TXN-104659"/>
    <x v="4659"/>
    <x v="3"/>
    <x v="1"/>
    <n v="16"/>
    <n v="232.93"/>
    <n v="30.89"/>
    <n v="3726.88"/>
  </r>
  <r>
    <s v="TXN-104660"/>
    <x v="4660"/>
    <x v="2"/>
    <x v="3"/>
    <n v="6"/>
    <n v="21.7"/>
    <n v="31.96"/>
    <n v="130.19999999999999"/>
  </r>
  <r>
    <s v="TXN-104661"/>
    <x v="4661"/>
    <x v="0"/>
    <x v="3"/>
    <n v="11"/>
    <n v="408.25"/>
    <n v="6.05"/>
    <n v="4490.75"/>
  </r>
  <r>
    <s v="TXN-104662"/>
    <x v="4662"/>
    <x v="0"/>
    <x v="1"/>
    <n v="17"/>
    <n v="34.770000000000003"/>
    <n v="13.05"/>
    <n v="591.09"/>
  </r>
  <r>
    <s v="TXN-104663"/>
    <x v="4663"/>
    <x v="2"/>
    <x v="2"/>
    <n v="14"/>
    <n v="155.6"/>
    <n v="29.83"/>
    <n v="2178.4"/>
  </r>
  <r>
    <s v="TXN-104664"/>
    <x v="4664"/>
    <x v="0"/>
    <x v="1"/>
    <n v="6"/>
    <n v="262.81"/>
    <n v="23.12"/>
    <n v="1576.8600000000001"/>
  </r>
  <r>
    <s v="TXN-104665"/>
    <x v="4665"/>
    <x v="1"/>
    <x v="2"/>
    <n v="11"/>
    <n v="240.5"/>
    <n v="13.55"/>
    <n v="2645.5"/>
  </r>
  <r>
    <s v="TXN-104666"/>
    <x v="4666"/>
    <x v="3"/>
    <x v="3"/>
    <n v="12"/>
    <n v="299.86"/>
    <n v="39.770000000000003"/>
    <n v="3598.32"/>
  </r>
  <r>
    <s v="TXN-104667"/>
    <x v="4667"/>
    <x v="3"/>
    <x v="0"/>
    <n v="13"/>
    <n v="244.71"/>
    <n v="27"/>
    <n v="3181.23"/>
  </r>
  <r>
    <s v="TXN-104668"/>
    <x v="4668"/>
    <x v="3"/>
    <x v="2"/>
    <n v="4"/>
    <n v="115"/>
    <n v="18.95"/>
    <n v="460"/>
  </r>
  <r>
    <s v="TXN-104669"/>
    <x v="4669"/>
    <x v="1"/>
    <x v="3"/>
    <n v="7"/>
    <n v="102.87"/>
    <n v="12.28"/>
    <n v="720.09"/>
  </r>
  <r>
    <s v="TXN-104670"/>
    <x v="4670"/>
    <x v="3"/>
    <x v="3"/>
    <n v="2"/>
    <n v="409.7"/>
    <n v="32.5"/>
    <n v="819.4"/>
  </r>
  <r>
    <s v="TXN-104671"/>
    <x v="4671"/>
    <x v="2"/>
    <x v="0"/>
    <n v="6"/>
    <n v="130.19"/>
    <n v="34.979999999999997"/>
    <n v="781.14"/>
  </r>
  <r>
    <s v="TXN-104672"/>
    <x v="4672"/>
    <x v="0"/>
    <x v="3"/>
    <n v="6"/>
    <n v="137.58000000000001"/>
    <n v="35.130000000000003"/>
    <n v="825.48"/>
  </r>
  <r>
    <s v="TXN-104673"/>
    <x v="4673"/>
    <x v="1"/>
    <x v="3"/>
    <n v="18"/>
    <n v="194.93"/>
    <n v="14.91"/>
    <n v="3508.7400000000002"/>
  </r>
  <r>
    <s v="TXN-104674"/>
    <x v="4674"/>
    <x v="3"/>
    <x v="2"/>
    <n v="8"/>
    <n v="76.09"/>
    <n v="31.79"/>
    <n v="608.72"/>
  </r>
  <r>
    <s v="TXN-104675"/>
    <x v="4675"/>
    <x v="2"/>
    <x v="2"/>
    <n v="8"/>
    <n v="235.91"/>
    <n v="45.74"/>
    <n v="1887.28"/>
  </r>
  <r>
    <s v="TXN-104676"/>
    <x v="4676"/>
    <x v="0"/>
    <x v="0"/>
    <n v="8"/>
    <n v="304.45999999999998"/>
    <n v="20.89"/>
    <n v="2435.6799999999998"/>
  </r>
  <r>
    <s v="TXN-104677"/>
    <x v="4677"/>
    <x v="0"/>
    <x v="0"/>
    <n v="8"/>
    <n v="357.02"/>
    <n v="14.48"/>
    <n v="2856.16"/>
  </r>
  <r>
    <s v="TXN-104678"/>
    <x v="4678"/>
    <x v="1"/>
    <x v="3"/>
    <n v="1"/>
    <n v="324.63"/>
    <n v="39.75"/>
    <n v="324.63"/>
  </r>
  <r>
    <s v="TXN-104679"/>
    <x v="4679"/>
    <x v="1"/>
    <x v="2"/>
    <n v="2"/>
    <n v="79.650000000000006"/>
    <n v="12.96"/>
    <n v="159.30000000000001"/>
  </r>
  <r>
    <s v="TXN-104680"/>
    <x v="4680"/>
    <x v="1"/>
    <x v="0"/>
    <n v="12"/>
    <n v="213.66"/>
    <n v="16.420000000000002"/>
    <n v="2563.92"/>
  </r>
  <r>
    <s v="TXN-104681"/>
    <x v="4681"/>
    <x v="2"/>
    <x v="0"/>
    <n v="15"/>
    <n v="32.270000000000003"/>
    <n v="9.5299999999999994"/>
    <n v="484.05000000000007"/>
  </r>
  <r>
    <s v="TXN-104682"/>
    <x v="4682"/>
    <x v="2"/>
    <x v="1"/>
    <n v="4"/>
    <n v="23.23"/>
    <n v="17.05"/>
    <n v="92.92"/>
  </r>
  <r>
    <s v="TXN-104683"/>
    <x v="4683"/>
    <x v="1"/>
    <x v="0"/>
    <n v="3"/>
    <n v="206.74"/>
    <n v="23.47"/>
    <n v="620.22"/>
  </r>
  <r>
    <s v="TXN-104684"/>
    <x v="4684"/>
    <x v="3"/>
    <x v="3"/>
    <n v="14"/>
    <n v="125.41"/>
    <n v="7.89"/>
    <n v="1755.74"/>
  </r>
  <r>
    <s v="TXN-104685"/>
    <x v="4685"/>
    <x v="0"/>
    <x v="2"/>
    <n v="8"/>
    <n v="312.42"/>
    <n v="44.23"/>
    <n v="2499.36"/>
  </r>
  <r>
    <s v="TXN-104686"/>
    <x v="4686"/>
    <x v="0"/>
    <x v="0"/>
    <n v="13"/>
    <n v="330.18"/>
    <n v="28.12"/>
    <n v="4292.34"/>
  </r>
  <r>
    <s v="TXN-104687"/>
    <x v="4687"/>
    <x v="2"/>
    <x v="1"/>
    <n v="19"/>
    <n v="404.55"/>
    <n v="31.46"/>
    <n v="7686.45"/>
  </r>
  <r>
    <s v="TXN-104688"/>
    <x v="4688"/>
    <x v="0"/>
    <x v="2"/>
    <n v="5"/>
    <n v="346.02"/>
    <n v="21.71"/>
    <n v="1730.1"/>
  </r>
  <r>
    <s v="TXN-104689"/>
    <x v="4689"/>
    <x v="3"/>
    <x v="0"/>
    <n v="13"/>
    <n v="36.46"/>
    <n v="35.14"/>
    <n v="473.98"/>
  </r>
  <r>
    <s v="TXN-104690"/>
    <x v="4690"/>
    <x v="0"/>
    <x v="1"/>
    <n v="1"/>
    <n v="176.97"/>
    <n v="24.43"/>
    <n v="176.97"/>
  </r>
  <r>
    <s v="TXN-104691"/>
    <x v="4691"/>
    <x v="2"/>
    <x v="0"/>
    <n v="16"/>
    <n v="134.13"/>
    <n v="39.26"/>
    <n v="2146.08"/>
  </r>
  <r>
    <s v="TXN-104692"/>
    <x v="4692"/>
    <x v="2"/>
    <x v="2"/>
    <n v="2"/>
    <n v="183.27"/>
    <n v="41.96"/>
    <n v="366.54"/>
  </r>
  <r>
    <s v="TXN-104693"/>
    <x v="4693"/>
    <x v="3"/>
    <x v="2"/>
    <n v="7"/>
    <n v="85.05"/>
    <n v="35.229999999999997"/>
    <n v="595.35"/>
  </r>
  <r>
    <s v="TXN-104694"/>
    <x v="4694"/>
    <x v="3"/>
    <x v="2"/>
    <n v="6"/>
    <n v="57.95"/>
    <n v="27.11"/>
    <n v="347.70000000000005"/>
  </r>
  <r>
    <s v="TXN-104695"/>
    <x v="4695"/>
    <x v="0"/>
    <x v="3"/>
    <n v="5"/>
    <n v="241.87"/>
    <n v="40.200000000000003"/>
    <n v="1209.3499999999999"/>
  </r>
  <r>
    <s v="TXN-104696"/>
    <x v="4696"/>
    <x v="0"/>
    <x v="0"/>
    <n v="4"/>
    <n v="328.51"/>
    <n v="27.24"/>
    <n v="1314.04"/>
  </r>
  <r>
    <s v="TXN-104697"/>
    <x v="4697"/>
    <x v="2"/>
    <x v="3"/>
    <n v="2"/>
    <n v="320.48"/>
    <n v="10.02"/>
    <n v="640.96"/>
  </r>
  <r>
    <s v="TXN-104698"/>
    <x v="4698"/>
    <x v="3"/>
    <x v="2"/>
    <n v="10"/>
    <n v="211.44"/>
    <n v="10.24"/>
    <n v="2114.4"/>
  </r>
  <r>
    <s v="TXN-104699"/>
    <x v="4699"/>
    <x v="3"/>
    <x v="1"/>
    <n v="5"/>
    <n v="242.43"/>
    <n v="47.69"/>
    <n v="1212.1500000000001"/>
  </r>
  <r>
    <s v="TXN-104700"/>
    <x v="4700"/>
    <x v="3"/>
    <x v="0"/>
    <n v="18"/>
    <n v="239.84"/>
    <n v="14.61"/>
    <n v="4317.12"/>
  </r>
  <r>
    <s v="TXN-104701"/>
    <x v="4701"/>
    <x v="0"/>
    <x v="3"/>
    <n v="10"/>
    <n v="315.99"/>
    <n v="41.72"/>
    <n v="3159.9"/>
  </r>
  <r>
    <s v="TXN-104702"/>
    <x v="4702"/>
    <x v="3"/>
    <x v="0"/>
    <n v="15"/>
    <n v="36.32"/>
    <n v="16.100000000000001"/>
    <n v="544.79999999999995"/>
  </r>
  <r>
    <s v="TXN-104703"/>
    <x v="4703"/>
    <x v="2"/>
    <x v="1"/>
    <n v="9"/>
    <n v="323.95"/>
    <n v="24.39"/>
    <n v="2915.5499999999997"/>
  </r>
  <r>
    <s v="TXN-104704"/>
    <x v="4704"/>
    <x v="2"/>
    <x v="3"/>
    <n v="11"/>
    <n v="268.47000000000003"/>
    <n v="34.47"/>
    <n v="2953.17"/>
  </r>
  <r>
    <s v="TXN-104705"/>
    <x v="4705"/>
    <x v="0"/>
    <x v="2"/>
    <n v="17"/>
    <n v="101.58"/>
    <n v="12.15"/>
    <n v="1726.86"/>
  </r>
  <r>
    <s v="TXN-104706"/>
    <x v="4706"/>
    <x v="1"/>
    <x v="3"/>
    <n v="9"/>
    <n v="36.82"/>
    <n v="38.18"/>
    <n v="331.38"/>
  </r>
  <r>
    <s v="TXN-104707"/>
    <x v="4707"/>
    <x v="0"/>
    <x v="0"/>
    <n v="16"/>
    <n v="62.66"/>
    <n v="36.049999999999997"/>
    <n v="1002.56"/>
  </r>
  <r>
    <s v="TXN-104708"/>
    <x v="4708"/>
    <x v="1"/>
    <x v="0"/>
    <n v="6"/>
    <n v="243.48"/>
    <n v="29.44"/>
    <n v="1460.8799999999999"/>
  </r>
  <r>
    <s v="TXN-104709"/>
    <x v="4709"/>
    <x v="3"/>
    <x v="0"/>
    <n v="11"/>
    <n v="345.03"/>
    <n v="30.47"/>
    <n v="3795.33"/>
  </r>
  <r>
    <s v="TXN-104710"/>
    <x v="4710"/>
    <x v="0"/>
    <x v="0"/>
    <n v="17"/>
    <n v="160.91"/>
    <n v="9.76"/>
    <n v="2735.47"/>
  </r>
  <r>
    <s v="TXN-104711"/>
    <x v="4711"/>
    <x v="2"/>
    <x v="2"/>
    <n v="4"/>
    <n v="180.23"/>
    <n v="24.62"/>
    <n v="720.92"/>
  </r>
  <r>
    <s v="TXN-104712"/>
    <x v="4712"/>
    <x v="3"/>
    <x v="3"/>
    <n v="15"/>
    <n v="421.39"/>
    <n v="8.9"/>
    <n v="6320.8499999999995"/>
  </r>
  <r>
    <s v="TXN-104713"/>
    <x v="4713"/>
    <x v="2"/>
    <x v="2"/>
    <n v="1"/>
    <n v="108.05"/>
    <n v="18.850000000000001"/>
    <n v="108.05"/>
  </r>
  <r>
    <s v="TXN-104714"/>
    <x v="4714"/>
    <x v="3"/>
    <x v="2"/>
    <n v="1"/>
    <n v="60.58"/>
    <n v="45.51"/>
    <n v="60.58"/>
  </r>
  <r>
    <s v="TXN-104715"/>
    <x v="4715"/>
    <x v="0"/>
    <x v="2"/>
    <n v="9"/>
    <n v="164.71"/>
    <n v="30.85"/>
    <n v="1482.39"/>
  </r>
  <r>
    <s v="TXN-104716"/>
    <x v="4716"/>
    <x v="1"/>
    <x v="0"/>
    <n v="12"/>
    <n v="339.6"/>
    <n v="38.42"/>
    <n v="4075.2000000000003"/>
  </r>
  <r>
    <s v="TXN-104717"/>
    <x v="4717"/>
    <x v="3"/>
    <x v="0"/>
    <n v="4"/>
    <n v="287.52999999999997"/>
    <n v="30.82"/>
    <n v="1150.1199999999999"/>
  </r>
  <r>
    <s v="TXN-104718"/>
    <x v="4718"/>
    <x v="1"/>
    <x v="0"/>
    <n v="13"/>
    <n v="196.16"/>
    <n v="13.74"/>
    <n v="2550.08"/>
  </r>
  <r>
    <s v="TXN-104719"/>
    <x v="4719"/>
    <x v="3"/>
    <x v="3"/>
    <n v="7"/>
    <n v="434.68"/>
    <n v="31.77"/>
    <n v="3042.76"/>
  </r>
  <r>
    <s v="TXN-104720"/>
    <x v="4720"/>
    <x v="2"/>
    <x v="1"/>
    <n v="8"/>
    <n v="334.86"/>
    <n v="38.99"/>
    <n v="2678.88"/>
  </r>
  <r>
    <s v="TXN-104721"/>
    <x v="4721"/>
    <x v="2"/>
    <x v="0"/>
    <n v="13"/>
    <n v="42.38"/>
    <n v="11.23"/>
    <n v="550.94000000000005"/>
  </r>
  <r>
    <s v="TXN-104722"/>
    <x v="4722"/>
    <x v="3"/>
    <x v="3"/>
    <n v="11"/>
    <n v="339.04"/>
    <n v="41.76"/>
    <n v="3729.44"/>
  </r>
  <r>
    <s v="TXN-104723"/>
    <x v="4723"/>
    <x v="1"/>
    <x v="0"/>
    <n v="9"/>
    <n v="25.94"/>
    <n v="29.99"/>
    <n v="233.46"/>
  </r>
  <r>
    <s v="TXN-104724"/>
    <x v="4724"/>
    <x v="0"/>
    <x v="0"/>
    <n v="16"/>
    <n v="298.07"/>
    <n v="5.19"/>
    <n v="4769.12"/>
  </r>
  <r>
    <s v="TXN-104725"/>
    <x v="4725"/>
    <x v="0"/>
    <x v="2"/>
    <n v="10"/>
    <n v="106.95"/>
    <n v="28.39"/>
    <n v="1069.5"/>
  </r>
  <r>
    <s v="TXN-104726"/>
    <x v="4726"/>
    <x v="2"/>
    <x v="2"/>
    <n v="11"/>
    <n v="318.10000000000002"/>
    <n v="22.81"/>
    <n v="3499.1000000000004"/>
  </r>
  <r>
    <s v="TXN-104727"/>
    <x v="4727"/>
    <x v="0"/>
    <x v="2"/>
    <n v="12"/>
    <n v="150.1"/>
    <n v="18.34"/>
    <n v="1801.1999999999998"/>
  </r>
  <r>
    <s v="TXN-104728"/>
    <x v="4728"/>
    <x v="2"/>
    <x v="3"/>
    <n v="14"/>
    <n v="394.82"/>
    <n v="39.71"/>
    <n v="5527.48"/>
  </r>
  <r>
    <s v="TXN-104729"/>
    <x v="4729"/>
    <x v="0"/>
    <x v="1"/>
    <n v="19"/>
    <n v="161.88999999999999"/>
    <n v="45.48"/>
    <n v="3075.91"/>
  </r>
  <r>
    <s v="TXN-104730"/>
    <x v="4730"/>
    <x v="3"/>
    <x v="1"/>
    <n v="12"/>
    <n v="284.76"/>
    <n v="39.32"/>
    <n v="3417.12"/>
  </r>
  <r>
    <s v="TXN-104731"/>
    <x v="4731"/>
    <x v="2"/>
    <x v="3"/>
    <n v="18"/>
    <n v="139.74"/>
    <n v="43.1"/>
    <n v="2515.3200000000002"/>
  </r>
  <r>
    <s v="TXN-104732"/>
    <x v="4732"/>
    <x v="2"/>
    <x v="0"/>
    <n v="17"/>
    <n v="414.03"/>
    <n v="45.9"/>
    <n v="7038.5099999999993"/>
  </r>
  <r>
    <s v="TXN-104733"/>
    <x v="4733"/>
    <x v="3"/>
    <x v="3"/>
    <n v="3"/>
    <n v="354.84"/>
    <n v="46.07"/>
    <n v="1064.52"/>
  </r>
  <r>
    <s v="TXN-104734"/>
    <x v="4734"/>
    <x v="2"/>
    <x v="0"/>
    <n v="1"/>
    <n v="121.22"/>
    <n v="10.16"/>
    <n v="121.22"/>
  </r>
  <r>
    <s v="TXN-104735"/>
    <x v="4735"/>
    <x v="0"/>
    <x v="3"/>
    <n v="19"/>
    <n v="427.75"/>
    <n v="25.54"/>
    <n v="8127.25"/>
  </r>
  <r>
    <s v="TXN-104736"/>
    <x v="4736"/>
    <x v="0"/>
    <x v="3"/>
    <n v="4"/>
    <n v="170.68"/>
    <n v="5.01"/>
    <n v="682.72"/>
  </r>
  <r>
    <s v="TXN-104737"/>
    <x v="4737"/>
    <x v="2"/>
    <x v="3"/>
    <n v="16"/>
    <n v="298.74"/>
    <n v="27.79"/>
    <n v="4779.84"/>
  </r>
  <r>
    <s v="TXN-104738"/>
    <x v="4738"/>
    <x v="0"/>
    <x v="1"/>
    <n v="12"/>
    <n v="338.27"/>
    <n v="46.59"/>
    <n v="4059.24"/>
  </r>
  <r>
    <s v="TXN-104739"/>
    <x v="4739"/>
    <x v="1"/>
    <x v="2"/>
    <n v="13"/>
    <n v="25.45"/>
    <n v="13.96"/>
    <n v="330.84999999999997"/>
  </r>
  <r>
    <s v="TXN-104740"/>
    <x v="4740"/>
    <x v="2"/>
    <x v="3"/>
    <n v="17"/>
    <n v="432.17"/>
    <n v="33.79"/>
    <n v="7346.89"/>
  </r>
  <r>
    <s v="TXN-104741"/>
    <x v="4741"/>
    <x v="3"/>
    <x v="1"/>
    <n v="8"/>
    <n v="165.16"/>
    <n v="34"/>
    <n v="1321.28"/>
  </r>
  <r>
    <s v="TXN-104742"/>
    <x v="4742"/>
    <x v="1"/>
    <x v="2"/>
    <n v="13"/>
    <n v="97.96"/>
    <n v="12.22"/>
    <n v="1273.48"/>
  </r>
  <r>
    <s v="TXN-104743"/>
    <x v="4743"/>
    <x v="2"/>
    <x v="2"/>
    <n v="5"/>
    <n v="385.13"/>
    <n v="15.73"/>
    <n v="1925.65"/>
  </r>
  <r>
    <s v="TXN-104744"/>
    <x v="4744"/>
    <x v="3"/>
    <x v="3"/>
    <n v="18"/>
    <n v="320.91000000000003"/>
    <n v="25.79"/>
    <n v="5776.38"/>
  </r>
  <r>
    <s v="TXN-104745"/>
    <x v="4745"/>
    <x v="0"/>
    <x v="0"/>
    <n v="15"/>
    <n v="53.19"/>
    <n v="13.47"/>
    <n v="797.84999999999991"/>
  </r>
  <r>
    <s v="TXN-104746"/>
    <x v="4746"/>
    <x v="3"/>
    <x v="0"/>
    <n v="12"/>
    <n v="66.36"/>
    <n v="31.32"/>
    <n v="796.31999999999994"/>
  </r>
  <r>
    <s v="TXN-104747"/>
    <x v="4747"/>
    <x v="1"/>
    <x v="0"/>
    <n v="17"/>
    <n v="326.25"/>
    <n v="26.8"/>
    <n v="5546.25"/>
  </r>
  <r>
    <s v="TXN-104748"/>
    <x v="4748"/>
    <x v="0"/>
    <x v="3"/>
    <n v="15"/>
    <n v="47.99"/>
    <n v="28.36"/>
    <n v="719.85"/>
  </r>
  <r>
    <s v="TXN-104749"/>
    <x v="4749"/>
    <x v="2"/>
    <x v="0"/>
    <n v="2"/>
    <n v="414.01"/>
    <n v="11.05"/>
    <n v="828.02"/>
  </r>
  <r>
    <s v="TXN-104750"/>
    <x v="4750"/>
    <x v="0"/>
    <x v="1"/>
    <n v="6"/>
    <n v="337.7"/>
    <n v="28.28"/>
    <n v="2026.1999999999998"/>
  </r>
  <r>
    <s v="TXN-104751"/>
    <x v="4751"/>
    <x v="2"/>
    <x v="1"/>
    <n v="17"/>
    <n v="161.27000000000001"/>
    <n v="7.23"/>
    <n v="2741.59"/>
  </r>
  <r>
    <s v="TXN-104752"/>
    <x v="4752"/>
    <x v="2"/>
    <x v="1"/>
    <n v="16"/>
    <n v="173.2"/>
    <n v="44.67"/>
    <n v="2771.2"/>
  </r>
  <r>
    <s v="TXN-104753"/>
    <x v="4753"/>
    <x v="3"/>
    <x v="1"/>
    <n v="17"/>
    <n v="235.57"/>
    <n v="20.45"/>
    <n v="4004.69"/>
  </r>
  <r>
    <s v="TXN-104754"/>
    <x v="4754"/>
    <x v="3"/>
    <x v="2"/>
    <n v="9"/>
    <n v="172.34"/>
    <n v="43.54"/>
    <n v="1551.06"/>
  </r>
  <r>
    <s v="TXN-104755"/>
    <x v="4755"/>
    <x v="3"/>
    <x v="1"/>
    <n v="5"/>
    <n v="355.92"/>
    <n v="36.57"/>
    <n v="1779.6000000000001"/>
  </r>
  <r>
    <s v="TXN-104756"/>
    <x v="4756"/>
    <x v="1"/>
    <x v="0"/>
    <n v="1"/>
    <n v="439.02"/>
    <n v="39.479999999999997"/>
    <n v="439.02"/>
  </r>
  <r>
    <s v="TXN-104757"/>
    <x v="4757"/>
    <x v="1"/>
    <x v="3"/>
    <n v="6"/>
    <n v="269.47000000000003"/>
    <n v="19.149999999999999"/>
    <n v="1616.8200000000002"/>
  </r>
  <r>
    <s v="TXN-104758"/>
    <x v="4758"/>
    <x v="3"/>
    <x v="0"/>
    <n v="14"/>
    <n v="209.3"/>
    <n v="15.25"/>
    <n v="2930.2000000000003"/>
  </r>
  <r>
    <s v="TXN-104759"/>
    <x v="4759"/>
    <x v="1"/>
    <x v="1"/>
    <n v="17"/>
    <n v="112.3"/>
    <n v="23.3"/>
    <n v="1909.1"/>
  </r>
  <r>
    <s v="TXN-104760"/>
    <x v="4760"/>
    <x v="0"/>
    <x v="2"/>
    <n v="19"/>
    <n v="299.42"/>
    <n v="6.09"/>
    <n v="5688.9800000000005"/>
  </r>
  <r>
    <s v="TXN-104761"/>
    <x v="4761"/>
    <x v="0"/>
    <x v="1"/>
    <n v="1"/>
    <n v="313.38"/>
    <n v="46.34"/>
    <n v="313.38"/>
  </r>
  <r>
    <s v="TXN-104762"/>
    <x v="4762"/>
    <x v="1"/>
    <x v="3"/>
    <n v="1"/>
    <n v="313.22000000000003"/>
    <n v="22.42"/>
    <n v="313.22000000000003"/>
  </r>
  <r>
    <s v="TXN-104763"/>
    <x v="4763"/>
    <x v="1"/>
    <x v="0"/>
    <n v="13"/>
    <n v="27.22"/>
    <n v="49.49"/>
    <n v="353.86"/>
  </r>
  <r>
    <s v="TXN-104764"/>
    <x v="4764"/>
    <x v="0"/>
    <x v="3"/>
    <n v="14"/>
    <n v="406.17"/>
    <n v="39.270000000000003"/>
    <n v="5686.38"/>
  </r>
  <r>
    <s v="TXN-104765"/>
    <x v="4765"/>
    <x v="2"/>
    <x v="3"/>
    <n v="6"/>
    <n v="162.41"/>
    <n v="8.6199999999999992"/>
    <n v="974.46"/>
  </r>
  <r>
    <s v="TXN-104766"/>
    <x v="4766"/>
    <x v="0"/>
    <x v="3"/>
    <n v="6"/>
    <n v="338.84"/>
    <n v="34.71"/>
    <n v="2033.04"/>
  </r>
  <r>
    <s v="TXN-104767"/>
    <x v="4767"/>
    <x v="0"/>
    <x v="0"/>
    <n v="1"/>
    <n v="345.64"/>
    <n v="17.190000000000001"/>
    <n v="345.64"/>
  </r>
  <r>
    <s v="TXN-104768"/>
    <x v="4768"/>
    <x v="1"/>
    <x v="1"/>
    <n v="14"/>
    <n v="298.17"/>
    <n v="15.97"/>
    <n v="4174.38"/>
  </r>
  <r>
    <s v="TXN-104769"/>
    <x v="4769"/>
    <x v="0"/>
    <x v="3"/>
    <n v="3"/>
    <n v="187.07"/>
    <n v="16.55"/>
    <n v="561.21"/>
  </r>
  <r>
    <s v="TXN-104770"/>
    <x v="4770"/>
    <x v="1"/>
    <x v="0"/>
    <n v="10"/>
    <n v="279.83999999999997"/>
    <n v="46.22"/>
    <n v="2798.3999999999996"/>
  </r>
  <r>
    <s v="TXN-104771"/>
    <x v="4771"/>
    <x v="1"/>
    <x v="2"/>
    <n v="19"/>
    <n v="32.97"/>
    <n v="27.5"/>
    <n v="626.42999999999995"/>
  </r>
  <r>
    <s v="TXN-104772"/>
    <x v="4772"/>
    <x v="3"/>
    <x v="0"/>
    <n v="19"/>
    <n v="346.54"/>
    <n v="35.130000000000003"/>
    <n v="6584.26"/>
  </r>
  <r>
    <s v="TXN-104773"/>
    <x v="4773"/>
    <x v="0"/>
    <x v="2"/>
    <n v="19"/>
    <n v="58.77"/>
    <n v="17.64"/>
    <n v="1116.6300000000001"/>
  </r>
  <r>
    <s v="TXN-104774"/>
    <x v="4774"/>
    <x v="2"/>
    <x v="0"/>
    <n v="4"/>
    <n v="187.89"/>
    <n v="28.53"/>
    <n v="751.56"/>
  </r>
  <r>
    <s v="TXN-104775"/>
    <x v="4775"/>
    <x v="3"/>
    <x v="1"/>
    <n v="19"/>
    <n v="60.52"/>
    <n v="20.75"/>
    <n v="1149.8800000000001"/>
  </r>
  <r>
    <s v="TXN-104776"/>
    <x v="4776"/>
    <x v="1"/>
    <x v="3"/>
    <n v="10"/>
    <n v="379.21"/>
    <n v="19.45"/>
    <n v="3792.1"/>
  </r>
  <r>
    <s v="TXN-104777"/>
    <x v="4777"/>
    <x v="1"/>
    <x v="1"/>
    <n v="2"/>
    <n v="254.61"/>
    <n v="16.11"/>
    <n v="509.22"/>
  </r>
  <r>
    <s v="TXN-104778"/>
    <x v="4778"/>
    <x v="2"/>
    <x v="0"/>
    <n v="4"/>
    <n v="315.72000000000003"/>
    <n v="23.41"/>
    <n v="1262.8800000000001"/>
  </r>
  <r>
    <s v="TXN-104779"/>
    <x v="4779"/>
    <x v="1"/>
    <x v="3"/>
    <n v="6"/>
    <n v="312.08"/>
    <n v="34.700000000000003"/>
    <n v="1872.48"/>
  </r>
  <r>
    <s v="TXN-104780"/>
    <x v="4780"/>
    <x v="0"/>
    <x v="2"/>
    <n v="7"/>
    <n v="381.18"/>
    <n v="14.99"/>
    <n v="2668.26"/>
  </r>
  <r>
    <s v="TXN-104781"/>
    <x v="4781"/>
    <x v="3"/>
    <x v="0"/>
    <n v="16"/>
    <n v="73.099999999999994"/>
    <n v="48.44"/>
    <n v="1169.5999999999999"/>
  </r>
  <r>
    <s v="TXN-104782"/>
    <x v="4782"/>
    <x v="1"/>
    <x v="3"/>
    <n v="7"/>
    <n v="302.14999999999998"/>
    <n v="10.61"/>
    <n v="2115.0499999999997"/>
  </r>
  <r>
    <s v="TXN-104783"/>
    <x v="4783"/>
    <x v="1"/>
    <x v="2"/>
    <n v="18"/>
    <n v="265.39999999999998"/>
    <n v="26.61"/>
    <n v="4777.2"/>
  </r>
  <r>
    <s v="TXN-104784"/>
    <x v="4784"/>
    <x v="2"/>
    <x v="2"/>
    <n v="19"/>
    <n v="28.92"/>
    <n v="8.83"/>
    <n v="549.48"/>
  </r>
  <r>
    <s v="TXN-104785"/>
    <x v="4785"/>
    <x v="0"/>
    <x v="1"/>
    <n v="9"/>
    <n v="103.02"/>
    <n v="6.02"/>
    <n v="927.18"/>
  </r>
  <r>
    <s v="TXN-104786"/>
    <x v="4786"/>
    <x v="1"/>
    <x v="0"/>
    <n v="10"/>
    <n v="131.76"/>
    <n v="46.52"/>
    <n v="1317.6"/>
  </r>
  <r>
    <s v="TXN-104787"/>
    <x v="4787"/>
    <x v="2"/>
    <x v="2"/>
    <n v="13"/>
    <n v="47.03"/>
    <n v="41.47"/>
    <n v="611.39"/>
  </r>
  <r>
    <s v="TXN-104788"/>
    <x v="4788"/>
    <x v="1"/>
    <x v="3"/>
    <n v="18"/>
    <n v="169.63"/>
    <n v="36.24"/>
    <n v="3053.34"/>
  </r>
  <r>
    <s v="TXN-104789"/>
    <x v="4789"/>
    <x v="2"/>
    <x v="2"/>
    <n v="16"/>
    <n v="27.32"/>
    <n v="43.93"/>
    <n v="437.12"/>
  </r>
  <r>
    <s v="TXN-104790"/>
    <x v="4790"/>
    <x v="2"/>
    <x v="2"/>
    <n v="17"/>
    <n v="255.86"/>
    <n v="41.13"/>
    <n v="4349.62"/>
  </r>
  <r>
    <s v="TXN-104791"/>
    <x v="4791"/>
    <x v="0"/>
    <x v="1"/>
    <n v="13"/>
    <n v="107.4"/>
    <n v="34.130000000000003"/>
    <n v="1396.2"/>
  </r>
  <r>
    <s v="TXN-104792"/>
    <x v="4792"/>
    <x v="1"/>
    <x v="1"/>
    <n v="12"/>
    <n v="140.19999999999999"/>
    <n v="43.13"/>
    <n v="1682.3999999999999"/>
  </r>
  <r>
    <s v="TXN-104793"/>
    <x v="4793"/>
    <x v="0"/>
    <x v="3"/>
    <n v="10"/>
    <n v="411.1"/>
    <n v="22.59"/>
    <n v="4111"/>
  </r>
  <r>
    <s v="TXN-104794"/>
    <x v="4794"/>
    <x v="2"/>
    <x v="1"/>
    <n v="1"/>
    <n v="233.97"/>
    <n v="29.87"/>
    <n v="233.97"/>
  </r>
  <r>
    <s v="TXN-104795"/>
    <x v="4795"/>
    <x v="3"/>
    <x v="2"/>
    <n v="8"/>
    <n v="132.38999999999999"/>
    <n v="39.93"/>
    <n v="1059.1199999999999"/>
  </r>
  <r>
    <s v="TXN-104796"/>
    <x v="4796"/>
    <x v="1"/>
    <x v="2"/>
    <n v="18"/>
    <n v="275.52999999999997"/>
    <n v="8.82"/>
    <n v="4959.5399999999991"/>
  </r>
  <r>
    <s v="TXN-104797"/>
    <x v="4797"/>
    <x v="3"/>
    <x v="1"/>
    <n v="2"/>
    <n v="103.13"/>
    <n v="43.64"/>
    <n v="206.26"/>
  </r>
  <r>
    <s v="TXN-104798"/>
    <x v="4798"/>
    <x v="1"/>
    <x v="2"/>
    <n v="16"/>
    <n v="47.82"/>
    <n v="12.06"/>
    <n v="765.12"/>
  </r>
  <r>
    <s v="TXN-104799"/>
    <x v="4799"/>
    <x v="0"/>
    <x v="2"/>
    <n v="12"/>
    <n v="24.58"/>
    <n v="43.9"/>
    <n v="294.95999999999998"/>
  </r>
  <r>
    <s v="TXN-104800"/>
    <x v="4800"/>
    <x v="0"/>
    <x v="3"/>
    <n v="9"/>
    <n v="428.94"/>
    <n v="19.010000000000002"/>
    <n v="3860.46"/>
  </r>
  <r>
    <s v="TXN-104801"/>
    <x v="4801"/>
    <x v="0"/>
    <x v="1"/>
    <n v="3"/>
    <n v="330.34"/>
    <n v="19.71"/>
    <n v="991.02"/>
  </r>
  <r>
    <s v="TXN-104802"/>
    <x v="4802"/>
    <x v="0"/>
    <x v="2"/>
    <n v="4"/>
    <n v="363.08"/>
    <n v="8.33"/>
    <n v="1452.32"/>
  </r>
  <r>
    <s v="TXN-104803"/>
    <x v="4803"/>
    <x v="0"/>
    <x v="1"/>
    <n v="2"/>
    <n v="441.71"/>
    <n v="44.87"/>
    <n v="883.42"/>
  </r>
  <r>
    <s v="TXN-104804"/>
    <x v="4804"/>
    <x v="3"/>
    <x v="3"/>
    <n v="8"/>
    <n v="420.29"/>
    <n v="12.85"/>
    <n v="3362.32"/>
  </r>
  <r>
    <s v="TXN-104805"/>
    <x v="4805"/>
    <x v="0"/>
    <x v="1"/>
    <n v="10"/>
    <n v="335.69"/>
    <n v="33.35"/>
    <n v="3356.9"/>
  </r>
  <r>
    <s v="TXN-104806"/>
    <x v="4806"/>
    <x v="2"/>
    <x v="2"/>
    <n v="16"/>
    <n v="317.04000000000002"/>
    <n v="33.979999999999997"/>
    <n v="5072.6400000000003"/>
  </r>
  <r>
    <s v="TXN-104807"/>
    <x v="4807"/>
    <x v="2"/>
    <x v="1"/>
    <n v="11"/>
    <n v="161.86000000000001"/>
    <n v="17.649999999999999"/>
    <n v="1780.46"/>
  </r>
  <r>
    <s v="TXN-104808"/>
    <x v="4808"/>
    <x v="3"/>
    <x v="2"/>
    <n v="18"/>
    <n v="60.7"/>
    <n v="49.35"/>
    <n v="1092.6000000000001"/>
  </r>
  <r>
    <s v="TXN-104809"/>
    <x v="4809"/>
    <x v="1"/>
    <x v="2"/>
    <n v="14"/>
    <n v="264.77999999999997"/>
    <n v="7.89"/>
    <n v="3706.9199999999996"/>
  </r>
  <r>
    <s v="TXN-104810"/>
    <x v="4810"/>
    <x v="2"/>
    <x v="2"/>
    <n v="8"/>
    <n v="265.88"/>
    <n v="32.35"/>
    <n v="2127.04"/>
  </r>
  <r>
    <s v="TXN-104811"/>
    <x v="4811"/>
    <x v="1"/>
    <x v="3"/>
    <n v="15"/>
    <n v="429.25"/>
    <n v="26.58"/>
    <n v="6438.75"/>
  </r>
  <r>
    <s v="TXN-104812"/>
    <x v="4812"/>
    <x v="3"/>
    <x v="1"/>
    <n v="17"/>
    <n v="207.8"/>
    <n v="16.05"/>
    <n v="3532.6000000000004"/>
  </r>
  <r>
    <s v="TXN-104813"/>
    <x v="4813"/>
    <x v="1"/>
    <x v="3"/>
    <n v="18"/>
    <n v="315.66000000000003"/>
    <n v="12.36"/>
    <n v="5681.88"/>
  </r>
  <r>
    <s v="TXN-104814"/>
    <x v="4814"/>
    <x v="1"/>
    <x v="1"/>
    <n v="6"/>
    <n v="265.32"/>
    <n v="38.17"/>
    <n v="1591.92"/>
  </r>
  <r>
    <s v="TXN-104815"/>
    <x v="4815"/>
    <x v="1"/>
    <x v="3"/>
    <n v="14"/>
    <n v="92.3"/>
    <n v="46.23"/>
    <n v="1292.2"/>
  </r>
  <r>
    <s v="TXN-104816"/>
    <x v="4816"/>
    <x v="1"/>
    <x v="0"/>
    <n v="3"/>
    <n v="272.75"/>
    <n v="9.84"/>
    <n v="818.25"/>
  </r>
  <r>
    <s v="TXN-104817"/>
    <x v="4817"/>
    <x v="3"/>
    <x v="2"/>
    <n v="7"/>
    <n v="250.18"/>
    <n v="13.73"/>
    <n v="1751.26"/>
  </r>
  <r>
    <s v="TXN-104818"/>
    <x v="4818"/>
    <x v="2"/>
    <x v="2"/>
    <n v="15"/>
    <n v="230.1"/>
    <n v="49.38"/>
    <n v="3451.5"/>
  </r>
  <r>
    <s v="TXN-104819"/>
    <x v="4819"/>
    <x v="0"/>
    <x v="3"/>
    <n v="16"/>
    <n v="238.58"/>
    <n v="5.68"/>
    <n v="3817.28"/>
  </r>
  <r>
    <s v="TXN-104820"/>
    <x v="4820"/>
    <x v="1"/>
    <x v="0"/>
    <n v="16"/>
    <n v="86.75"/>
    <n v="27.87"/>
    <n v="1388"/>
  </r>
  <r>
    <s v="TXN-104821"/>
    <x v="4821"/>
    <x v="2"/>
    <x v="2"/>
    <n v="8"/>
    <n v="216.88"/>
    <n v="28.23"/>
    <n v="1735.04"/>
  </r>
  <r>
    <s v="TXN-104822"/>
    <x v="4822"/>
    <x v="2"/>
    <x v="1"/>
    <n v="7"/>
    <n v="278.66000000000003"/>
    <n v="16.84"/>
    <n v="1950.6200000000001"/>
  </r>
  <r>
    <s v="TXN-104823"/>
    <x v="4823"/>
    <x v="3"/>
    <x v="3"/>
    <n v="6"/>
    <n v="228.17"/>
    <n v="34.840000000000003"/>
    <n v="1369.02"/>
  </r>
  <r>
    <s v="TXN-104824"/>
    <x v="4824"/>
    <x v="2"/>
    <x v="2"/>
    <n v="2"/>
    <n v="227.83"/>
    <n v="47.52"/>
    <n v="455.66"/>
  </r>
  <r>
    <s v="TXN-104825"/>
    <x v="4825"/>
    <x v="3"/>
    <x v="2"/>
    <n v="13"/>
    <n v="49.18"/>
    <n v="25.26"/>
    <n v="639.34"/>
  </r>
  <r>
    <s v="TXN-104826"/>
    <x v="4826"/>
    <x v="1"/>
    <x v="3"/>
    <n v="12"/>
    <n v="98.39"/>
    <n v="38.72"/>
    <n v="1180.68"/>
  </r>
  <r>
    <s v="TXN-104827"/>
    <x v="4827"/>
    <x v="1"/>
    <x v="3"/>
    <n v="15"/>
    <n v="154.96"/>
    <n v="34.07"/>
    <n v="2324.4"/>
  </r>
  <r>
    <s v="TXN-104828"/>
    <x v="4828"/>
    <x v="0"/>
    <x v="1"/>
    <n v="9"/>
    <n v="197.71"/>
    <n v="26.28"/>
    <n v="1779.39"/>
  </r>
  <r>
    <s v="TXN-104829"/>
    <x v="4829"/>
    <x v="0"/>
    <x v="1"/>
    <n v="2"/>
    <n v="273.57"/>
    <n v="7.24"/>
    <n v="547.14"/>
  </r>
  <r>
    <s v="TXN-104830"/>
    <x v="4830"/>
    <x v="0"/>
    <x v="2"/>
    <n v="17"/>
    <n v="390.62"/>
    <n v="38.380000000000003"/>
    <n v="6640.54"/>
  </r>
  <r>
    <s v="TXN-104831"/>
    <x v="4831"/>
    <x v="2"/>
    <x v="2"/>
    <n v="5"/>
    <n v="84.66"/>
    <n v="21.35"/>
    <n v="423.29999999999995"/>
  </r>
  <r>
    <s v="TXN-104832"/>
    <x v="4832"/>
    <x v="1"/>
    <x v="3"/>
    <n v="11"/>
    <n v="22.06"/>
    <n v="15.1"/>
    <n v="242.66"/>
  </r>
  <r>
    <s v="TXN-104833"/>
    <x v="4833"/>
    <x v="3"/>
    <x v="2"/>
    <n v="19"/>
    <n v="210.69"/>
    <n v="47.67"/>
    <n v="4003.11"/>
  </r>
  <r>
    <s v="TXN-104834"/>
    <x v="4834"/>
    <x v="0"/>
    <x v="2"/>
    <n v="7"/>
    <n v="203.25"/>
    <n v="39.81"/>
    <n v="1422.75"/>
  </r>
  <r>
    <s v="TXN-104835"/>
    <x v="4835"/>
    <x v="3"/>
    <x v="3"/>
    <n v="2"/>
    <n v="255.3"/>
    <n v="48.3"/>
    <n v="510.6"/>
  </r>
  <r>
    <s v="TXN-104836"/>
    <x v="4836"/>
    <x v="3"/>
    <x v="2"/>
    <n v="16"/>
    <n v="377.53"/>
    <n v="16.53"/>
    <n v="6040.48"/>
  </r>
  <r>
    <s v="TXN-104837"/>
    <x v="4837"/>
    <x v="0"/>
    <x v="2"/>
    <n v="12"/>
    <n v="364.13"/>
    <n v="42.61"/>
    <n v="4369.5599999999995"/>
  </r>
  <r>
    <s v="TXN-104838"/>
    <x v="4838"/>
    <x v="1"/>
    <x v="0"/>
    <n v="15"/>
    <n v="58.97"/>
    <n v="32.35"/>
    <n v="884.55"/>
  </r>
  <r>
    <s v="TXN-104839"/>
    <x v="4839"/>
    <x v="0"/>
    <x v="1"/>
    <n v="1"/>
    <n v="421.32"/>
    <n v="49.17"/>
    <n v="421.32"/>
  </r>
  <r>
    <s v="TXN-104840"/>
    <x v="4840"/>
    <x v="3"/>
    <x v="3"/>
    <n v="13"/>
    <n v="63.48"/>
    <n v="47.58"/>
    <n v="825.24"/>
  </r>
  <r>
    <s v="TXN-104841"/>
    <x v="4841"/>
    <x v="0"/>
    <x v="0"/>
    <n v="6"/>
    <n v="291.22000000000003"/>
    <n v="48.78"/>
    <n v="1747.3200000000002"/>
  </r>
  <r>
    <s v="TXN-104842"/>
    <x v="4842"/>
    <x v="3"/>
    <x v="1"/>
    <n v="13"/>
    <n v="307.66000000000003"/>
    <n v="47.83"/>
    <n v="3999.5800000000004"/>
  </r>
  <r>
    <s v="TXN-104843"/>
    <x v="4843"/>
    <x v="3"/>
    <x v="1"/>
    <n v="18"/>
    <n v="310.91000000000003"/>
    <n v="5.34"/>
    <n v="5596.38"/>
  </r>
  <r>
    <s v="TXN-104844"/>
    <x v="4844"/>
    <x v="0"/>
    <x v="1"/>
    <n v="3"/>
    <n v="130.80000000000001"/>
    <n v="38.35"/>
    <n v="392.40000000000003"/>
  </r>
  <r>
    <s v="TXN-104845"/>
    <x v="4845"/>
    <x v="2"/>
    <x v="0"/>
    <n v="1"/>
    <n v="159.03"/>
    <n v="17.239999999999998"/>
    <n v="159.03"/>
  </r>
  <r>
    <s v="TXN-104846"/>
    <x v="4846"/>
    <x v="0"/>
    <x v="0"/>
    <n v="15"/>
    <n v="253.9"/>
    <n v="36.729999999999997"/>
    <n v="3808.5"/>
  </r>
  <r>
    <s v="TXN-104847"/>
    <x v="4847"/>
    <x v="2"/>
    <x v="1"/>
    <n v="13"/>
    <n v="102.22"/>
    <n v="49.13"/>
    <n v="1328.86"/>
  </r>
  <r>
    <s v="TXN-104848"/>
    <x v="4848"/>
    <x v="3"/>
    <x v="2"/>
    <n v="5"/>
    <n v="24.32"/>
    <n v="6.77"/>
    <n v="121.6"/>
  </r>
  <r>
    <s v="TXN-104849"/>
    <x v="4849"/>
    <x v="3"/>
    <x v="2"/>
    <n v="13"/>
    <n v="259.75"/>
    <n v="30.51"/>
    <n v="3376.75"/>
  </r>
  <r>
    <s v="TXN-104850"/>
    <x v="4850"/>
    <x v="2"/>
    <x v="0"/>
    <n v="5"/>
    <n v="217.66"/>
    <n v="38.07"/>
    <n v="1088.3"/>
  </r>
  <r>
    <s v="TXN-104851"/>
    <x v="4851"/>
    <x v="3"/>
    <x v="0"/>
    <n v="19"/>
    <n v="300.85000000000002"/>
    <n v="16.399999999999999"/>
    <n v="5716.1500000000005"/>
  </r>
  <r>
    <s v="TXN-104852"/>
    <x v="4852"/>
    <x v="2"/>
    <x v="0"/>
    <n v="18"/>
    <n v="79.239999999999995"/>
    <n v="15.13"/>
    <n v="1426.32"/>
  </r>
  <r>
    <s v="TXN-104853"/>
    <x v="4853"/>
    <x v="2"/>
    <x v="1"/>
    <n v="10"/>
    <n v="380.88"/>
    <n v="7.72"/>
    <n v="3808.8"/>
  </r>
  <r>
    <s v="TXN-104854"/>
    <x v="4854"/>
    <x v="3"/>
    <x v="2"/>
    <n v="8"/>
    <n v="79.03"/>
    <n v="9.23"/>
    <n v="632.24"/>
  </r>
  <r>
    <s v="TXN-104855"/>
    <x v="4855"/>
    <x v="1"/>
    <x v="0"/>
    <n v="15"/>
    <n v="402.79"/>
    <n v="34.549999999999997"/>
    <n v="6041.85"/>
  </r>
  <r>
    <s v="TXN-104856"/>
    <x v="4856"/>
    <x v="2"/>
    <x v="0"/>
    <n v="4"/>
    <n v="210.82"/>
    <n v="27.73"/>
    <n v="843.28"/>
  </r>
  <r>
    <s v="TXN-104857"/>
    <x v="4857"/>
    <x v="0"/>
    <x v="3"/>
    <n v="2"/>
    <n v="254.39"/>
    <n v="6.35"/>
    <n v="508.78"/>
  </r>
  <r>
    <s v="TXN-104858"/>
    <x v="4858"/>
    <x v="0"/>
    <x v="1"/>
    <n v="6"/>
    <n v="405.06"/>
    <n v="48.63"/>
    <n v="2430.36"/>
  </r>
  <r>
    <s v="TXN-104859"/>
    <x v="4859"/>
    <x v="3"/>
    <x v="3"/>
    <n v="3"/>
    <n v="145.81"/>
    <n v="34.520000000000003"/>
    <n v="437.43"/>
  </r>
  <r>
    <s v="TXN-104860"/>
    <x v="4860"/>
    <x v="1"/>
    <x v="2"/>
    <n v="7"/>
    <n v="94.5"/>
    <n v="28.2"/>
    <n v="661.5"/>
  </r>
  <r>
    <s v="TXN-104861"/>
    <x v="4861"/>
    <x v="3"/>
    <x v="3"/>
    <n v="10"/>
    <n v="209.18"/>
    <n v="17.27"/>
    <n v="2091.8000000000002"/>
  </r>
  <r>
    <s v="TXN-104862"/>
    <x v="4862"/>
    <x v="1"/>
    <x v="3"/>
    <n v="6"/>
    <n v="121.68"/>
    <n v="34.61"/>
    <n v="730.08"/>
  </r>
  <r>
    <s v="TXN-104863"/>
    <x v="4863"/>
    <x v="2"/>
    <x v="3"/>
    <n v="16"/>
    <n v="244.85"/>
    <n v="21.39"/>
    <n v="3917.6"/>
  </r>
  <r>
    <s v="TXN-104864"/>
    <x v="4864"/>
    <x v="2"/>
    <x v="1"/>
    <n v="2"/>
    <n v="135.1"/>
    <n v="36.61"/>
    <n v="270.2"/>
  </r>
  <r>
    <s v="TXN-104865"/>
    <x v="4865"/>
    <x v="2"/>
    <x v="2"/>
    <n v="17"/>
    <n v="391.12"/>
    <n v="35.72"/>
    <n v="6649.04"/>
  </r>
  <r>
    <s v="TXN-104866"/>
    <x v="4866"/>
    <x v="2"/>
    <x v="3"/>
    <n v="13"/>
    <n v="279.38"/>
    <n v="9.17"/>
    <n v="3631.94"/>
  </r>
  <r>
    <s v="TXN-104867"/>
    <x v="4867"/>
    <x v="0"/>
    <x v="1"/>
    <n v="1"/>
    <n v="15.6"/>
    <n v="45.92"/>
    <n v="15.6"/>
  </r>
  <r>
    <s v="TXN-104868"/>
    <x v="4868"/>
    <x v="0"/>
    <x v="2"/>
    <n v="6"/>
    <n v="365.48"/>
    <n v="26.91"/>
    <n v="2192.88"/>
  </r>
  <r>
    <s v="TXN-104869"/>
    <x v="4869"/>
    <x v="3"/>
    <x v="0"/>
    <n v="5"/>
    <n v="158.97999999999999"/>
    <n v="22.68"/>
    <n v="794.9"/>
  </r>
  <r>
    <s v="TXN-104870"/>
    <x v="4870"/>
    <x v="1"/>
    <x v="3"/>
    <n v="13"/>
    <n v="154.63"/>
    <n v="48"/>
    <n v="2010.19"/>
  </r>
  <r>
    <s v="TXN-104871"/>
    <x v="4871"/>
    <x v="2"/>
    <x v="2"/>
    <n v="18"/>
    <n v="181.94"/>
    <n v="24.72"/>
    <n v="3274.92"/>
  </r>
  <r>
    <s v="TXN-104872"/>
    <x v="4872"/>
    <x v="2"/>
    <x v="3"/>
    <n v="12"/>
    <n v="289.35000000000002"/>
    <n v="37.450000000000003"/>
    <n v="3472.2000000000003"/>
  </r>
  <r>
    <s v="TXN-104873"/>
    <x v="4873"/>
    <x v="1"/>
    <x v="0"/>
    <n v="7"/>
    <n v="207.58"/>
    <n v="34.479999999999997"/>
    <n v="1453.0600000000002"/>
  </r>
  <r>
    <s v="TXN-104874"/>
    <x v="4874"/>
    <x v="1"/>
    <x v="2"/>
    <n v="15"/>
    <n v="288.64"/>
    <n v="12.43"/>
    <n v="4329.5999999999995"/>
  </r>
  <r>
    <s v="TXN-104875"/>
    <x v="4875"/>
    <x v="3"/>
    <x v="1"/>
    <n v="3"/>
    <n v="79.28"/>
    <n v="49.6"/>
    <n v="237.84"/>
  </r>
  <r>
    <s v="TXN-104876"/>
    <x v="4876"/>
    <x v="1"/>
    <x v="2"/>
    <n v="16"/>
    <n v="437.04"/>
    <n v="25.86"/>
    <n v="6992.64"/>
  </r>
  <r>
    <s v="TXN-104877"/>
    <x v="4877"/>
    <x v="2"/>
    <x v="1"/>
    <n v="1"/>
    <n v="332.51"/>
    <n v="22.77"/>
    <n v="332.51"/>
  </r>
  <r>
    <s v="TXN-104878"/>
    <x v="4878"/>
    <x v="2"/>
    <x v="2"/>
    <n v="16"/>
    <n v="124.21"/>
    <n v="46.38"/>
    <n v="1987.36"/>
  </r>
  <r>
    <s v="TXN-104879"/>
    <x v="4879"/>
    <x v="2"/>
    <x v="1"/>
    <n v="12"/>
    <n v="330.15"/>
    <n v="28.82"/>
    <n v="3961.7999999999997"/>
  </r>
  <r>
    <s v="TXN-104880"/>
    <x v="4880"/>
    <x v="2"/>
    <x v="0"/>
    <n v="19"/>
    <n v="265.35000000000002"/>
    <n v="36.729999999999997"/>
    <n v="5041.6500000000005"/>
  </r>
  <r>
    <s v="TXN-104881"/>
    <x v="4881"/>
    <x v="2"/>
    <x v="0"/>
    <n v="8"/>
    <n v="62.94"/>
    <n v="43.08"/>
    <n v="503.52"/>
  </r>
  <r>
    <s v="TXN-104882"/>
    <x v="4882"/>
    <x v="3"/>
    <x v="0"/>
    <n v="12"/>
    <n v="92.93"/>
    <n v="15.6"/>
    <n v="1115.1600000000001"/>
  </r>
  <r>
    <s v="TXN-104883"/>
    <x v="4883"/>
    <x v="2"/>
    <x v="2"/>
    <n v="15"/>
    <n v="33.450000000000003"/>
    <n v="12.63"/>
    <n v="501.75000000000006"/>
  </r>
  <r>
    <s v="TXN-104884"/>
    <x v="4884"/>
    <x v="3"/>
    <x v="0"/>
    <n v="2"/>
    <n v="367.11"/>
    <n v="8.08"/>
    <n v="734.22"/>
  </r>
  <r>
    <s v="TXN-104885"/>
    <x v="4885"/>
    <x v="2"/>
    <x v="3"/>
    <n v="17"/>
    <n v="255.22"/>
    <n v="45.37"/>
    <n v="4338.74"/>
  </r>
  <r>
    <s v="TXN-104886"/>
    <x v="4886"/>
    <x v="0"/>
    <x v="0"/>
    <n v="7"/>
    <n v="153.13"/>
    <n v="14.02"/>
    <n v="1071.9099999999999"/>
  </r>
  <r>
    <s v="TXN-104887"/>
    <x v="4887"/>
    <x v="0"/>
    <x v="1"/>
    <n v="13"/>
    <n v="70.400000000000006"/>
    <n v="18.850000000000001"/>
    <n v="915.2"/>
  </r>
  <r>
    <s v="TXN-104888"/>
    <x v="4888"/>
    <x v="0"/>
    <x v="1"/>
    <n v="1"/>
    <n v="225.82"/>
    <n v="17.86"/>
    <n v="225.82"/>
  </r>
  <r>
    <s v="TXN-104889"/>
    <x v="4889"/>
    <x v="0"/>
    <x v="1"/>
    <n v="6"/>
    <n v="243.73"/>
    <n v="18.71"/>
    <n v="1462.3799999999999"/>
  </r>
  <r>
    <s v="TXN-104890"/>
    <x v="4890"/>
    <x v="3"/>
    <x v="2"/>
    <n v="13"/>
    <n v="320.5"/>
    <n v="35.06"/>
    <n v="4166.5"/>
  </r>
  <r>
    <s v="TXN-104891"/>
    <x v="4891"/>
    <x v="3"/>
    <x v="3"/>
    <n v="11"/>
    <n v="436.94"/>
    <n v="47.94"/>
    <n v="4806.34"/>
  </r>
  <r>
    <s v="TXN-104892"/>
    <x v="4892"/>
    <x v="1"/>
    <x v="0"/>
    <n v="10"/>
    <n v="204.48"/>
    <n v="19.829999999999998"/>
    <n v="2044.8"/>
  </r>
  <r>
    <s v="TXN-104893"/>
    <x v="4893"/>
    <x v="2"/>
    <x v="3"/>
    <n v="16"/>
    <n v="191.92"/>
    <n v="23.34"/>
    <n v="3070.72"/>
  </r>
  <r>
    <s v="TXN-104894"/>
    <x v="4894"/>
    <x v="0"/>
    <x v="3"/>
    <n v="17"/>
    <n v="176.23"/>
    <n v="39.700000000000003"/>
    <n v="2995.91"/>
  </r>
  <r>
    <s v="TXN-104895"/>
    <x v="4895"/>
    <x v="3"/>
    <x v="1"/>
    <n v="17"/>
    <n v="374.8"/>
    <n v="24.46"/>
    <n v="6371.6"/>
  </r>
  <r>
    <s v="TXN-104896"/>
    <x v="4896"/>
    <x v="2"/>
    <x v="1"/>
    <n v="4"/>
    <n v="83.42"/>
    <n v="46.67"/>
    <n v="333.68"/>
  </r>
  <r>
    <s v="TXN-104897"/>
    <x v="4897"/>
    <x v="2"/>
    <x v="1"/>
    <n v="5"/>
    <n v="164.89"/>
    <n v="27.64"/>
    <n v="824.44999999999993"/>
  </r>
  <r>
    <s v="TXN-104898"/>
    <x v="4898"/>
    <x v="3"/>
    <x v="2"/>
    <n v="14"/>
    <n v="330.5"/>
    <n v="20.65"/>
    <n v="4627"/>
  </r>
  <r>
    <s v="TXN-104899"/>
    <x v="4899"/>
    <x v="0"/>
    <x v="3"/>
    <n v="10"/>
    <n v="22.32"/>
    <n v="48.72"/>
    <n v="223.2"/>
  </r>
  <r>
    <s v="TXN-104900"/>
    <x v="4900"/>
    <x v="1"/>
    <x v="3"/>
    <n v="14"/>
    <n v="141.24"/>
    <n v="24.16"/>
    <n v="1977.3600000000001"/>
  </r>
  <r>
    <s v="TXN-104901"/>
    <x v="4901"/>
    <x v="2"/>
    <x v="2"/>
    <n v="1"/>
    <n v="294.20999999999998"/>
    <n v="15.4"/>
    <n v="294.20999999999998"/>
  </r>
  <r>
    <s v="TXN-104902"/>
    <x v="4902"/>
    <x v="1"/>
    <x v="2"/>
    <n v="11"/>
    <n v="96.3"/>
    <n v="13"/>
    <n v="1059.3"/>
  </r>
  <r>
    <s v="TXN-104903"/>
    <x v="4903"/>
    <x v="0"/>
    <x v="2"/>
    <n v="18"/>
    <n v="147.03"/>
    <n v="49.78"/>
    <n v="2646.54"/>
  </r>
  <r>
    <s v="TXN-104904"/>
    <x v="4904"/>
    <x v="0"/>
    <x v="3"/>
    <n v="16"/>
    <n v="226.69"/>
    <n v="38.880000000000003"/>
    <n v="3627.04"/>
  </r>
  <r>
    <s v="TXN-104905"/>
    <x v="4905"/>
    <x v="1"/>
    <x v="3"/>
    <n v="18"/>
    <n v="198.87"/>
    <n v="23.39"/>
    <n v="3579.66"/>
  </r>
  <r>
    <s v="TXN-104906"/>
    <x v="4906"/>
    <x v="0"/>
    <x v="1"/>
    <n v="8"/>
    <n v="61.57"/>
    <n v="42.19"/>
    <n v="492.56"/>
  </r>
  <r>
    <s v="TXN-104907"/>
    <x v="4907"/>
    <x v="2"/>
    <x v="1"/>
    <n v="10"/>
    <n v="423.16"/>
    <n v="29.61"/>
    <n v="4231.6000000000004"/>
  </r>
  <r>
    <s v="TXN-104908"/>
    <x v="4908"/>
    <x v="1"/>
    <x v="3"/>
    <n v="10"/>
    <n v="34.75"/>
    <n v="19.28"/>
    <n v="347.5"/>
  </r>
  <r>
    <s v="TXN-104909"/>
    <x v="4909"/>
    <x v="0"/>
    <x v="1"/>
    <n v="5"/>
    <n v="341.26"/>
    <n v="38.450000000000003"/>
    <n v="1706.3"/>
  </r>
  <r>
    <s v="TXN-104910"/>
    <x v="4910"/>
    <x v="1"/>
    <x v="2"/>
    <n v="10"/>
    <n v="46.53"/>
    <n v="38.57"/>
    <n v="465.3"/>
  </r>
  <r>
    <s v="TXN-104911"/>
    <x v="4911"/>
    <x v="2"/>
    <x v="0"/>
    <n v="18"/>
    <n v="218.54"/>
    <n v="27.51"/>
    <n v="3933.72"/>
  </r>
  <r>
    <s v="TXN-104912"/>
    <x v="4912"/>
    <x v="0"/>
    <x v="1"/>
    <n v="6"/>
    <n v="91.72"/>
    <n v="7.03"/>
    <n v="550.31999999999994"/>
  </r>
  <r>
    <s v="TXN-104913"/>
    <x v="4913"/>
    <x v="2"/>
    <x v="3"/>
    <n v="3"/>
    <n v="76.81"/>
    <n v="8.4700000000000006"/>
    <n v="230.43"/>
  </r>
  <r>
    <s v="TXN-104914"/>
    <x v="4914"/>
    <x v="0"/>
    <x v="1"/>
    <n v="8"/>
    <n v="70.2"/>
    <n v="40.49"/>
    <n v="561.6"/>
  </r>
  <r>
    <s v="TXN-104915"/>
    <x v="4915"/>
    <x v="3"/>
    <x v="1"/>
    <n v="9"/>
    <n v="212.24"/>
    <n v="42.06"/>
    <n v="1910.16"/>
  </r>
  <r>
    <s v="TXN-104916"/>
    <x v="4916"/>
    <x v="0"/>
    <x v="1"/>
    <n v="5"/>
    <n v="239.48"/>
    <n v="35.520000000000003"/>
    <n v="1197.3999999999999"/>
  </r>
  <r>
    <s v="TXN-104917"/>
    <x v="4917"/>
    <x v="1"/>
    <x v="0"/>
    <n v="2"/>
    <n v="73.459999999999994"/>
    <n v="42.76"/>
    <n v="146.91999999999999"/>
  </r>
  <r>
    <s v="TXN-104918"/>
    <x v="4918"/>
    <x v="0"/>
    <x v="2"/>
    <n v="2"/>
    <n v="441.05"/>
    <n v="37.380000000000003"/>
    <n v="882.1"/>
  </r>
  <r>
    <s v="TXN-104919"/>
    <x v="4919"/>
    <x v="2"/>
    <x v="3"/>
    <n v="7"/>
    <n v="127.5"/>
    <n v="45.36"/>
    <n v="892.5"/>
  </r>
  <r>
    <s v="TXN-104920"/>
    <x v="4920"/>
    <x v="2"/>
    <x v="0"/>
    <n v="17"/>
    <n v="214.87"/>
    <n v="11.77"/>
    <n v="3652.79"/>
  </r>
  <r>
    <s v="TXN-104921"/>
    <x v="4921"/>
    <x v="0"/>
    <x v="3"/>
    <n v="10"/>
    <n v="109.47"/>
    <n v="22.45"/>
    <n v="1094.7"/>
  </r>
  <r>
    <s v="TXN-104922"/>
    <x v="4922"/>
    <x v="1"/>
    <x v="3"/>
    <n v="12"/>
    <n v="230.11"/>
    <n v="25.88"/>
    <n v="2761.32"/>
  </r>
  <r>
    <s v="TXN-104923"/>
    <x v="4923"/>
    <x v="3"/>
    <x v="3"/>
    <n v="2"/>
    <n v="343.99"/>
    <n v="18.39"/>
    <n v="687.98"/>
  </r>
  <r>
    <s v="TXN-104924"/>
    <x v="4924"/>
    <x v="1"/>
    <x v="0"/>
    <n v="10"/>
    <n v="241.92"/>
    <n v="37.64"/>
    <n v="2419.1999999999998"/>
  </r>
  <r>
    <s v="TXN-104925"/>
    <x v="4925"/>
    <x v="3"/>
    <x v="2"/>
    <n v="1"/>
    <n v="139.61000000000001"/>
    <n v="46.06"/>
    <n v="139.61000000000001"/>
  </r>
  <r>
    <s v="TXN-104926"/>
    <x v="4926"/>
    <x v="2"/>
    <x v="3"/>
    <n v="4"/>
    <n v="123.43"/>
    <n v="23.56"/>
    <n v="493.72"/>
  </r>
  <r>
    <s v="TXN-104927"/>
    <x v="4927"/>
    <x v="1"/>
    <x v="2"/>
    <n v="13"/>
    <n v="345.26"/>
    <n v="47.37"/>
    <n v="4488.38"/>
  </r>
  <r>
    <s v="TXN-104928"/>
    <x v="4928"/>
    <x v="3"/>
    <x v="2"/>
    <n v="12"/>
    <n v="66.87"/>
    <n v="28.25"/>
    <n v="802.44"/>
  </r>
  <r>
    <s v="TXN-104929"/>
    <x v="4929"/>
    <x v="0"/>
    <x v="1"/>
    <n v="11"/>
    <n v="176.25"/>
    <n v="28.51"/>
    <n v="1938.75"/>
  </r>
  <r>
    <s v="TXN-104930"/>
    <x v="4930"/>
    <x v="2"/>
    <x v="0"/>
    <n v="10"/>
    <n v="81.319999999999993"/>
    <n v="32.01"/>
    <n v="813.19999999999993"/>
  </r>
  <r>
    <s v="TXN-104931"/>
    <x v="4931"/>
    <x v="0"/>
    <x v="0"/>
    <n v="15"/>
    <n v="127.59"/>
    <n v="17.07"/>
    <n v="1913.8500000000001"/>
  </r>
  <r>
    <s v="TXN-104932"/>
    <x v="4932"/>
    <x v="2"/>
    <x v="1"/>
    <n v="5"/>
    <n v="81.84"/>
    <n v="22.25"/>
    <n v="409.20000000000005"/>
  </r>
  <r>
    <s v="TXN-104933"/>
    <x v="4933"/>
    <x v="1"/>
    <x v="1"/>
    <n v="17"/>
    <n v="400.8"/>
    <n v="29.9"/>
    <n v="6813.6"/>
  </r>
  <r>
    <s v="TXN-104934"/>
    <x v="4934"/>
    <x v="1"/>
    <x v="2"/>
    <n v="5"/>
    <n v="333.51"/>
    <n v="47.39"/>
    <n v="1667.55"/>
  </r>
  <r>
    <s v="TXN-104935"/>
    <x v="4935"/>
    <x v="2"/>
    <x v="3"/>
    <n v="2"/>
    <n v="259.22000000000003"/>
    <n v="33.92"/>
    <n v="518.44000000000005"/>
  </r>
  <r>
    <s v="TXN-104936"/>
    <x v="4936"/>
    <x v="2"/>
    <x v="0"/>
    <n v="9"/>
    <n v="113.01"/>
    <n v="19.989999999999998"/>
    <n v="1017.09"/>
  </r>
  <r>
    <s v="TXN-104937"/>
    <x v="4937"/>
    <x v="2"/>
    <x v="3"/>
    <n v="6"/>
    <n v="237.19"/>
    <n v="5.47"/>
    <n v="1423.1399999999999"/>
  </r>
  <r>
    <s v="TXN-104938"/>
    <x v="4938"/>
    <x v="1"/>
    <x v="3"/>
    <n v="18"/>
    <n v="241.8"/>
    <n v="49.17"/>
    <n v="4352.4000000000005"/>
  </r>
  <r>
    <s v="TXN-104939"/>
    <x v="4939"/>
    <x v="3"/>
    <x v="1"/>
    <n v="14"/>
    <n v="272.02999999999997"/>
    <n v="27.18"/>
    <n v="3808.4199999999996"/>
  </r>
  <r>
    <s v="TXN-104940"/>
    <x v="4940"/>
    <x v="0"/>
    <x v="3"/>
    <n v="19"/>
    <n v="41.61"/>
    <n v="47.23"/>
    <n v="790.59"/>
  </r>
  <r>
    <s v="TXN-104941"/>
    <x v="4941"/>
    <x v="0"/>
    <x v="2"/>
    <n v="14"/>
    <n v="438.23"/>
    <n v="29.72"/>
    <n v="6135.22"/>
  </r>
  <r>
    <s v="TXN-104942"/>
    <x v="4942"/>
    <x v="1"/>
    <x v="1"/>
    <n v="8"/>
    <n v="217.73"/>
    <n v="32.25"/>
    <n v="1741.84"/>
  </r>
  <r>
    <s v="TXN-104943"/>
    <x v="4943"/>
    <x v="0"/>
    <x v="3"/>
    <n v="17"/>
    <n v="418.08"/>
    <n v="37.04"/>
    <n v="7107.36"/>
  </r>
  <r>
    <s v="TXN-104944"/>
    <x v="4944"/>
    <x v="2"/>
    <x v="1"/>
    <n v="3"/>
    <n v="19.760000000000002"/>
    <n v="19.440000000000001"/>
    <n v="59.28"/>
  </r>
  <r>
    <s v="TXN-104945"/>
    <x v="4945"/>
    <x v="3"/>
    <x v="2"/>
    <n v="10"/>
    <n v="123.06"/>
    <n v="36.450000000000003"/>
    <n v="1230.5999999999999"/>
  </r>
  <r>
    <s v="TXN-104946"/>
    <x v="4946"/>
    <x v="0"/>
    <x v="2"/>
    <n v="17"/>
    <n v="60.69"/>
    <n v="28.71"/>
    <n v="1031.73"/>
  </r>
  <r>
    <s v="TXN-104947"/>
    <x v="4947"/>
    <x v="3"/>
    <x v="3"/>
    <n v="11"/>
    <n v="349.9"/>
    <n v="35.26"/>
    <n v="3848.8999999999996"/>
  </r>
  <r>
    <s v="TXN-104948"/>
    <x v="4948"/>
    <x v="2"/>
    <x v="1"/>
    <n v="8"/>
    <n v="154.59"/>
    <n v="42.61"/>
    <n v="1236.72"/>
  </r>
  <r>
    <s v="TXN-104949"/>
    <x v="4949"/>
    <x v="0"/>
    <x v="3"/>
    <n v="1"/>
    <n v="380.69"/>
    <n v="13.29"/>
    <n v="380.69"/>
  </r>
  <r>
    <s v="TXN-104950"/>
    <x v="4950"/>
    <x v="1"/>
    <x v="3"/>
    <n v="13"/>
    <n v="377.17"/>
    <n v="32.61"/>
    <n v="4903.21"/>
  </r>
  <r>
    <s v="TXN-104951"/>
    <x v="4951"/>
    <x v="3"/>
    <x v="1"/>
    <n v="4"/>
    <n v="305.66000000000003"/>
    <n v="7.35"/>
    <n v="1222.6400000000001"/>
  </r>
  <r>
    <s v="TXN-104952"/>
    <x v="4952"/>
    <x v="2"/>
    <x v="3"/>
    <n v="7"/>
    <n v="304.77999999999997"/>
    <n v="9.6"/>
    <n v="2133.46"/>
  </r>
  <r>
    <s v="TXN-104953"/>
    <x v="4953"/>
    <x v="3"/>
    <x v="2"/>
    <n v="14"/>
    <n v="319.72000000000003"/>
    <n v="35.36"/>
    <n v="4476.08"/>
  </r>
  <r>
    <s v="TXN-104954"/>
    <x v="4954"/>
    <x v="0"/>
    <x v="1"/>
    <n v="5"/>
    <n v="308.25"/>
    <n v="8.19"/>
    <n v="1541.25"/>
  </r>
  <r>
    <s v="TXN-104955"/>
    <x v="4955"/>
    <x v="0"/>
    <x v="1"/>
    <n v="11"/>
    <n v="183.61"/>
    <n v="31.79"/>
    <n v="2019.71"/>
  </r>
  <r>
    <s v="TXN-104956"/>
    <x v="4956"/>
    <x v="1"/>
    <x v="1"/>
    <n v="17"/>
    <n v="312.19"/>
    <n v="14.9"/>
    <n v="5307.23"/>
  </r>
  <r>
    <s v="TXN-104957"/>
    <x v="4957"/>
    <x v="2"/>
    <x v="1"/>
    <n v="5"/>
    <n v="405.42"/>
    <n v="18.68"/>
    <n v="2027.1000000000001"/>
  </r>
  <r>
    <s v="TXN-104958"/>
    <x v="4958"/>
    <x v="2"/>
    <x v="3"/>
    <n v="3"/>
    <n v="160"/>
    <n v="10.83"/>
    <n v="480"/>
  </r>
  <r>
    <s v="TXN-104959"/>
    <x v="4959"/>
    <x v="1"/>
    <x v="3"/>
    <n v="5"/>
    <n v="426.05"/>
    <n v="16.190000000000001"/>
    <n v="2130.25"/>
  </r>
  <r>
    <s v="TXN-104960"/>
    <x v="4960"/>
    <x v="1"/>
    <x v="2"/>
    <n v="15"/>
    <n v="21.4"/>
    <n v="41.96"/>
    <n v="321"/>
  </r>
  <r>
    <s v="TXN-104961"/>
    <x v="4961"/>
    <x v="2"/>
    <x v="0"/>
    <n v="19"/>
    <n v="167.18"/>
    <n v="33.75"/>
    <n v="3176.42"/>
  </r>
  <r>
    <s v="TXN-104962"/>
    <x v="4962"/>
    <x v="3"/>
    <x v="0"/>
    <n v="16"/>
    <n v="72.900000000000006"/>
    <n v="47.74"/>
    <n v="1166.4000000000001"/>
  </r>
  <r>
    <s v="TXN-104963"/>
    <x v="4963"/>
    <x v="3"/>
    <x v="2"/>
    <n v="8"/>
    <n v="70.52"/>
    <n v="7.19"/>
    <n v="564.16"/>
  </r>
  <r>
    <s v="TXN-104964"/>
    <x v="4964"/>
    <x v="1"/>
    <x v="0"/>
    <n v="13"/>
    <n v="369.8"/>
    <n v="40.659999999999997"/>
    <n v="4807.4000000000005"/>
  </r>
  <r>
    <s v="TXN-104965"/>
    <x v="4965"/>
    <x v="3"/>
    <x v="2"/>
    <n v="16"/>
    <n v="414.53"/>
    <n v="36.46"/>
    <n v="6632.48"/>
  </r>
  <r>
    <s v="TXN-104966"/>
    <x v="4966"/>
    <x v="2"/>
    <x v="3"/>
    <n v="3"/>
    <n v="353.44"/>
    <n v="16.739999999999998"/>
    <n v="1060.32"/>
  </r>
  <r>
    <s v="TXN-104967"/>
    <x v="4967"/>
    <x v="0"/>
    <x v="1"/>
    <n v="1"/>
    <n v="439.84"/>
    <n v="37.81"/>
    <n v="439.84"/>
  </r>
  <r>
    <s v="TXN-104968"/>
    <x v="4968"/>
    <x v="0"/>
    <x v="1"/>
    <n v="9"/>
    <n v="109.49"/>
    <n v="37.24"/>
    <n v="985.41"/>
  </r>
  <r>
    <s v="TXN-104969"/>
    <x v="4969"/>
    <x v="3"/>
    <x v="3"/>
    <n v="9"/>
    <n v="76.680000000000007"/>
    <n v="25.67"/>
    <n v="690.12000000000012"/>
  </r>
  <r>
    <s v="TXN-104970"/>
    <x v="4970"/>
    <x v="1"/>
    <x v="1"/>
    <n v="17"/>
    <n v="241.75"/>
    <n v="35.99"/>
    <n v="4109.75"/>
  </r>
  <r>
    <s v="TXN-104971"/>
    <x v="4971"/>
    <x v="1"/>
    <x v="1"/>
    <n v="2"/>
    <n v="375.72"/>
    <n v="25.01"/>
    <n v="751.44"/>
  </r>
  <r>
    <s v="TXN-104972"/>
    <x v="4972"/>
    <x v="1"/>
    <x v="0"/>
    <n v="9"/>
    <n v="32.81"/>
    <n v="20.100000000000001"/>
    <n v="295.29000000000002"/>
  </r>
  <r>
    <s v="TXN-104973"/>
    <x v="4973"/>
    <x v="1"/>
    <x v="3"/>
    <n v="19"/>
    <n v="448.07"/>
    <n v="25.99"/>
    <n v="8513.33"/>
  </r>
  <r>
    <s v="TXN-104974"/>
    <x v="4974"/>
    <x v="1"/>
    <x v="0"/>
    <n v="13"/>
    <n v="277.18"/>
    <n v="45.28"/>
    <n v="3603.34"/>
  </r>
  <r>
    <s v="TXN-104975"/>
    <x v="4975"/>
    <x v="3"/>
    <x v="0"/>
    <n v="5"/>
    <n v="440.85"/>
    <n v="22.31"/>
    <n v="2204.25"/>
  </r>
  <r>
    <s v="TXN-104976"/>
    <x v="4976"/>
    <x v="0"/>
    <x v="1"/>
    <n v="9"/>
    <n v="174.13"/>
    <n v="23.17"/>
    <n v="1567.17"/>
  </r>
  <r>
    <s v="TXN-104977"/>
    <x v="4977"/>
    <x v="0"/>
    <x v="1"/>
    <n v="13"/>
    <n v="214.51"/>
    <n v="32.380000000000003"/>
    <n v="2788.63"/>
  </r>
  <r>
    <s v="TXN-104978"/>
    <x v="4978"/>
    <x v="3"/>
    <x v="3"/>
    <n v="1"/>
    <n v="342.4"/>
    <n v="38.880000000000003"/>
    <n v="342.4"/>
  </r>
  <r>
    <s v="TXN-104979"/>
    <x v="4979"/>
    <x v="1"/>
    <x v="1"/>
    <n v="15"/>
    <n v="359.93"/>
    <n v="38.06"/>
    <n v="5398.95"/>
  </r>
  <r>
    <s v="TXN-104980"/>
    <x v="4980"/>
    <x v="3"/>
    <x v="1"/>
    <n v="4"/>
    <n v="116.75"/>
    <n v="5.89"/>
    <n v="467"/>
  </r>
  <r>
    <s v="TXN-104981"/>
    <x v="4981"/>
    <x v="0"/>
    <x v="3"/>
    <n v="4"/>
    <n v="419.5"/>
    <n v="35.93"/>
    <n v="1678"/>
  </r>
  <r>
    <s v="TXN-104982"/>
    <x v="4982"/>
    <x v="2"/>
    <x v="1"/>
    <n v="10"/>
    <n v="392.4"/>
    <n v="25.27"/>
    <n v="3924"/>
  </r>
  <r>
    <s v="TXN-104983"/>
    <x v="4983"/>
    <x v="3"/>
    <x v="0"/>
    <n v="6"/>
    <n v="23.41"/>
    <n v="28.58"/>
    <n v="140.46"/>
  </r>
  <r>
    <s v="TXN-104984"/>
    <x v="4984"/>
    <x v="1"/>
    <x v="3"/>
    <n v="12"/>
    <n v="71.36"/>
    <n v="30.27"/>
    <n v="856.31999999999994"/>
  </r>
  <r>
    <s v="TXN-104985"/>
    <x v="4985"/>
    <x v="0"/>
    <x v="1"/>
    <n v="16"/>
    <n v="231.05"/>
    <n v="37.93"/>
    <n v="3696.8"/>
  </r>
  <r>
    <s v="TXN-104986"/>
    <x v="4986"/>
    <x v="0"/>
    <x v="2"/>
    <n v="3"/>
    <n v="215.79"/>
    <n v="42.41"/>
    <n v="647.37"/>
  </r>
  <r>
    <s v="TXN-104987"/>
    <x v="4987"/>
    <x v="0"/>
    <x v="3"/>
    <n v="14"/>
    <n v="323.3"/>
    <n v="34.08"/>
    <n v="4526.2"/>
  </r>
  <r>
    <s v="TXN-104988"/>
    <x v="4988"/>
    <x v="0"/>
    <x v="3"/>
    <n v="1"/>
    <n v="54.48"/>
    <n v="30.38"/>
    <n v="54.48"/>
  </r>
  <r>
    <s v="TXN-104989"/>
    <x v="4989"/>
    <x v="1"/>
    <x v="2"/>
    <n v="10"/>
    <n v="295.69"/>
    <n v="21.82"/>
    <n v="2956.9"/>
  </r>
  <r>
    <s v="TXN-104990"/>
    <x v="4990"/>
    <x v="2"/>
    <x v="1"/>
    <n v="15"/>
    <n v="283.31"/>
    <n v="11.2"/>
    <n v="4249.6499999999996"/>
  </r>
  <r>
    <s v="TXN-104991"/>
    <x v="4991"/>
    <x v="0"/>
    <x v="1"/>
    <n v="7"/>
    <n v="117.01"/>
    <n v="48.14"/>
    <n v="819.07"/>
  </r>
  <r>
    <s v="TXN-104992"/>
    <x v="4992"/>
    <x v="3"/>
    <x v="3"/>
    <n v="4"/>
    <n v="251.17"/>
    <n v="25.78"/>
    <n v="1004.68"/>
  </r>
  <r>
    <s v="TXN-104993"/>
    <x v="4993"/>
    <x v="2"/>
    <x v="3"/>
    <n v="14"/>
    <n v="112.05"/>
    <n v="30.48"/>
    <n v="1568.7"/>
  </r>
  <r>
    <s v="TXN-104994"/>
    <x v="4994"/>
    <x v="0"/>
    <x v="1"/>
    <n v="16"/>
    <n v="79.34"/>
    <n v="38.799999999999997"/>
    <n v="1269.44"/>
  </r>
  <r>
    <s v="TXN-104995"/>
    <x v="4995"/>
    <x v="2"/>
    <x v="1"/>
    <n v="14"/>
    <n v="264.52999999999997"/>
    <n v="8.08"/>
    <n v="3703.4199999999996"/>
  </r>
  <r>
    <s v="TXN-104996"/>
    <x v="4996"/>
    <x v="3"/>
    <x v="0"/>
    <n v="3"/>
    <n v="440.21"/>
    <n v="43.48"/>
    <n v="1320.6299999999999"/>
  </r>
  <r>
    <s v="TXN-104997"/>
    <x v="4997"/>
    <x v="0"/>
    <x v="3"/>
    <n v="17"/>
    <n v="118.45"/>
    <n v="40.869999999999997"/>
    <n v="2013.65"/>
  </r>
  <r>
    <s v="TXN-104998"/>
    <x v="4998"/>
    <x v="3"/>
    <x v="3"/>
    <n v="14"/>
    <n v="169.89"/>
    <n v="39.85"/>
    <n v="2378.46"/>
  </r>
  <r>
    <s v="TXN-104999"/>
    <x v="4999"/>
    <x v="1"/>
    <x v="2"/>
    <n v="18"/>
    <n v="126.98"/>
    <n v="5.99"/>
    <n v="2285.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3:B8" firstHeaderRow="1" firstDataRow="1" firstDataCol="1"/>
  <pivotFields count="9">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h="1" x="0"/>
        <item h="1" x="2"/>
        <item x="3"/>
        <item h="1" x="1"/>
        <item t="default"/>
      </items>
    </pivotField>
    <pivotField axis="axisRow" showAll="0">
      <items count="5">
        <item x="2"/>
        <item x="3"/>
        <item x="1"/>
        <item x="0"/>
        <item t="default"/>
      </items>
    </pivotField>
    <pivotField showAll="0"/>
    <pivotField showAll="0"/>
    <pivotField showAll="0"/>
    <pivotField dataField="1" showAll="0"/>
    <pivotField showAll="0" defaultSubtotal="0"/>
  </pivotFields>
  <rowFields count="1">
    <field x="3"/>
  </rowFields>
  <rowItems count="5">
    <i>
      <x/>
    </i>
    <i>
      <x v="1"/>
    </i>
    <i>
      <x v="2"/>
    </i>
    <i>
      <x v="3"/>
    </i>
    <i t="grand">
      <x/>
    </i>
  </rowItems>
  <colItems count="1">
    <i/>
  </colItems>
  <dataFields count="1">
    <dataField name="Sum of Revenue" fld="7" baseField="0" baseItem="0"/>
  </dataFields>
  <chartFormats count="2">
    <chartFormat chart="1"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 name="Order_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118" firstHeaderRow="1" firstDataRow="1" firstDataCol="1"/>
  <pivotFields count="9">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h="1" x="0"/>
        <item h="1" x="2"/>
        <item x="3"/>
        <item h="1" x="1"/>
        <item t="default"/>
      </items>
    </pivotField>
    <pivotField axis="axisRow" showAll="0">
      <items count="5">
        <item x="2"/>
        <item x="3"/>
        <item x="1"/>
        <item x="0"/>
        <item t="default"/>
      </items>
    </pivotField>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s>
  <rowFields count="3">
    <field x="8"/>
    <field x="1"/>
    <field x="3"/>
  </rowFields>
  <rowItems count="115">
    <i>
      <x v="7"/>
    </i>
    <i r="1">
      <x v="183"/>
    </i>
    <i r="2">
      <x v="1"/>
    </i>
    <i r="2">
      <x v="2"/>
    </i>
    <i r="1">
      <x v="184"/>
    </i>
    <i r="2">
      <x v="1"/>
    </i>
    <i r="2">
      <x v="2"/>
    </i>
    <i r="2">
      <x v="3"/>
    </i>
    <i r="1">
      <x v="185"/>
    </i>
    <i r="2">
      <x/>
    </i>
    <i r="2">
      <x v="1"/>
    </i>
    <i r="2">
      <x v="2"/>
    </i>
    <i r="2">
      <x v="3"/>
    </i>
    <i r="1">
      <x v="186"/>
    </i>
    <i r="2">
      <x/>
    </i>
    <i r="2">
      <x v="1"/>
    </i>
    <i r="2">
      <x v="2"/>
    </i>
    <i r="1">
      <x v="187"/>
    </i>
    <i r="2">
      <x/>
    </i>
    <i r="2">
      <x v="1"/>
    </i>
    <i r="2">
      <x v="2"/>
    </i>
    <i r="1">
      <x v="188"/>
    </i>
    <i r="2">
      <x/>
    </i>
    <i r="2">
      <x v="1"/>
    </i>
    <i r="2">
      <x v="2"/>
    </i>
    <i r="2">
      <x v="3"/>
    </i>
    <i r="1">
      <x v="189"/>
    </i>
    <i r="2">
      <x/>
    </i>
    <i r="2">
      <x v="2"/>
    </i>
    <i r="1">
      <x v="190"/>
    </i>
    <i r="2">
      <x/>
    </i>
    <i r="2">
      <x v="1"/>
    </i>
    <i r="2">
      <x v="2"/>
    </i>
    <i r="2">
      <x v="3"/>
    </i>
    <i r="1">
      <x v="191"/>
    </i>
    <i r="2">
      <x/>
    </i>
    <i r="2">
      <x v="2"/>
    </i>
    <i r="2">
      <x v="3"/>
    </i>
    <i r="1">
      <x v="192"/>
    </i>
    <i r="2">
      <x/>
    </i>
    <i r="2">
      <x v="1"/>
    </i>
    <i r="2">
      <x v="3"/>
    </i>
    <i r="1">
      <x v="193"/>
    </i>
    <i r="2">
      <x/>
    </i>
    <i r="2">
      <x v="1"/>
    </i>
    <i r="2">
      <x v="2"/>
    </i>
    <i r="2">
      <x v="3"/>
    </i>
    <i r="1">
      <x v="194"/>
    </i>
    <i r="2">
      <x v="2"/>
    </i>
    <i r="1">
      <x v="195"/>
    </i>
    <i r="2">
      <x v="2"/>
    </i>
    <i r="2">
      <x v="3"/>
    </i>
    <i r="1">
      <x v="196"/>
    </i>
    <i r="2">
      <x/>
    </i>
    <i r="2">
      <x v="1"/>
    </i>
    <i r="2">
      <x v="2"/>
    </i>
    <i r="2">
      <x v="3"/>
    </i>
    <i r="1">
      <x v="197"/>
    </i>
    <i r="2">
      <x/>
    </i>
    <i r="2">
      <x v="1"/>
    </i>
    <i r="2">
      <x v="2"/>
    </i>
    <i r="2">
      <x v="3"/>
    </i>
    <i r="1">
      <x v="198"/>
    </i>
    <i r="2">
      <x/>
    </i>
    <i r="2">
      <x v="1"/>
    </i>
    <i r="2">
      <x v="3"/>
    </i>
    <i r="1">
      <x v="199"/>
    </i>
    <i r="2">
      <x v="1"/>
    </i>
    <i r="2">
      <x v="2"/>
    </i>
    <i r="2">
      <x v="3"/>
    </i>
    <i r="1">
      <x v="200"/>
    </i>
    <i r="2">
      <x/>
    </i>
    <i r="2">
      <x v="2"/>
    </i>
    <i r="2">
      <x v="3"/>
    </i>
    <i r="1">
      <x v="201"/>
    </i>
    <i r="2">
      <x/>
    </i>
    <i r="2">
      <x v="2"/>
    </i>
    <i r="2">
      <x v="3"/>
    </i>
    <i r="1">
      <x v="202"/>
    </i>
    <i r="2">
      <x/>
    </i>
    <i r="2">
      <x v="1"/>
    </i>
    <i r="2">
      <x v="2"/>
    </i>
    <i r="1">
      <x v="203"/>
    </i>
    <i r="2">
      <x/>
    </i>
    <i r="2">
      <x v="1"/>
    </i>
    <i r="2">
      <x v="2"/>
    </i>
    <i r="1">
      <x v="204"/>
    </i>
    <i r="2">
      <x/>
    </i>
    <i r="2">
      <x v="1"/>
    </i>
    <i r="2">
      <x v="3"/>
    </i>
    <i r="1">
      <x v="205"/>
    </i>
    <i r="2">
      <x/>
    </i>
    <i r="2">
      <x v="1"/>
    </i>
    <i r="2">
      <x v="2"/>
    </i>
    <i r="2">
      <x v="3"/>
    </i>
    <i r="1">
      <x v="206"/>
    </i>
    <i r="2">
      <x/>
    </i>
    <i r="2">
      <x v="2"/>
    </i>
    <i r="1">
      <x v="207"/>
    </i>
    <i r="2">
      <x/>
    </i>
    <i r="2">
      <x v="1"/>
    </i>
    <i r="2">
      <x v="2"/>
    </i>
    <i r="1">
      <x v="208"/>
    </i>
    <i r="2">
      <x/>
    </i>
    <i r="2">
      <x v="1"/>
    </i>
    <i r="2">
      <x v="2"/>
    </i>
    <i r="2">
      <x v="3"/>
    </i>
    <i r="1">
      <x v="209"/>
    </i>
    <i r="2">
      <x v="1"/>
    </i>
    <i r="2">
      <x v="2"/>
    </i>
    <i r="2">
      <x v="3"/>
    </i>
    <i r="1">
      <x v="210"/>
    </i>
    <i r="2">
      <x v="1"/>
    </i>
    <i r="2">
      <x v="3"/>
    </i>
    <i t="grand">
      <x/>
    </i>
  </rowItems>
  <colItems count="1">
    <i/>
  </colItems>
  <dataFields count="1">
    <dataField name="Sum of Revenue" fld="7" baseField="0" baseItem="0"/>
  </dataFields>
  <pivotTableStyleInfo name="PivotStyleLight16" showRowHeaders="1" showColHeaders="1" showRowStripes="0" showColStripes="0" showLastColumn="1"/>
  <filters count="1">
    <filter fld="1" type="dateBetween" evalOrder="-1" id="38" name="Order_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3:C8" firstHeaderRow="0" firstDataRow="1" firstDataCol="1"/>
  <pivotFields count="9">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h="1" x="0"/>
        <item h="1" x="2"/>
        <item x="3"/>
        <item h="1" x="1"/>
        <item t="default"/>
      </items>
    </pivotField>
    <pivotField axis="axisRow" showAll="0">
      <items count="5">
        <item x="2"/>
        <item x="3"/>
        <item x="1"/>
        <item x="0"/>
        <item t="default"/>
      </items>
    </pivotField>
    <pivotField dataField="1" showAll="0"/>
    <pivotField showAll="0"/>
    <pivotField showAll="0"/>
    <pivotField dataField="1" showAll="0"/>
    <pivotField showAll="0" defaultSubtotal="0"/>
  </pivotFields>
  <rowFields count="1">
    <field x="3"/>
  </rowFields>
  <rowItems count="5">
    <i>
      <x/>
    </i>
    <i>
      <x v="1"/>
    </i>
    <i>
      <x v="2"/>
    </i>
    <i>
      <x v="3"/>
    </i>
    <i t="grand">
      <x/>
    </i>
  </rowItems>
  <colFields count="1">
    <field x="-2"/>
  </colFields>
  <colItems count="2">
    <i>
      <x/>
    </i>
    <i i="1">
      <x v="1"/>
    </i>
  </colItems>
  <dataFields count="2">
    <dataField name="Sum of Revenue" fld="7" baseField="0" baseItem="0"/>
    <dataField name="Sum of Quantity" fld="4"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5" name="Order_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9" unboundColumnsRight="1">
    <queryTableFields count="8">
      <queryTableField id="1" name="Transaction_ID" tableColumnId="10"/>
      <queryTableField id="2" name="Order_Date" tableColumnId="11"/>
      <queryTableField id="3" name="Region" tableColumnId="12"/>
      <queryTableField id="4" name="Category" tableColumnId="13"/>
      <queryTableField id="5" name="Quantity" tableColumnId="14"/>
      <queryTableField id="6" name="Unit_Price" tableColumnId="15"/>
      <queryTableField id="7" name="Shipping_Cost" tableColumnId="16"/>
      <queryTableField id="8"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 tabId="5" name="PivotTable4"/>
  </pivotTables>
  <data>
    <tabular pivotCacheId="1">
      <items count="4">
        <i x="0"/>
        <i x="2"/>
        <i x="3"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3"/>
    <pivotTable tabId="5" name="PivotTable4"/>
  </pivotTables>
  <data>
    <tabular pivotCacheId="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rowHeight="360000"/>
  <slicer name="Category" cache="Slicer_Category" caption="Category" columnCount="4"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ecommerce_supply_chain" displayName="ecommerce_supply_chain" ref="A1:H5001" tableType="queryTable" totalsRowShown="0">
  <tableColumns count="8">
    <tableColumn id="10" uniqueName="10" name="Transaction_ID" queryTableFieldId="1" dataDxfId="6"/>
    <tableColumn id="11" uniqueName="11" name="Order_Date" queryTableFieldId="2" dataDxfId="5"/>
    <tableColumn id="12" uniqueName="12" name="Region" queryTableFieldId="3" dataDxfId="4"/>
    <tableColumn id="13" uniqueName="13" name="Category" queryTableFieldId="4" dataDxfId="3"/>
    <tableColumn id="14" uniqueName="14" name="Quantity" queryTableFieldId="5" dataDxfId="2"/>
    <tableColumn id="15" uniqueName="15" name="Unit_Price" queryTableFieldId="6" dataDxfId="1"/>
    <tableColumn id="16" uniqueName="16" name="Shipping_Cost" queryTableFieldId="7" dataDxfId="0"/>
    <tableColumn id="17" uniqueName="17" name="Revenu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4" name="PivotTable3"/>
    <pivotTable tabId="5" name="PivotTable4"/>
  </pivotTables>
  <state minimalRefreshVersion="6" lastRefreshVersion="6" pivotCacheId="1" filterType="dateBetween">
    <selection startDate="2025-07-01T00:00:00" endDate="2025-07-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4" sqref="B14"/>
    </sheetView>
  </sheetViews>
  <sheetFormatPr defaultRowHeight="15" x14ac:dyDescent="0.25"/>
  <cols>
    <col min="1" max="1" width="19.42578125" customWidth="1"/>
    <col min="2" max="2" width="15.5703125" bestFit="1" customWidth="1"/>
  </cols>
  <sheetData>
    <row r="3" spans="1:2" x14ac:dyDescent="0.25">
      <c r="A3" s="2" t="s">
        <v>5018</v>
      </c>
      <c r="B3" t="s">
        <v>5020</v>
      </c>
    </row>
    <row r="4" spans="1:2" x14ac:dyDescent="0.25">
      <c r="A4" s="3" t="s">
        <v>19</v>
      </c>
      <c r="B4" s="1">
        <v>87703.180000000008</v>
      </c>
    </row>
    <row r="5" spans="1:2" x14ac:dyDescent="0.25">
      <c r="A5" s="3" t="s">
        <v>37</v>
      </c>
      <c r="B5" s="1">
        <v>89066.63</v>
      </c>
    </row>
    <row r="6" spans="1:2" x14ac:dyDescent="0.25">
      <c r="A6" s="3" t="s">
        <v>16</v>
      </c>
      <c r="B6" s="1">
        <v>86315.55</v>
      </c>
    </row>
    <row r="7" spans="1:2" x14ac:dyDescent="0.25">
      <c r="A7" s="3" t="s">
        <v>9</v>
      </c>
      <c r="B7" s="1">
        <v>56550.460000000006</v>
      </c>
    </row>
    <row r="8" spans="1:2" x14ac:dyDescent="0.25">
      <c r="A8" s="3" t="s">
        <v>5019</v>
      </c>
      <c r="B8" s="1">
        <v>319635.82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8"/>
  <sheetViews>
    <sheetView workbookViewId="0">
      <selection activeCell="A5" sqref="A5"/>
    </sheetView>
  </sheetViews>
  <sheetFormatPr defaultRowHeight="15" x14ac:dyDescent="0.25"/>
  <cols>
    <col min="1" max="1" width="25.140625" customWidth="1"/>
    <col min="2" max="2" width="15.5703125" bestFit="1" customWidth="1"/>
  </cols>
  <sheetData>
    <row r="3" spans="1:2" x14ac:dyDescent="0.25">
      <c r="A3" s="2" t="s">
        <v>5018</v>
      </c>
      <c r="B3" t="s">
        <v>5020</v>
      </c>
    </row>
    <row r="4" spans="1:2" x14ac:dyDescent="0.25">
      <c r="A4" s="3" t="s">
        <v>5022</v>
      </c>
      <c r="B4" s="1"/>
    </row>
    <row r="5" spans="1:2" x14ac:dyDescent="0.25">
      <c r="A5" s="4" t="s">
        <v>5023</v>
      </c>
      <c r="B5" s="1">
        <v>5276.99</v>
      </c>
    </row>
    <row r="6" spans="1:2" x14ac:dyDescent="0.25">
      <c r="A6" s="6" t="s">
        <v>37</v>
      </c>
      <c r="B6" s="1">
        <v>2257.6</v>
      </c>
    </row>
    <row r="7" spans="1:2" x14ac:dyDescent="0.25">
      <c r="A7" s="6" t="s">
        <v>16</v>
      </c>
      <c r="B7" s="1">
        <v>3019.39</v>
      </c>
    </row>
    <row r="8" spans="1:2" x14ac:dyDescent="0.25">
      <c r="A8" s="4" t="s">
        <v>5024</v>
      </c>
      <c r="B8" s="1">
        <v>17801.460000000003</v>
      </c>
    </row>
    <row r="9" spans="1:2" x14ac:dyDescent="0.25">
      <c r="A9" s="6" t="s">
        <v>37</v>
      </c>
      <c r="B9" s="1">
        <v>13930.900000000001</v>
      </c>
    </row>
    <row r="10" spans="1:2" x14ac:dyDescent="0.25">
      <c r="A10" s="6" t="s">
        <v>16</v>
      </c>
      <c r="B10" s="1">
        <v>1841.82</v>
      </c>
    </row>
    <row r="11" spans="1:2" x14ac:dyDescent="0.25">
      <c r="A11" s="6" t="s">
        <v>9</v>
      </c>
      <c r="B11" s="1">
        <v>2028.74</v>
      </c>
    </row>
    <row r="12" spans="1:2" x14ac:dyDescent="0.25">
      <c r="A12" s="4" t="s">
        <v>5025</v>
      </c>
      <c r="B12" s="1">
        <v>17114.62</v>
      </c>
    </row>
    <row r="13" spans="1:2" x14ac:dyDescent="0.25">
      <c r="A13" s="6" t="s">
        <v>19</v>
      </c>
      <c r="B13" s="1">
        <v>6345.1400000000012</v>
      </c>
    </row>
    <row r="14" spans="1:2" x14ac:dyDescent="0.25">
      <c r="A14" s="6" t="s">
        <v>37</v>
      </c>
      <c r="B14" s="1">
        <v>5656.7699999999995</v>
      </c>
    </row>
    <row r="15" spans="1:2" x14ac:dyDescent="0.25">
      <c r="A15" s="6" t="s">
        <v>16</v>
      </c>
      <c r="B15" s="1">
        <v>4789.1100000000006</v>
      </c>
    </row>
    <row r="16" spans="1:2" x14ac:dyDescent="0.25">
      <c r="A16" s="6" t="s">
        <v>9</v>
      </c>
      <c r="B16" s="1">
        <v>323.60000000000002</v>
      </c>
    </row>
    <row r="17" spans="1:2" x14ac:dyDescent="0.25">
      <c r="A17" s="4" t="s">
        <v>5026</v>
      </c>
      <c r="B17" s="1">
        <v>9253.0099999999984</v>
      </c>
    </row>
    <row r="18" spans="1:2" x14ac:dyDescent="0.25">
      <c r="A18" s="6" t="s">
        <v>19</v>
      </c>
      <c r="B18" s="1">
        <v>840.75</v>
      </c>
    </row>
    <row r="19" spans="1:2" x14ac:dyDescent="0.25">
      <c r="A19" s="6" t="s">
        <v>37</v>
      </c>
      <c r="B19" s="1">
        <v>4741.5599999999995</v>
      </c>
    </row>
    <row r="20" spans="1:2" x14ac:dyDescent="0.25">
      <c r="A20" s="6" t="s">
        <v>16</v>
      </c>
      <c r="B20" s="1">
        <v>3670.7</v>
      </c>
    </row>
    <row r="21" spans="1:2" x14ac:dyDescent="0.25">
      <c r="A21" s="4" t="s">
        <v>5027</v>
      </c>
      <c r="B21" s="1">
        <v>5615.32</v>
      </c>
    </row>
    <row r="22" spans="1:2" x14ac:dyDescent="0.25">
      <c r="A22" s="6" t="s">
        <v>19</v>
      </c>
      <c r="B22" s="1">
        <v>1970.7799999999997</v>
      </c>
    </row>
    <row r="23" spans="1:2" x14ac:dyDescent="0.25">
      <c r="A23" s="6" t="s">
        <v>37</v>
      </c>
      <c r="B23" s="1">
        <v>1536.33</v>
      </c>
    </row>
    <row r="24" spans="1:2" x14ac:dyDescent="0.25">
      <c r="A24" s="6" t="s">
        <v>16</v>
      </c>
      <c r="B24" s="1">
        <v>2108.21</v>
      </c>
    </row>
    <row r="25" spans="1:2" x14ac:dyDescent="0.25">
      <c r="A25" s="4" t="s">
        <v>5028</v>
      </c>
      <c r="B25" s="1">
        <v>9338.41</v>
      </c>
    </row>
    <row r="26" spans="1:2" x14ac:dyDescent="0.25">
      <c r="A26" s="6" t="s">
        <v>19</v>
      </c>
      <c r="B26" s="1">
        <v>2966.24</v>
      </c>
    </row>
    <row r="27" spans="1:2" x14ac:dyDescent="0.25">
      <c r="A27" s="6" t="s">
        <v>37</v>
      </c>
      <c r="B27" s="1">
        <v>1582.1399999999999</v>
      </c>
    </row>
    <row r="28" spans="1:2" x14ac:dyDescent="0.25">
      <c r="A28" s="6" t="s">
        <v>16</v>
      </c>
      <c r="B28" s="1">
        <v>2978.43</v>
      </c>
    </row>
    <row r="29" spans="1:2" x14ac:dyDescent="0.25">
      <c r="A29" s="6" t="s">
        <v>9</v>
      </c>
      <c r="B29" s="1">
        <v>1811.6</v>
      </c>
    </row>
    <row r="30" spans="1:2" x14ac:dyDescent="0.25">
      <c r="A30" s="4" t="s">
        <v>5029</v>
      </c>
      <c r="B30" s="1">
        <v>5947.04</v>
      </c>
    </row>
    <row r="31" spans="1:2" x14ac:dyDescent="0.25">
      <c r="A31" s="6" t="s">
        <v>19</v>
      </c>
      <c r="B31" s="1">
        <v>2413.44</v>
      </c>
    </row>
    <row r="32" spans="1:2" x14ac:dyDescent="0.25">
      <c r="A32" s="6" t="s">
        <v>16</v>
      </c>
      <c r="B32" s="1">
        <v>3533.6</v>
      </c>
    </row>
    <row r="33" spans="1:2" x14ac:dyDescent="0.25">
      <c r="A33" s="4" t="s">
        <v>5030</v>
      </c>
      <c r="B33" s="1">
        <v>10828.619999999999</v>
      </c>
    </row>
    <row r="34" spans="1:2" x14ac:dyDescent="0.25">
      <c r="A34" s="6" t="s">
        <v>19</v>
      </c>
      <c r="B34" s="1">
        <v>2746.3799999999997</v>
      </c>
    </row>
    <row r="35" spans="1:2" x14ac:dyDescent="0.25">
      <c r="A35" s="6" t="s">
        <v>37</v>
      </c>
      <c r="B35" s="1">
        <v>1366.69</v>
      </c>
    </row>
    <row r="36" spans="1:2" x14ac:dyDescent="0.25">
      <c r="A36" s="6" t="s">
        <v>16</v>
      </c>
      <c r="B36" s="1">
        <v>3963.99</v>
      </c>
    </row>
    <row r="37" spans="1:2" x14ac:dyDescent="0.25">
      <c r="A37" s="6" t="s">
        <v>9</v>
      </c>
      <c r="B37" s="1">
        <v>2751.56</v>
      </c>
    </row>
    <row r="38" spans="1:2" x14ac:dyDescent="0.25">
      <c r="A38" s="4" t="s">
        <v>5031</v>
      </c>
      <c r="B38" s="1">
        <v>12839.12</v>
      </c>
    </row>
    <row r="39" spans="1:2" x14ac:dyDescent="0.25">
      <c r="A39" s="6" t="s">
        <v>19</v>
      </c>
      <c r="B39" s="1">
        <v>2323.75</v>
      </c>
    </row>
    <row r="40" spans="1:2" x14ac:dyDescent="0.25">
      <c r="A40" s="6" t="s">
        <v>16</v>
      </c>
      <c r="B40" s="1">
        <v>8431.93</v>
      </c>
    </row>
    <row r="41" spans="1:2" x14ac:dyDescent="0.25">
      <c r="A41" s="6" t="s">
        <v>9</v>
      </c>
      <c r="B41" s="1">
        <v>2083.44</v>
      </c>
    </row>
    <row r="42" spans="1:2" x14ac:dyDescent="0.25">
      <c r="A42" s="4" t="s">
        <v>5032</v>
      </c>
      <c r="B42" s="1">
        <v>9973.7899999999991</v>
      </c>
    </row>
    <row r="43" spans="1:2" x14ac:dyDescent="0.25">
      <c r="A43" s="6" t="s">
        <v>19</v>
      </c>
      <c r="B43" s="1">
        <v>4799.8</v>
      </c>
    </row>
    <row r="44" spans="1:2" x14ac:dyDescent="0.25">
      <c r="A44" s="6" t="s">
        <v>37</v>
      </c>
      <c r="B44" s="1">
        <v>4458</v>
      </c>
    </row>
    <row r="45" spans="1:2" x14ac:dyDescent="0.25">
      <c r="A45" s="6" t="s">
        <v>9</v>
      </c>
      <c r="B45" s="1">
        <v>715.99</v>
      </c>
    </row>
    <row r="46" spans="1:2" x14ac:dyDescent="0.25">
      <c r="A46" s="4" t="s">
        <v>5033</v>
      </c>
      <c r="B46" s="1">
        <v>25991.46</v>
      </c>
    </row>
    <row r="47" spans="1:2" x14ac:dyDescent="0.25">
      <c r="A47" s="6" t="s">
        <v>19</v>
      </c>
      <c r="B47" s="1">
        <v>14190.76</v>
      </c>
    </row>
    <row r="48" spans="1:2" x14ac:dyDescent="0.25">
      <c r="A48" s="6" t="s">
        <v>37</v>
      </c>
      <c r="B48" s="1">
        <v>5073.9400000000005</v>
      </c>
    </row>
    <row r="49" spans="1:2" x14ac:dyDescent="0.25">
      <c r="A49" s="6" t="s">
        <v>16</v>
      </c>
      <c r="B49" s="1">
        <v>2214.12</v>
      </c>
    </row>
    <row r="50" spans="1:2" x14ac:dyDescent="0.25">
      <c r="A50" s="6" t="s">
        <v>9</v>
      </c>
      <c r="B50" s="1">
        <v>4512.6400000000003</v>
      </c>
    </row>
    <row r="51" spans="1:2" x14ac:dyDescent="0.25">
      <c r="A51" s="4" t="s">
        <v>5034</v>
      </c>
      <c r="B51" s="1">
        <v>4730.07</v>
      </c>
    </row>
    <row r="52" spans="1:2" x14ac:dyDescent="0.25">
      <c r="A52" s="6" t="s">
        <v>16</v>
      </c>
      <c r="B52" s="1">
        <v>4730.07</v>
      </c>
    </row>
    <row r="53" spans="1:2" x14ac:dyDescent="0.25">
      <c r="A53" s="4" t="s">
        <v>5035</v>
      </c>
      <c r="B53" s="1">
        <v>5257.8600000000006</v>
      </c>
    </row>
    <row r="54" spans="1:2" x14ac:dyDescent="0.25">
      <c r="A54" s="6" t="s">
        <v>16</v>
      </c>
      <c r="B54" s="1">
        <v>1070.1000000000001</v>
      </c>
    </row>
    <row r="55" spans="1:2" x14ac:dyDescent="0.25">
      <c r="A55" s="6" t="s">
        <v>9</v>
      </c>
      <c r="B55" s="1">
        <v>4187.76</v>
      </c>
    </row>
    <row r="56" spans="1:2" x14ac:dyDescent="0.25">
      <c r="A56" s="4" t="s">
        <v>5036</v>
      </c>
      <c r="B56" s="1">
        <v>14407.51</v>
      </c>
    </row>
    <row r="57" spans="1:2" x14ac:dyDescent="0.25">
      <c r="A57" s="6" t="s">
        <v>19</v>
      </c>
      <c r="B57" s="1">
        <v>3081.6800000000003</v>
      </c>
    </row>
    <row r="58" spans="1:2" x14ac:dyDescent="0.25">
      <c r="A58" s="6" t="s">
        <v>37</v>
      </c>
      <c r="B58" s="1">
        <v>4417.72</v>
      </c>
    </row>
    <row r="59" spans="1:2" x14ac:dyDescent="0.25">
      <c r="A59" s="6" t="s">
        <v>16</v>
      </c>
      <c r="B59" s="1">
        <v>3726.88</v>
      </c>
    </row>
    <row r="60" spans="1:2" x14ac:dyDescent="0.25">
      <c r="A60" s="6" t="s">
        <v>9</v>
      </c>
      <c r="B60" s="1">
        <v>3181.23</v>
      </c>
    </row>
    <row r="61" spans="1:2" x14ac:dyDescent="0.25">
      <c r="A61" s="4" t="s">
        <v>5037</v>
      </c>
      <c r="B61" s="1">
        <v>11361.24</v>
      </c>
    </row>
    <row r="62" spans="1:2" x14ac:dyDescent="0.25">
      <c r="A62" s="6" t="s">
        <v>19</v>
      </c>
      <c r="B62" s="1">
        <v>3057.4500000000003</v>
      </c>
    </row>
    <row r="63" spans="1:2" x14ac:dyDescent="0.25">
      <c r="A63" s="6" t="s">
        <v>37</v>
      </c>
      <c r="B63" s="1">
        <v>1755.74</v>
      </c>
    </row>
    <row r="64" spans="1:2" x14ac:dyDescent="0.25">
      <c r="A64" s="6" t="s">
        <v>16</v>
      </c>
      <c r="B64" s="1">
        <v>1212.1500000000001</v>
      </c>
    </row>
    <row r="65" spans="1:2" x14ac:dyDescent="0.25">
      <c r="A65" s="6" t="s">
        <v>9</v>
      </c>
      <c r="B65" s="1">
        <v>5335.9</v>
      </c>
    </row>
    <row r="66" spans="1:2" x14ac:dyDescent="0.25">
      <c r="A66" s="4" t="s">
        <v>5038</v>
      </c>
      <c r="B66" s="1">
        <v>18099.079999999998</v>
      </c>
    </row>
    <row r="67" spans="1:2" x14ac:dyDescent="0.25">
      <c r="A67" s="6" t="s">
        <v>19</v>
      </c>
      <c r="B67" s="1">
        <v>60.58</v>
      </c>
    </row>
    <row r="68" spans="1:2" x14ac:dyDescent="0.25">
      <c r="A68" s="6" t="s">
        <v>37</v>
      </c>
      <c r="B68" s="1">
        <v>13093.05</v>
      </c>
    </row>
    <row r="69" spans="1:2" x14ac:dyDescent="0.25">
      <c r="A69" s="6" t="s">
        <v>9</v>
      </c>
      <c r="B69" s="1">
        <v>4945.45</v>
      </c>
    </row>
    <row r="70" spans="1:2" x14ac:dyDescent="0.25">
      <c r="A70" s="4" t="s">
        <v>5039</v>
      </c>
      <c r="B70" s="1">
        <v>12375.619999999999</v>
      </c>
    </row>
    <row r="71" spans="1:2" x14ac:dyDescent="0.25">
      <c r="A71" s="6" t="s">
        <v>37</v>
      </c>
      <c r="B71" s="1">
        <v>6840.9</v>
      </c>
    </row>
    <row r="72" spans="1:2" x14ac:dyDescent="0.25">
      <c r="A72" s="6" t="s">
        <v>16</v>
      </c>
      <c r="B72" s="1">
        <v>4738.3999999999996</v>
      </c>
    </row>
    <row r="73" spans="1:2" x14ac:dyDescent="0.25">
      <c r="A73" s="6" t="s">
        <v>9</v>
      </c>
      <c r="B73" s="1">
        <v>796.31999999999994</v>
      </c>
    </row>
    <row r="74" spans="1:2" x14ac:dyDescent="0.25">
      <c r="A74" s="4" t="s">
        <v>5040</v>
      </c>
      <c r="B74" s="1">
        <v>17999.690000000002</v>
      </c>
    </row>
    <row r="75" spans="1:2" x14ac:dyDescent="0.25">
      <c r="A75" s="6" t="s">
        <v>19</v>
      </c>
      <c r="B75" s="1">
        <v>1551.06</v>
      </c>
    </row>
    <row r="76" spans="1:2" x14ac:dyDescent="0.25">
      <c r="A76" s="6" t="s">
        <v>16</v>
      </c>
      <c r="B76" s="1">
        <v>6934.17</v>
      </c>
    </row>
    <row r="77" spans="1:2" x14ac:dyDescent="0.25">
      <c r="A77" s="6" t="s">
        <v>9</v>
      </c>
      <c r="B77" s="1">
        <v>9514.4600000000009</v>
      </c>
    </row>
    <row r="78" spans="1:2" x14ac:dyDescent="0.25">
      <c r="A78" s="4" t="s">
        <v>5041</v>
      </c>
      <c r="B78" s="1">
        <v>2434.9799999999996</v>
      </c>
    </row>
    <row r="79" spans="1:2" x14ac:dyDescent="0.25">
      <c r="A79" s="6" t="s">
        <v>19</v>
      </c>
      <c r="B79" s="1">
        <v>1059.1199999999999</v>
      </c>
    </row>
    <row r="80" spans="1:2" x14ac:dyDescent="0.25">
      <c r="A80" s="6" t="s">
        <v>16</v>
      </c>
      <c r="B80" s="1">
        <v>206.26</v>
      </c>
    </row>
    <row r="81" spans="1:2" x14ac:dyDescent="0.25">
      <c r="A81" s="6" t="s">
        <v>9</v>
      </c>
      <c r="B81" s="1">
        <v>1169.5999999999999</v>
      </c>
    </row>
    <row r="82" spans="1:2" x14ac:dyDescent="0.25">
      <c r="A82" s="4" t="s">
        <v>5042</v>
      </c>
      <c r="B82" s="1">
        <v>11107.800000000001</v>
      </c>
    </row>
    <row r="83" spans="1:2" x14ac:dyDescent="0.25">
      <c r="A83" s="6" t="s">
        <v>19</v>
      </c>
      <c r="B83" s="1">
        <v>2843.86</v>
      </c>
    </row>
    <row r="84" spans="1:2" x14ac:dyDescent="0.25">
      <c r="A84" s="6" t="s">
        <v>37</v>
      </c>
      <c r="B84" s="1">
        <v>4731.34</v>
      </c>
    </row>
    <row r="85" spans="1:2" x14ac:dyDescent="0.25">
      <c r="A85" s="6" t="s">
        <v>16</v>
      </c>
      <c r="B85" s="1">
        <v>3532.6000000000004</v>
      </c>
    </row>
    <row r="86" spans="1:2" x14ac:dyDescent="0.25">
      <c r="A86" s="4" t="s">
        <v>5043</v>
      </c>
      <c r="B86" s="1">
        <v>21614.730000000003</v>
      </c>
    </row>
    <row r="87" spans="1:2" x14ac:dyDescent="0.25">
      <c r="A87" s="6" t="s">
        <v>19</v>
      </c>
      <c r="B87" s="1">
        <v>10682.93</v>
      </c>
    </row>
    <row r="88" spans="1:2" x14ac:dyDescent="0.25">
      <c r="A88" s="6" t="s">
        <v>37</v>
      </c>
      <c r="B88" s="1">
        <v>1335.8400000000001</v>
      </c>
    </row>
    <row r="89" spans="1:2" x14ac:dyDescent="0.25">
      <c r="A89" s="6" t="s">
        <v>16</v>
      </c>
      <c r="B89" s="1">
        <v>9595.9600000000009</v>
      </c>
    </row>
    <row r="90" spans="1:2" x14ac:dyDescent="0.25">
      <c r="A90" s="4" t="s">
        <v>5044</v>
      </c>
      <c r="B90" s="1">
        <v>13170.869999999999</v>
      </c>
    </row>
    <row r="91" spans="1:2" x14ac:dyDescent="0.25">
      <c r="A91" s="6" t="s">
        <v>19</v>
      </c>
      <c r="B91" s="1">
        <v>4130.59</v>
      </c>
    </row>
    <row r="92" spans="1:2" x14ac:dyDescent="0.25">
      <c r="A92" s="6" t="s">
        <v>37</v>
      </c>
      <c r="B92" s="1">
        <v>2529.23</v>
      </c>
    </row>
    <row r="93" spans="1:2" x14ac:dyDescent="0.25">
      <c r="A93" s="6" t="s">
        <v>9</v>
      </c>
      <c r="B93" s="1">
        <v>6511.05</v>
      </c>
    </row>
    <row r="94" spans="1:2" x14ac:dyDescent="0.25">
      <c r="A94" s="4" t="s">
        <v>5045</v>
      </c>
      <c r="B94" s="1">
        <v>17431.66</v>
      </c>
    </row>
    <row r="95" spans="1:2" x14ac:dyDescent="0.25">
      <c r="A95" s="6" t="s">
        <v>19</v>
      </c>
      <c r="B95" s="1">
        <v>4166.5</v>
      </c>
    </row>
    <row r="96" spans="1:2" x14ac:dyDescent="0.25">
      <c r="A96" s="6" t="s">
        <v>37</v>
      </c>
      <c r="B96" s="1">
        <v>4806.34</v>
      </c>
    </row>
    <row r="97" spans="1:2" x14ac:dyDescent="0.25">
      <c r="A97" s="6" t="s">
        <v>16</v>
      </c>
      <c r="B97" s="1">
        <v>6609.4400000000005</v>
      </c>
    </row>
    <row r="98" spans="1:2" x14ac:dyDescent="0.25">
      <c r="A98" s="6" t="s">
        <v>9</v>
      </c>
      <c r="B98" s="1">
        <v>1849.38</v>
      </c>
    </row>
    <row r="99" spans="1:2" x14ac:dyDescent="0.25">
      <c r="A99" s="4" t="s">
        <v>5046</v>
      </c>
      <c r="B99" s="1">
        <v>6537.16</v>
      </c>
    </row>
    <row r="100" spans="1:2" x14ac:dyDescent="0.25">
      <c r="A100" s="6" t="s">
        <v>19</v>
      </c>
      <c r="B100" s="1">
        <v>4627</v>
      </c>
    </row>
    <row r="101" spans="1:2" x14ac:dyDescent="0.25">
      <c r="A101" s="6" t="s">
        <v>16</v>
      </c>
      <c r="B101" s="1">
        <v>1910.16</v>
      </c>
    </row>
    <row r="102" spans="1:2" x14ac:dyDescent="0.25">
      <c r="A102" s="4" t="s">
        <v>5047</v>
      </c>
      <c r="B102" s="1">
        <v>5438.45</v>
      </c>
    </row>
    <row r="103" spans="1:2" x14ac:dyDescent="0.25">
      <c r="A103" s="6" t="s">
        <v>19</v>
      </c>
      <c r="B103" s="1">
        <v>942.05000000000007</v>
      </c>
    </row>
    <row r="104" spans="1:2" x14ac:dyDescent="0.25">
      <c r="A104" s="6" t="s">
        <v>37</v>
      </c>
      <c r="B104" s="1">
        <v>687.98</v>
      </c>
    </row>
    <row r="105" spans="1:2" x14ac:dyDescent="0.25">
      <c r="A105" s="6" t="s">
        <v>16</v>
      </c>
      <c r="B105" s="1">
        <v>3808.4199999999996</v>
      </c>
    </row>
    <row r="106" spans="1:2" x14ac:dyDescent="0.25">
      <c r="A106" s="4" t="s">
        <v>5048</v>
      </c>
      <c r="B106" s="1">
        <v>19141.260000000002</v>
      </c>
    </row>
    <row r="107" spans="1:2" x14ac:dyDescent="0.25">
      <c r="A107" s="6" t="s">
        <v>19</v>
      </c>
      <c r="B107" s="1">
        <v>12903.32</v>
      </c>
    </row>
    <row r="108" spans="1:2" x14ac:dyDescent="0.25">
      <c r="A108" s="6" t="s">
        <v>37</v>
      </c>
      <c r="B108" s="1">
        <v>3848.8999999999996</v>
      </c>
    </row>
    <row r="109" spans="1:2" x14ac:dyDescent="0.25">
      <c r="A109" s="6" t="s">
        <v>16</v>
      </c>
      <c r="B109" s="1">
        <v>1222.6400000000001</v>
      </c>
    </row>
    <row r="110" spans="1:2" x14ac:dyDescent="0.25">
      <c r="A110" s="6" t="s">
        <v>9</v>
      </c>
      <c r="B110" s="1">
        <v>1166.4000000000001</v>
      </c>
    </row>
    <row r="111" spans="1:2" x14ac:dyDescent="0.25">
      <c r="A111" s="4" t="s">
        <v>5049</v>
      </c>
      <c r="B111" s="1">
        <v>3844.23</v>
      </c>
    </row>
    <row r="112" spans="1:2" x14ac:dyDescent="0.25">
      <c r="A112" s="6" t="s">
        <v>37</v>
      </c>
      <c r="B112" s="1">
        <v>1032.52</v>
      </c>
    </row>
    <row r="113" spans="1:2" x14ac:dyDescent="0.25">
      <c r="A113" s="6" t="s">
        <v>16</v>
      </c>
      <c r="B113" s="1">
        <v>467</v>
      </c>
    </row>
    <row r="114" spans="1:2" x14ac:dyDescent="0.25">
      <c r="A114" s="6" t="s">
        <v>9</v>
      </c>
      <c r="B114" s="1">
        <v>2344.71</v>
      </c>
    </row>
    <row r="115" spans="1:2" x14ac:dyDescent="0.25">
      <c r="A115" s="4" t="s">
        <v>5050</v>
      </c>
      <c r="B115" s="1">
        <v>4703.7699999999995</v>
      </c>
    </row>
    <row r="116" spans="1:2" x14ac:dyDescent="0.25">
      <c r="A116" s="6" t="s">
        <v>37</v>
      </c>
      <c r="B116" s="1">
        <v>3383.14</v>
      </c>
    </row>
    <row r="117" spans="1:2" x14ac:dyDescent="0.25">
      <c r="A117" s="6" t="s">
        <v>9</v>
      </c>
      <c r="B117" s="1">
        <v>1320.6299999999999</v>
      </c>
    </row>
    <row r="118" spans="1:2" x14ac:dyDescent="0.25">
      <c r="A118" s="3" t="s">
        <v>5019</v>
      </c>
      <c r="B118" s="1">
        <v>319635.82000000007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tabSelected="1" workbookViewId="0">
      <selection activeCell="M16" sqref="M16"/>
    </sheetView>
  </sheetViews>
  <sheetFormatPr defaultRowHeight="15" x14ac:dyDescent="0.25"/>
  <cols>
    <col min="1" max="1" width="19.42578125" bestFit="1" customWidth="1"/>
    <col min="2" max="2" width="15.5703125" bestFit="1" customWidth="1"/>
    <col min="3" max="3" width="15.42578125" bestFit="1" customWidth="1"/>
  </cols>
  <sheetData>
    <row r="3" spans="1:3" x14ac:dyDescent="0.25">
      <c r="A3" s="2" t="s">
        <v>5018</v>
      </c>
      <c r="B3" t="s">
        <v>5020</v>
      </c>
      <c r="C3" t="s">
        <v>5051</v>
      </c>
    </row>
    <row r="4" spans="1:3" x14ac:dyDescent="0.25">
      <c r="A4" s="3" t="s">
        <v>19</v>
      </c>
      <c r="B4" s="1">
        <v>2935318.6299999976</v>
      </c>
      <c r="C4" s="1">
        <v>12606</v>
      </c>
    </row>
    <row r="5" spans="1:3" x14ac:dyDescent="0.25">
      <c r="A5" s="3" t="s">
        <v>37</v>
      </c>
      <c r="B5" s="1">
        <v>2983573.9900000007</v>
      </c>
      <c r="C5" s="1">
        <v>12643</v>
      </c>
    </row>
    <row r="6" spans="1:3" x14ac:dyDescent="0.25">
      <c r="A6" s="3" t="s">
        <v>16</v>
      </c>
      <c r="B6" s="1">
        <v>2917904.0200000005</v>
      </c>
      <c r="C6" s="1">
        <v>12548</v>
      </c>
    </row>
    <row r="7" spans="1:3" x14ac:dyDescent="0.25">
      <c r="A7" s="3" t="s">
        <v>9</v>
      </c>
      <c r="B7" s="1">
        <v>2882796.4999999991</v>
      </c>
      <c r="C7" s="1">
        <v>12561</v>
      </c>
    </row>
    <row r="8" spans="1:3" x14ac:dyDescent="0.25">
      <c r="A8" s="3" t="s">
        <v>5019</v>
      </c>
      <c r="B8" s="1">
        <v>11719593.139999997</v>
      </c>
      <c r="C8" s="1">
        <v>50358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1"/>
  <sheetViews>
    <sheetView topLeftCell="A2" workbookViewId="0">
      <selection activeCell="B16" sqref="B16"/>
    </sheetView>
  </sheetViews>
  <sheetFormatPr defaultRowHeight="15" x14ac:dyDescent="0.25"/>
  <cols>
    <col min="1" max="1" width="14.140625" bestFit="1" customWidth="1"/>
    <col min="2" max="2" width="15.85546875" bestFit="1" customWidth="1"/>
    <col min="3" max="3" width="7.140625" bestFit="1" customWidth="1"/>
    <col min="4" max="4" width="19.42578125" bestFit="1" customWidth="1"/>
    <col min="5" max="5" width="8.7109375" bestFit="1" customWidth="1"/>
    <col min="6" max="6" width="10.28515625" bestFit="1" customWidth="1"/>
    <col min="7" max="7" width="13.7109375" bestFit="1" customWidth="1"/>
    <col min="8" max="8" width="8.85546875" bestFit="1" customWidth="1"/>
    <col min="10" max="10" width="12" bestFit="1" customWidth="1"/>
    <col min="12" max="12" width="19.42578125" bestFit="1" customWidth="1"/>
  </cols>
  <sheetData>
    <row r="1" spans="1:13" x14ac:dyDescent="0.25">
      <c r="A1" s="1" t="s">
        <v>0</v>
      </c>
      <c r="B1" s="1" t="s">
        <v>1</v>
      </c>
      <c r="C1" s="1" t="s">
        <v>2</v>
      </c>
      <c r="D1" s="1" t="s">
        <v>3</v>
      </c>
      <c r="E1" s="1" t="s">
        <v>4</v>
      </c>
      <c r="F1" s="1" t="s">
        <v>5</v>
      </c>
      <c r="G1" s="1" t="s">
        <v>6</v>
      </c>
      <c r="H1" t="s">
        <v>5021</v>
      </c>
      <c r="J1">
        <f>MIN(E2:E5001)</f>
        <v>1</v>
      </c>
      <c r="L1">
        <v>0</v>
      </c>
      <c r="M1" t="s">
        <v>5015</v>
      </c>
    </row>
    <row r="2" spans="1:13" x14ac:dyDescent="0.25">
      <c r="A2" s="1" t="s">
        <v>7</v>
      </c>
      <c r="B2" s="5">
        <v>45658</v>
      </c>
      <c r="C2" s="1" t="s">
        <v>8</v>
      </c>
      <c r="D2" s="1" t="s">
        <v>9</v>
      </c>
      <c r="E2" s="1">
        <v>19</v>
      </c>
      <c r="F2" s="1">
        <v>320.01</v>
      </c>
      <c r="G2" s="1">
        <v>16.989999999999998</v>
      </c>
      <c r="H2">
        <f t="shared" ref="H2:H65" si="0">E2*F2</f>
        <v>6080.19</v>
      </c>
      <c r="J2">
        <f>MAX(E2:E5001)</f>
        <v>19</v>
      </c>
      <c r="L2">
        <v>15</v>
      </c>
      <c r="M2" t="s">
        <v>5016</v>
      </c>
    </row>
    <row r="3" spans="1:13" x14ac:dyDescent="0.25">
      <c r="A3" s="1" t="s">
        <v>10</v>
      </c>
      <c r="B3" s="5">
        <v>45658.041666666664</v>
      </c>
      <c r="C3" s="1" t="s">
        <v>11</v>
      </c>
      <c r="D3" s="1" t="s">
        <v>9</v>
      </c>
      <c r="E3" s="1">
        <v>8</v>
      </c>
      <c r="F3" s="1">
        <v>418.2</v>
      </c>
      <c r="G3" s="1">
        <v>23.19</v>
      </c>
      <c r="H3">
        <f t="shared" si="0"/>
        <v>3345.6</v>
      </c>
      <c r="J3">
        <f>MIN(F2:F5001)</f>
        <v>15.55</v>
      </c>
      <c r="L3">
        <v>35</v>
      </c>
      <c r="M3" t="s">
        <v>5017</v>
      </c>
    </row>
    <row r="4" spans="1:13" x14ac:dyDescent="0.25">
      <c r="A4" s="1" t="s">
        <v>12</v>
      </c>
      <c r="B4" s="5">
        <v>45658.083333333336</v>
      </c>
      <c r="C4" s="1" t="s">
        <v>13</v>
      </c>
      <c r="D4" s="1" t="s">
        <v>9</v>
      </c>
      <c r="E4" s="1">
        <v>7</v>
      </c>
      <c r="F4" s="1">
        <v>178.6</v>
      </c>
      <c r="G4" s="1">
        <v>36.58</v>
      </c>
      <c r="H4">
        <f t="shared" si="0"/>
        <v>1250.2</v>
      </c>
      <c r="J4">
        <f>MAX(F2:F5001)</f>
        <v>449.92</v>
      </c>
    </row>
    <row r="5" spans="1:13" x14ac:dyDescent="0.25">
      <c r="A5" s="1" t="s">
        <v>14</v>
      </c>
      <c r="B5" s="5">
        <v>45658.125</v>
      </c>
      <c r="C5" s="1" t="s">
        <v>8</v>
      </c>
      <c r="D5" s="1" t="s">
        <v>9</v>
      </c>
      <c r="E5" s="1">
        <v>16</v>
      </c>
      <c r="F5" s="1">
        <v>120.47</v>
      </c>
      <c r="G5" s="1">
        <v>6.75</v>
      </c>
      <c r="H5">
        <f t="shared" si="0"/>
        <v>1927.52</v>
      </c>
      <c r="J5">
        <f>MIN(G2:G5001)</f>
        <v>5</v>
      </c>
    </row>
    <row r="6" spans="1:13" x14ac:dyDescent="0.25">
      <c r="A6" s="1" t="s">
        <v>15</v>
      </c>
      <c r="B6" s="5">
        <v>45658.166666666664</v>
      </c>
      <c r="C6" s="1" t="s">
        <v>8</v>
      </c>
      <c r="D6" s="1" t="s">
        <v>16</v>
      </c>
      <c r="E6" s="1">
        <v>19</v>
      </c>
      <c r="F6" s="1">
        <v>256.58999999999997</v>
      </c>
      <c r="G6" s="1">
        <v>48.07</v>
      </c>
      <c r="H6">
        <f t="shared" si="0"/>
        <v>4875.2099999999991</v>
      </c>
      <c r="J6">
        <f>MAX(G2:G5001)</f>
        <v>50</v>
      </c>
    </row>
    <row r="7" spans="1:13" x14ac:dyDescent="0.25">
      <c r="A7" s="1" t="s">
        <v>17</v>
      </c>
      <c r="B7" s="5">
        <v>45658.208333333336</v>
      </c>
      <c r="C7" s="1" t="s">
        <v>11</v>
      </c>
      <c r="D7" s="1" t="s">
        <v>9</v>
      </c>
      <c r="E7" s="1">
        <v>6</v>
      </c>
      <c r="F7" s="1">
        <v>361.44</v>
      </c>
      <c r="G7" s="1">
        <v>7.08</v>
      </c>
      <c r="H7">
        <f t="shared" si="0"/>
        <v>2168.64</v>
      </c>
    </row>
    <row r="8" spans="1:13" x14ac:dyDescent="0.25">
      <c r="A8" s="1" t="s">
        <v>18</v>
      </c>
      <c r="B8" s="5">
        <v>45658.25</v>
      </c>
      <c r="C8" s="1" t="s">
        <v>13</v>
      </c>
      <c r="D8" s="1" t="s">
        <v>19</v>
      </c>
      <c r="E8" s="1">
        <v>11</v>
      </c>
      <c r="F8" s="1">
        <v>17.14</v>
      </c>
      <c r="G8" s="1">
        <v>44.66</v>
      </c>
      <c r="H8">
        <f t="shared" si="0"/>
        <v>188.54000000000002</v>
      </c>
    </row>
    <row r="9" spans="1:13" x14ac:dyDescent="0.25">
      <c r="A9" s="1" t="s">
        <v>20</v>
      </c>
      <c r="B9" s="5">
        <v>45658.291666666664</v>
      </c>
      <c r="C9" s="1" t="s">
        <v>13</v>
      </c>
      <c r="D9" s="1" t="s">
        <v>9</v>
      </c>
      <c r="E9" s="1">
        <v>5</v>
      </c>
      <c r="F9" s="1">
        <v>289.83</v>
      </c>
      <c r="G9" s="1">
        <v>45.25</v>
      </c>
      <c r="H9">
        <f t="shared" si="0"/>
        <v>1449.1499999999999</v>
      </c>
      <c r="L9" s="1" t="s">
        <v>3</v>
      </c>
    </row>
    <row r="10" spans="1:13" x14ac:dyDescent="0.25">
      <c r="A10" s="1" t="s">
        <v>21</v>
      </c>
      <c r="B10" s="5">
        <v>45658.333333333336</v>
      </c>
      <c r="C10" s="1" t="s">
        <v>8</v>
      </c>
      <c r="D10" s="1" t="s">
        <v>16</v>
      </c>
      <c r="E10" s="1">
        <v>16</v>
      </c>
      <c r="F10" s="1">
        <v>274.69</v>
      </c>
      <c r="G10" s="1">
        <v>28.6</v>
      </c>
      <c r="H10">
        <f t="shared" si="0"/>
        <v>4395.04</v>
      </c>
      <c r="J10">
        <f>SUMIFS(G:G, C:C, "East", D:D, "Electronics")</f>
        <v>7140.9799999999987</v>
      </c>
      <c r="L10" s="1" t="s">
        <v>9</v>
      </c>
    </row>
    <row r="11" spans="1:13" x14ac:dyDescent="0.25">
      <c r="A11" s="1" t="s">
        <v>22</v>
      </c>
      <c r="B11" s="5">
        <v>45658.375</v>
      </c>
      <c r="C11" s="1" t="s">
        <v>23</v>
      </c>
      <c r="D11" s="1" t="s">
        <v>9</v>
      </c>
      <c r="E11" s="1">
        <v>7</v>
      </c>
      <c r="F11" s="1">
        <v>153.74</v>
      </c>
      <c r="G11" s="1">
        <v>11.16</v>
      </c>
      <c r="H11">
        <f t="shared" si="0"/>
        <v>1076.18</v>
      </c>
      <c r="J11">
        <f>COUNTIFS(C:C, "East", D:D, "Electronics")</f>
        <v>262</v>
      </c>
      <c r="L11" s="1" t="s">
        <v>16</v>
      </c>
    </row>
    <row r="12" spans="1:13" x14ac:dyDescent="0.25">
      <c r="A12" s="1" t="s">
        <v>24</v>
      </c>
      <c r="B12" s="5">
        <v>45658.416666666664</v>
      </c>
      <c r="C12" s="1" t="s">
        <v>8</v>
      </c>
      <c r="D12" s="1" t="s">
        <v>19</v>
      </c>
      <c r="E12" s="1">
        <v>5</v>
      </c>
      <c r="F12" s="1">
        <v>211.64</v>
      </c>
      <c r="G12" s="1">
        <v>30.43</v>
      </c>
      <c r="H12">
        <f t="shared" si="0"/>
        <v>1058.1999999999998</v>
      </c>
      <c r="J12">
        <f>J10/J11</f>
        <v>27.255648854961827</v>
      </c>
      <c r="L12" s="1" t="s">
        <v>19</v>
      </c>
    </row>
    <row r="13" spans="1:13" x14ac:dyDescent="0.25">
      <c r="A13" s="1" t="s">
        <v>25</v>
      </c>
      <c r="B13" s="5">
        <v>45658.458333333336</v>
      </c>
      <c r="C13" s="1" t="s">
        <v>8</v>
      </c>
      <c r="D13" s="1" t="s">
        <v>16</v>
      </c>
      <c r="E13" s="1">
        <v>11</v>
      </c>
      <c r="F13" s="1">
        <v>122.81</v>
      </c>
      <c r="G13" s="1">
        <v>33.29</v>
      </c>
      <c r="H13">
        <f t="shared" si="0"/>
        <v>1350.91</v>
      </c>
      <c r="J13">
        <f>AVERAGEIF(C:C, "East", G:G)</f>
        <v>27.528362282878408</v>
      </c>
      <c r="L13" s="1" t="s">
        <v>37</v>
      </c>
    </row>
    <row r="14" spans="1:13" x14ac:dyDescent="0.25">
      <c r="A14" s="1" t="s">
        <v>26</v>
      </c>
      <c r="B14" s="5">
        <v>45658.5</v>
      </c>
      <c r="C14" s="1" t="s">
        <v>8</v>
      </c>
      <c r="D14" s="1" t="s">
        <v>16</v>
      </c>
      <c r="E14" s="1">
        <v>15</v>
      </c>
      <c r="F14" s="1">
        <v>358.71</v>
      </c>
      <c r="G14" s="1">
        <v>43.6</v>
      </c>
      <c r="H14">
        <f t="shared" si="0"/>
        <v>5380.65</v>
      </c>
      <c r="J14">
        <f>AVERAGEIFS(G:G, C:C, "East", D:D, "Office Supplies")</f>
        <v>27.115429553264608</v>
      </c>
    </row>
    <row r="15" spans="1:13" x14ac:dyDescent="0.25">
      <c r="A15" s="1" t="s">
        <v>27</v>
      </c>
      <c r="B15" s="5">
        <v>45658.541666666664</v>
      </c>
      <c r="C15" s="1" t="s">
        <v>8</v>
      </c>
      <c r="D15" s="1" t="s">
        <v>19</v>
      </c>
      <c r="E15" s="1">
        <v>3</v>
      </c>
      <c r="F15" s="1">
        <v>291.20999999999998</v>
      </c>
      <c r="G15" s="1">
        <v>29.79</v>
      </c>
      <c r="H15">
        <f t="shared" si="0"/>
        <v>873.62999999999988</v>
      </c>
      <c r="J15">
        <f>AVERAGEIFS(G:G, C:C, "East", D:D, "Industrial Machinery")</f>
        <v>27.612279635258361</v>
      </c>
      <c r="L15">
        <f t="array" ref="L15">SUM((C2:C5001="East")*(D2:D5001="Electronics")*G2:G5001)</f>
        <v>7140.9799999999987</v>
      </c>
    </row>
    <row r="16" spans="1:13" x14ac:dyDescent="0.25">
      <c r="A16" s="1" t="s">
        <v>28</v>
      </c>
      <c r="B16" s="5">
        <v>45658.583333333336</v>
      </c>
      <c r="C16" s="1" t="s">
        <v>11</v>
      </c>
      <c r="D16" s="1" t="s">
        <v>19</v>
      </c>
      <c r="E16" s="1">
        <v>5</v>
      </c>
      <c r="F16" s="1">
        <v>246.96</v>
      </c>
      <c r="G16" s="1">
        <v>23.48</v>
      </c>
      <c r="H16">
        <f t="shared" si="0"/>
        <v>1234.8</v>
      </c>
      <c r="J16">
        <f>AVERAGEIFS(G:G, C:C, "East", D:D, "Home Appliances")</f>
        <v>28.029908256880748</v>
      </c>
    </row>
    <row r="17" spans="1:12" x14ac:dyDescent="0.25">
      <c r="A17" s="1" t="s">
        <v>29</v>
      </c>
      <c r="B17" s="5">
        <v>45658.625</v>
      </c>
      <c r="C17" s="1" t="s">
        <v>13</v>
      </c>
      <c r="D17" s="1" t="s">
        <v>19</v>
      </c>
      <c r="E17" s="1">
        <v>5</v>
      </c>
      <c r="F17" s="1">
        <v>186.05</v>
      </c>
      <c r="G17" s="1">
        <v>42.72</v>
      </c>
      <c r="H17">
        <f t="shared" si="0"/>
        <v>930.25</v>
      </c>
      <c r="J17">
        <f>SUMPRODUCT(E2:E5001, F2:F5001)</f>
        <v>11719593.140000008</v>
      </c>
    </row>
    <row r="18" spans="1:12" x14ac:dyDescent="0.25">
      <c r="A18" s="1" t="s">
        <v>30</v>
      </c>
      <c r="B18" s="5">
        <v>45658.666666666664</v>
      </c>
      <c r="C18" s="1" t="s">
        <v>11</v>
      </c>
      <c r="D18" s="1" t="s">
        <v>19</v>
      </c>
      <c r="E18" s="1">
        <v>9</v>
      </c>
      <c r="F18" s="1">
        <v>142.11000000000001</v>
      </c>
      <c r="G18" s="1">
        <v>49.14</v>
      </c>
      <c r="H18">
        <f t="shared" si="0"/>
        <v>1278.9900000000002</v>
      </c>
      <c r="J18">
        <f>SUMPRODUCT((C2:C5001="East") * E2:E5001 * F2:F5001)</f>
        <v>2781333.14</v>
      </c>
      <c r="L18">
        <f>VLOOKUP("TXN-100050", A2:G5001, 6, FALSE)</f>
        <v>170.59</v>
      </c>
    </row>
    <row r="19" spans="1:12" x14ac:dyDescent="0.25">
      <c r="A19" s="1" t="s">
        <v>31</v>
      </c>
      <c r="B19" s="5">
        <v>45658.708333333336</v>
      </c>
      <c r="C19" s="1" t="s">
        <v>11</v>
      </c>
      <c r="D19" s="1" t="s">
        <v>19</v>
      </c>
      <c r="E19" s="1">
        <v>15</v>
      </c>
      <c r="F19" s="1">
        <v>372.98</v>
      </c>
      <c r="G19" s="1">
        <v>34.03</v>
      </c>
      <c r="H19">
        <f t="shared" si="0"/>
        <v>5594.7000000000007</v>
      </c>
    </row>
    <row r="20" spans="1:12" x14ac:dyDescent="0.25">
      <c r="A20" s="1" t="s">
        <v>32</v>
      </c>
      <c r="B20" s="5">
        <v>45658.75</v>
      </c>
      <c r="C20" s="1" t="s">
        <v>11</v>
      </c>
      <c r="D20" s="1" t="s">
        <v>16</v>
      </c>
      <c r="E20" s="1">
        <v>3</v>
      </c>
      <c r="F20" s="1">
        <v>211.64</v>
      </c>
      <c r="G20" s="1">
        <v>44.35</v>
      </c>
      <c r="H20">
        <f t="shared" si="0"/>
        <v>634.91999999999996</v>
      </c>
      <c r="L20">
        <f t="array" ref="L20">INDEX(F2:F5001, MATCH(1, (C2:C5001="East")*(D2:D5001="Electronics"), 0))</f>
        <v>211.64</v>
      </c>
    </row>
    <row r="21" spans="1:12" x14ac:dyDescent="0.25">
      <c r="A21" s="1" t="s">
        <v>33</v>
      </c>
      <c r="B21" s="5">
        <v>45658.791666666664</v>
      </c>
      <c r="C21" s="1" t="s">
        <v>8</v>
      </c>
      <c r="D21" s="1" t="s">
        <v>16</v>
      </c>
      <c r="E21" s="1">
        <v>6</v>
      </c>
      <c r="F21" s="1">
        <v>233.38</v>
      </c>
      <c r="G21" s="1">
        <v>31.94</v>
      </c>
      <c r="H21">
        <f t="shared" si="0"/>
        <v>1400.28</v>
      </c>
      <c r="J21" t="str">
        <f>VLOOKUP(G2, $L$1:$M$3, 2, TRUE)</f>
        <v>Medium</v>
      </c>
    </row>
    <row r="22" spans="1:12" x14ac:dyDescent="0.25">
      <c r="A22" s="1" t="s">
        <v>34</v>
      </c>
      <c r="B22" s="5">
        <v>45658.833333333336</v>
      </c>
      <c r="C22" s="1" t="s">
        <v>23</v>
      </c>
      <c r="D22" s="1" t="s">
        <v>9</v>
      </c>
      <c r="E22" s="1">
        <v>17</v>
      </c>
      <c r="F22" s="1">
        <v>241.8</v>
      </c>
      <c r="G22" s="1">
        <v>36.04</v>
      </c>
      <c r="H22">
        <f t="shared" si="0"/>
        <v>4110.6000000000004</v>
      </c>
    </row>
    <row r="23" spans="1:12" x14ac:dyDescent="0.25">
      <c r="A23" s="1" t="s">
        <v>35</v>
      </c>
      <c r="B23" s="5">
        <v>45658.875</v>
      </c>
      <c r="C23" s="1" t="s">
        <v>13</v>
      </c>
      <c r="D23" s="1" t="s">
        <v>9</v>
      </c>
      <c r="E23" s="1">
        <v>8</v>
      </c>
      <c r="F23" s="1">
        <v>210.32</v>
      </c>
      <c r="G23" s="1">
        <v>35.97</v>
      </c>
      <c r="H23">
        <f t="shared" si="0"/>
        <v>1682.56</v>
      </c>
    </row>
    <row r="24" spans="1:12" x14ac:dyDescent="0.25">
      <c r="A24" s="1" t="s">
        <v>36</v>
      </c>
      <c r="B24" s="5">
        <v>45658.916666666664</v>
      </c>
      <c r="C24" s="1" t="s">
        <v>23</v>
      </c>
      <c r="D24" s="1" t="s">
        <v>37</v>
      </c>
      <c r="E24" s="1">
        <v>11</v>
      </c>
      <c r="F24" s="1">
        <v>126.77</v>
      </c>
      <c r="G24" s="1">
        <v>36.72</v>
      </c>
      <c r="H24">
        <f t="shared" si="0"/>
        <v>1394.47</v>
      </c>
    </row>
    <row r="25" spans="1:12" x14ac:dyDescent="0.25">
      <c r="A25" s="1" t="s">
        <v>38</v>
      </c>
      <c r="B25" s="5">
        <v>45658.958333333336</v>
      </c>
      <c r="C25" s="1" t="s">
        <v>11</v>
      </c>
      <c r="D25" s="1" t="s">
        <v>9</v>
      </c>
      <c r="E25" s="1">
        <v>6</v>
      </c>
      <c r="F25" s="1">
        <v>67.790000000000006</v>
      </c>
      <c r="G25" s="1">
        <v>19.45</v>
      </c>
      <c r="H25">
        <f t="shared" si="0"/>
        <v>406.74</v>
      </c>
    </row>
    <row r="26" spans="1:12" x14ac:dyDescent="0.25">
      <c r="A26" s="1" t="s">
        <v>39</v>
      </c>
      <c r="B26" s="5">
        <v>45659</v>
      </c>
      <c r="C26" s="1" t="s">
        <v>11</v>
      </c>
      <c r="D26" s="1" t="s">
        <v>9</v>
      </c>
      <c r="E26" s="1">
        <v>8</v>
      </c>
      <c r="F26" s="1">
        <v>58.31</v>
      </c>
      <c r="G26" s="1">
        <v>30.9</v>
      </c>
      <c r="H26">
        <f t="shared" si="0"/>
        <v>466.48</v>
      </c>
    </row>
    <row r="27" spans="1:12" x14ac:dyDescent="0.25">
      <c r="A27" s="1" t="s">
        <v>40</v>
      </c>
      <c r="B27" s="5">
        <v>45659.041666666664</v>
      </c>
      <c r="C27" s="1" t="s">
        <v>23</v>
      </c>
      <c r="D27" s="1" t="s">
        <v>19</v>
      </c>
      <c r="E27" s="1">
        <v>10</v>
      </c>
      <c r="F27" s="1">
        <v>344.62</v>
      </c>
      <c r="G27" s="1">
        <v>31.74</v>
      </c>
      <c r="H27">
        <f t="shared" si="0"/>
        <v>3446.2</v>
      </c>
    </row>
    <row r="28" spans="1:12" x14ac:dyDescent="0.25">
      <c r="A28" s="1" t="s">
        <v>41</v>
      </c>
      <c r="B28" s="5">
        <v>45659.083333333336</v>
      </c>
      <c r="C28" s="1" t="s">
        <v>23</v>
      </c>
      <c r="D28" s="1" t="s">
        <v>19</v>
      </c>
      <c r="E28" s="1">
        <v>3</v>
      </c>
      <c r="F28" s="1">
        <v>112.62</v>
      </c>
      <c r="G28" s="1">
        <v>19.18</v>
      </c>
      <c r="H28">
        <f t="shared" si="0"/>
        <v>337.86</v>
      </c>
    </row>
    <row r="29" spans="1:12" x14ac:dyDescent="0.25">
      <c r="A29" s="1" t="s">
        <v>42</v>
      </c>
      <c r="B29" s="5">
        <v>45659.125</v>
      </c>
      <c r="C29" s="1" t="s">
        <v>23</v>
      </c>
      <c r="D29" s="1" t="s">
        <v>9</v>
      </c>
      <c r="E29" s="1">
        <v>14</v>
      </c>
      <c r="F29" s="1">
        <v>39.69</v>
      </c>
      <c r="G29" s="1">
        <v>20.74</v>
      </c>
      <c r="H29">
        <f t="shared" si="0"/>
        <v>555.66</v>
      </c>
    </row>
    <row r="30" spans="1:12" x14ac:dyDescent="0.25">
      <c r="A30" s="1" t="s">
        <v>43</v>
      </c>
      <c r="B30" s="5">
        <v>45659.166666666664</v>
      </c>
      <c r="C30" s="1" t="s">
        <v>11</v>
      </c>
      <c r="D30" s="1" t="s">
        <v>37</v>
      </c>
      <c r="E30" s="1">
        <v>14</v>
      </c>
      <c r="F30" s="1">
        <v>362.02</v>
      </c>
      <c r="G30" s="1">
        <v>39.299999999999997</v>
      </c>
      <c r="H30">
        <f t="shared" si="0"/>
        <v>5068.28</v>
      </c>
    </row>
    <row r="31" spans="1:12" x14ac:dyDescent="0.25">
      <c r="A31" s="1" t="s">
        <v>44</v>
      </c>
      <c r="B31" s="5">
        <v>45659.208333333336</v>
      </c>
      <c r="C31" s="1" t="s">
        <v>11</v>
      </c>
      <c r="D31" s="1" t="s">
        <v>19</v>
      </c>
      <c r="E31" s="1">
        <v>10</v>
      </c>
      <c r="F31" s="1">
        <v>82.44</v>
      </c>
      <c r="G31" s="1">
        <v>31.22</v>
      </c>
      <c r="H31">
        <f t="shared" si="0"/>
        <v>824.4</v>
      </c>
    </row>
    <row r="32" spans="1:12" x14ac:dyDescent="0.25">
      <c r="A32" s="1" t="s">
        <v>45</v>
      </c>
      <c r="B32" s="5">
        <v>45659.25</v>
      </c>
      <c r="C32" s="1" t="s">
        <v>13</v>
      </c>
      <c r="D32" s="1" t="s">
        <v>9</v>
      </c>
      <c r="E32" s="1">
        <v>12</v>
      </c>
      <c r="F32" s="1">
        <v>287.13</v>
      </c>
      <c r="G32" s="1">
        <v>11.71</v>
      </c>
      <c r="H32">
        <f t="shared" si="0"/>
        <v>3445.56</v>
      </c>
    </row>
    <row r="33" spans="1:8" x14ac:dyDescent="0.25">
      <c r="A33" s="1" t="s">
        <v>46</v>
      </c>
      <c r="B33" s="5">
        <v>45659.291666666664</v>
      </c>
      <c r="C33" s="1" t="s">
        <v>13</v>
      </c>
      <c r="D33" s="1" t="s">
        <v>9</v>
      </c>
      <c r="E33" s="1">
        <v>6</v>
      </c>
      <c r="F33" s="1">
        <v>162.63999999999999</v>
      </c>
      <c r="G33" s="1">
        <v>42.69</v>
      </c>
      <c r="H33">
        <f t="shared" si="0"/>
        <v>975.83999999999992</v>
      </c>
    </row>
    <row r="34" spans="1:8" x14ac:dyDescent="0.25">
      <c r="A34" s="1" t="s">
        <v>47</v>
      </c>
      <c r="B34" s="5">
        <v>45659.333333333336</v>
      </c>
      <c r="C34" s="1" t="s">
        <v>11</v>
      </c>
      <c r="D34" s="1" t="s">
        <v>16</v>
      </c>
      <c r="E34" s="1">
        <v>12</v>
      </c>
      <c r="F34" s="1">
        <v>70.459999999999994</v>
      </c>
      <c r="G34" s="1">
        <v>44.74</v>
      </c>
      <c r="H34">
        <f t="shared" si="0"/>
        <v>845.52</v>
      </c>
    </row>
    <row r="35" spans="1:8" x14ac:dyDescent="0.25">
      <c r="A35" s="1" t="s">
        <v>48</v>
      </c>
      <c r="B35" s="5">
        <v>45659.375</v>
      </c>
      <c r="C35" s="1" t="s">
        <v>23</v>
      </c>
      <c r="D35" s="1" t="s">
        <v>37</v>
      </c>
      <c r="E35" s="1">
        <v>14</v>
      </c>
      <c r="F35" s="1">
        <v>195.59</v>
      </c>
      <c r="G35" s="1">
        <v>25.98</v>
      </c>
      <c r="H35">
        <f t="shared" si="0"/>
        <v>2738.26</v>
      </c>
    </row>
    <row r="36" spans="1:8" x14ac:dyDescent="0.25">
      <c r="A36" s="1" t="s">
        <v>49</v>
      </c>
      <c r="B36" s="5">
        <v>45659.416666666664</v>
      </c>
      <c r="C36" s="1" t="s">
        <v>23</v>
      </c>
      <c r="D36" s="1" t="s">
        <v>16</v>
      </c>
      <c r="E36" s="1">
        <v>2</v>
      </c>
      <c r="F36" s="1">
        <v>21.93</v>
      </c>
      <c r="G36" s="1">
        <v>14.4</v>
      </c>
      <c r="H36">
        <f t="shared" si="0"/>
        <v>43.86</v>
      </c>
    </row>
    <row r="37" spans="1:8" x14ac:dyDescent="0.25">
      <c r="A37" s="1" t="s">
        <v>50</v>
      </c>
      <c r="B37" s="5">
        <v>45659.458333333336</v>
      </c>
      <c r="C37" s="1" t="s">
        <v>13</v>
      </c>
      <c r="D37" s="1" t="s">
        <v>37</v>
      </c>
      <c r="E37" s="1">
        <v>9</v>
      </c>
      <c r="F37" s="1">
        <v>380.93</v>
      </c>
      <c r="G37" s="1">
        <v>47.64</v>
      </c>
      <c r="H37">
        <f t="shared" si="0"/>
        <v>3428.37</v>
      </c>
    </row>
    <row r="38" spans="1:8" x14ac:dyDescent="0.25">
      <c r="A38" s="1" t="s">
        <v>51</v>
      </c>
      <c r="B38" s="5">
        <v>45659.5</v>
      </c>
      <c r="C38" s="1" t="s">
        <v>11</v>
      </c>
      <c r="D38" s="1" t="s">
        <v>19</v>
      </c>
      <c r="E38" s="1">
        <v>10</v>
      </c>
      <c r="F38" s="1">
        <v>238.61</v>
      </c>
      <c r="G38" s="1">
        <v>44.7</v>
      </c>
      <c r="H38">
        <f t="shared" si="0"/>
        <v>2386.1000000000004</v>
      </c>
    </row>
    <row r="39" spans="1:8" x14ac:dyDescent="0.25">
      <c r="A39" s="1" t="s">
        <v>52</v>
      </c>
      <c r="B39" s="5">
        <v>45659.541666666664</v>
      </c>
      <c r="C39" s="1" t="s">
        <v>13</v>
      </c>
      <c r="D39" s="1" t="s">
        <v>37</v>
      </c>
      <c r="E39" s="1">
        <v>17</v>
      </c>
      <c r="F39" s="1">
        <v>75.97</v>
      </c>
      <c r="G39" s="1">
        <v>16</v>
      </c>
      <c r="H39">
        <f t="shared" si="0"/>
        <v>1291.49</v>
      </c>
    </row>
    <row r="40" spans="1:8" x14ac:dyDescent="0.25">
      <c r="A40" s="1" t="s">
        <v>53</v>
      </c>
      <c r="B40" s="5">
        <v>45659.583333333336</v>
      </c>
      <c r="C40" s="1" t="s">
        <v>13</v>
      </c>
      <c r="D40" s="1" t="s">
        <v>9</v>
      </c>
      <c r="E40" s="1">
        <v>17</v>
      </c>
      <c r="F40" s="1">
        <v>118.47</v>
      </c>
      <c r="G40" s="1">
        <v>9.3000000000000007</v>
      </c>
      <c r="H40">
        <f t="shared" si="0"/>
        <v>2013.99</v>
      </c>
    </row>
    <row r="41" spans="1:8" x14ac:dyDescent="0.25">
      <c r="A41" s="1" t="s">
        <v>54</v>
      </c>
      <c r="B41" s="5">
        <v>45659.625</v>
      </c>
      <c r="C41" s="1" t="s">
        <v>8</v>
      </c>
      <c r="D41" s="1" t="s">
        <v>9</v>
      </c>
      <c r="E41" s="1">
        <v>3</v>
      </c>
      <c r="F41" s="1">
        <v>210.15</v>
      </c>
      <c r="G41" s="1">
        <v>24.83</v>
      </c>
      <c r="H41">
        <f t="shared" si="0"/>
        <v>630.45000000000005</v>
      </c>
    </row>
    <row r="42" spans="1:8" x14ac:dyDescent="0.25">
      <c r="A42" s="1" t="s">
        <v>55</v>
      </c>
      <c r="B42" s="5">
        <v>45659.666666666664</v>
      </c>
      <c r="C42" s="1" t="s">
        <v>8</v>
      </c>
      <c r="D42" s="1" t="s">
        <v>37</v>
      </c>
      <c r="E42" s="1">
        <v>19</v>
      </c>
      <c r="F42" s="1">
        <v>97.56</v>
      </c>
      <c r="G42" s="1">
        <v>35.44</v>
      </c>
      <c r="H42">
        <f t="shared" si="0"/>
        <v>1853.64</v>
      </c>
    </row>
    <row r="43" spans="1:8" x14ac:dyDescent="0.25">
      <c r="A43" s="1" t="s">
        <v>56</v>
      </c>
      <c r="B43" s="5">
        <v>45659.708333333336</v>
      </c>
      <c r="C43" s="1" t="s">
        <v>8</v>
      </c>
      <c r="D43" s="1" t="s">
        <v>37</v>
      </c>
      <c r="E43" s="1">
        <v>1</v>
      </c>
      <c r="F43" s="1">
        <v>132.21</v>
      </c>
      <c r="G43" s="1">
        <v>12.89</v>
      </c>
      <c r="H43">
        <f t="shared" si="0"/>
        <v>132.21</v>
      </c>
    </row>
    <row r="44" spans="1:8" x14ac:dyDescent="0.25">
      <c r="A44" s="1" t="s">
        <v>57</v>
      </c>
      <c r="B44" s="5">
        <v>45659.75</v>
      </c>
      <c r="C44" s="1" t="s">
        <v>23</v>
      </c>
      <c r="D44" s="1" t="s">
        <v>37</v>
      </c>
      <c r="E44" s="1">
        <v>12</v>
      </c>
      <c r="F44" s="1">
        <v>247.69</v>
      </c>
      <c r="G44" s="1">
        <v>28.09</v>
      </c>
      <c r="H44">
        <f t="shared" si="0"/>
        <v>2972.2799999999997</v>
      </c>
    </row>
    <row r="45" spans="1:8" x14ac:dyDescent="0.25">
      <c r="A45" s="1" t="s">
        <v>58</v>
      </c>
      <c r="B45" s="5">
        <v>45659.791666666664</v>
      </c>
      <c r="C45" s="1" t="s">
        <v>11</v>
      </c>
      <c r="D45" s="1" t="s">
        <v>16</v>
      </c>
      <c r="E45" s="1">
        <v>7</v>
      </c>
      <c r="F45" s="1">
        <v>377.27</v>
      </c>
      <c r="G45" s="1">
        <v>24.14</v>
      </c>
      <c r="H45">
        <f t="shared" si="0"/>
        <v>2640.89</v>
      </c>
    </row>
    <row r="46" spans="1:8" x14ac:dyDescent="0.25">
      <c r="A46" s="1" t="s">
        <v>59</v>
      </c>
      <c r="B46" s="5">
        <v>45659.833333333336</v>
      </c>
      <c r="C46" s="1" t="s">
        <v>11</v>
      </c>
      <c r="D46" s="1" t="s">
        <v>37</v>
      </c>
      <c r="E46" s="1">
        <v>4</v>
      </c>
      <c r="F46" s="1">
        <v>190.1</v>
      </c>
      <c r="G46" s="1">
        <v>45.07</v>
      </c>
      <c r="H46">
        <f t="shared" si="0"/>
        <v>760.4</v>
      </c>
    </row>
    <row r="47" spans="1:8" x14ac:dyDescent="0.25">
      <c r="A47" s="1" t="s">
        <v>60</v>
      </c>
      <c r="B47" s="5">
        <v>45659.875</v>
      </c>
      <c r="C47" s="1" t="s">
        <v>11</v>
      </c>
      <c r="D47" s="1" t="s">
        <v>19</v>
      </c>
      <c r="E47" s="1">
        <v>10</v>
      </c>
      <c r="F47" s="1">
        <v>327.02999999999997</v>
      </c>
      <c r="G47" s="1">
        <v>24.33</v>
      </c>
      <c r="H47">
        <f t="shared" si="0"/>
        <v>3270.2999999999997</v>
      </c>
    </row>
    <row r="48" spans="1:8" x14ac:dyDescent="0.25">
      <c r="A48" s="1" t="s">
        <v>61</v>
      </c>
      <c r="B48" s="5">
        <v>45659.916666666664</v>
      </c>
      <c r="C48" s="1" t="s">
        <v>11</v>
      </c>
      <c r="D48" s="1" t="s">
        <v>16</v>
      </c>
      <c r="E48" s="1">
        <v>13</v>
      </c>
      <c r="F48" s="1">
        <v>396.42</v>
      </c>
      <c r="G48" s="1">
        <v>29.02</v>
      </c>
      <c r="H48">
        <f t="shared" si="0"/>
        <v>5153.46</v>
      </c>
    </row>
    <row r="49" spans="1:8" x14ac:dyDescent="0.25">
      <c r="A49" s="1" t="s">
        <v>62</v>
      </c>
      <c r="B49" s="5">
        <v>45659.958333333336</v>
      </c>
      <c r="C49" s="1" t="s">
        <v>8</v>
      </c>
      <c r="D49" s="1" t="s">
        <v>16</v>
      </c>
      <c r="E49" s="1">
        <v>2</v>
      </c>
      <c r="F49" s="1">
        <v>109.48</v>
      </c>
      <c r="G49" s="1">
        <v>47.99</v>
      </c>
      <c r="H49">
        <f t="shared" si="0"/>
        <v>218.96</v>
      </c>
    </row>
    <row r="50" spans="1:8" x14ac:dyDescent="0.25">
      <c r="A50" s="1" t="s">
        <v>63</v>
      </c>
      <c r="B50" s="5">
        <v>45660</v>
      </c>
      <c r="C50" s="1" t="s">
        <v>23</v>
      </c>
      <c r="D50" s="1" t="s">
        <v>37</v>
      </c>
      <c r="E50" s="1">
        <v>10</v>
      </c>
      <c r="F50" s="1">
        <v>366.22</v>
      </c>
      <c r="G50" s="1">
        <v>18.489999999999998</v>
      </c>
      <c r="H50">
        <f t="shared" si="0"/>
        <v>3662.2000000000003</v>
      </c>
    </row>
    <row r="51" spans="1:8" x14ac:dyDescent="0.25">
      <c r="A51" s="1" t="s">
        <v>64</v>
      </c>
      <c r="B51" s="5">
        <v>45660.041666666664</v>
      </c>
      <c r="C51" s="1" t="s">
        <v>23</v>
      </c>
      <c r="D51" s="1" t="s">
        <v>19</v>
      </c>
      <c r="E51" s="1">
        <v>4</v>
      </c>
      <c r="F51" s="1">
        <v>344.59</v>
      </c>
      <c r="G51" s="1">
        <v>18</v>
      </c>
      <c r="H51">
        <f t="shared" si="0"/>
        <v>1378.36</v>
      </c>
    </row>
    <row r="52" spans="1:8" x14ac:dyDescent="0.25">
      <c r="A52" s="1" t="s">
        <v>65</v>
      </c>
      <c r="B52" s="5">
        <v>45660.083333333336</v>
      </c>
      <c r="C52" s="1" t="s">
        <v>8</v>
      </c>
      <c r="D52" s="1" t="s">
        <v>16</v>
      </c>
      <c r="E52" s="1">
        <v>18</v>
      </c>
      <c r="F52" s="1">
        <v>170.59</v>
      </c>
      <c r="G52" s="1">
        <v>40.98</v>
      </c>
      <c r="H52">
        <f t="shared" si="0"/>
        <v>3070.62</v>
      </c>
    </row>
    <row r="53" spans="1:8" x14ac:dyDescent="0.25">
      <c r="A53" s="1" t="s">
        <v>66</v>
      </c>
      <c r="B53" s="5">
        <v>45660.125</v>
      </c>
      <c r="C53" s="1" t="s">
        <v>23</v>
      </c>
      <c r="D53" s="1" t="s">
        <v>9</v>
      </c>
      <c r="E53" s="1">
        <v>5</v>
      </c>
      <c r="F53" s="1">
        <v>445.45</v>
      </c>
      <c r="G53" s="1">
        <v>17.489999999999998</v>
      </c>
      <c r="H53">
        <f t="shared" si="0"/>
        <v>2227.25</v>
      </c>
    </row>
    <row r="54" spans="1:8" x14ac:dyDescent="0.25">
      <c r="A54" s="1" t="s">
        <v>67</v>
      </c>
      <c r="B54" s="5">
        <v>45660.166666666664</v>
      </c>
      <c r="C54" s="1" t="s">
        <v>8</v>
      </c>
      <c r="D54" s="1" t="s">
        <v>16</v>
      </c>
      <c r="E54" s="1">
        <v>19</v>
      </c>
      <c r="F54" s="1">
        <v>129.59</v>
      </c>
      <c r="G54" s="1">
        <v>42.43</v>
      </c>
      <c r="H54">
        <f t="shared" si="0"/>
        <v>2462.21</v>
      </c>
    </row>
    <row r="55" spans="1:8" x14ac:dyDescent="0.25">
      <c r="A55" s="1" t="s">
        <v>68</v>
      </c>
      <c r="B55" s="5">
        <v>45660.208333333336</v>
      </c>
      <c r="C55" s="1" t="s">
        <v>11</v>
      </c>
      <c r="D55" s="1" t="s">
        <v>37</v>
      </c>
      <c r="E55" s="1">
        <v>2</v>
      </c>
      <c r="F55" s="1">
        <v>126.21</v>
      </c>
      <c r="G55" s="1">
        <v>9.3000000000000007</v>
      </c>
      <c r="H55">
        <f t="shared" si="0"/>
        <v>252.42</v>
      </c>
    </row>
    <row r="56" spans="1:8" x14ac:dyDescent="0.25">
      <c r="A56" s="1" t="s">
        <v>69</v>
      </c>
      <c r="B56" s="5">
        <v>45660.25</v>
      </c>
      <c r="C56" s="1" t="s">
        <v>8</v>
      </c>
      <c r="D56" s="1" t="s">
        <v>19</v>
      </c>
      <c r="E56" s="1">
        <v>12</v>
      </c>
      <c r="F56" s="1">
        <v>351.05</v>
      </c>
      <c r="G56" s="1">
        <v>10.01</v>
      </c>
      <c r="H56">
        <f t="shared" si="0"/>
        <v>4212.6000000000004</v>
      </c>
    </row>
    <row r="57" spans="1:8" x14ac:dyDescent="0.25">
      <c r="A57" s="1" t="s">
        <v>70</v>
      </c>
      <c r="B57" s="5">
        <v>45660.291666666664</v>
      </c>
      <c r="C57" s="1" t="s">
        <v>11</v>
      </c>
      <c r="D57" s="1" t="s">
        <v>37</v>
      </c>
      <c r="E57" s="1">
        <v>17</v>
      </c>
      <c r="F57" s="1">
        <v>204.36</v>
      </c>
      <c r="G57" s="1">
        <v>45.56</v>
      </c>
      <c r="H57">
        <f t="shared" si="0"/>
        <v>3474.1200000000003</v>
      </c>
    </row>
    <row r="58" spans="1:8" x14ac:dyDescent="0.25">
      <c r="A58" s="1" t="s">
        <v>71</v>
      </c>
      <c r="B58" s="5">
        <v>45660.333333333336</v>
      </c>
      <c r="C58" s="1" t="s">
        <v>11</v>
      </c>
      <c r="D58" s="1" t="s">
        <v>9</v>
      </c>
      <c r="E58" s="1">
        <v>10</v>
      </c>
      <c r="F58" s="1">
        <v>159.22999999999999</v>
      </c>
      <c r="G58" s="1">
        <v>29.34</v>
      </c>
      <c r="H58">
        <f t="shared" si="0"/>
        <v>1592.3</v>
      </c>
    </row>
    <row r="59" spans="1:8" x14ac:dyDescent="0.25">
      <c r="A59" s="1" t="s">
        <v>72</v>
      </c>
      <c r="B59" s="5">
        <v>45660.375</v>
      </c>
      <c r="C59" s="1" t="s">
        <v>13</v>
      </c>
      <c r="D59" s="1" t="s">
        <v>9</v>
      </c>
      <c r="E59" s="1">
        <v>2</v>
      </c>
      <c r="F59" s="1">
        <v>93.13</v>
      </c>
      <c r="G59" s="1">
        <v>37.35</v>
      </c>
      <c r="H59">
        <f t="shared" si="0"/>
        <v>186.26</v>
      </c>
    </row>
    <row r="60" spans="1:8" x14ac:dyDescent="0.25">
      <c r="A60" s="1" t="s">
        <v>73</v>
      </c>
      <c r="B60" s="5">
        <v>45660.416666666664</v>
      </c>
      <c r="C60" s="1" t="s">
        <v>8</v>
      </c>
      <c r="D60" s="1" t="s">
        <v>9</v>
      </c>
      <c r="E60" s="1">
        <v>6</v>
      </c>
      <c r="F60" s="1">
        <v>348.04</v>
      </c>
      <c r="G60" s="1">
        <v>15.14</v>
      </c>
      <c r="H60">
        <f t="shared" si="0"/>
        <v>2088.2400000000002</v>
      </c>
    </row>
    <row r="61" spans="1:8" x14ac:dyDescent="0.25">
      <c r="A61" s="1" t="s">
        <v>74</v>
      </c>
      <c r="B61" s="5">
        <v>45660.458333333336</v>
      </c>
      <c r="C61" s="1" t="s">
        <v>13</v>
      </c>
      <c r="D61" s="1" t="s">
        <v>37</v>
      </c>
      <c r="E61" s="1">
        <v>8</v>
      </c>
      <c r="F61" s="1">
        <v>357.16</v>
      </c>
      <c r="G61" s="1">
        <v>12.48</v>
      </c>
      <c r="H61">
        <f t="shared" si="0"/>
        <v>2857.28</v>
      </c>
    </row>
    <row r="62" spans="1:8" x14ac:dyDescent="0.25">
      <c r="A62" s="1" t="s">
        <v>75</v>
      </c>
      <c r="B62" s="5">
        <v>45660.5</v>
      </c>
      <c r="C62" s="1" t="s">
        <v>8</v>
      </c>
      <c r="D62" s="1" t="s">
        <v>16</v>
      </c>
      <c r="E62" s="1">
        <v>19</v>
      </c>
      <c r="F62" s="1">
        <v>261.67</v>
      </c>
      <c r="G62" s="1">
        <v>42.57</v>
      </c>
      <c r="H62">
        <f t="shared" si="0"/>
        <v>4971.7300000000005</v>
      </c>
    </row>
    <row r="63" spans="1:8" x14ac:dyDescent="0.25">
      <c r="A63" s="1" t="s">
        <v>76</v>
      </c>
      <c r="B63" s="5">
        <v>45660.541666666664</v>
      </c>
      <c r="C63" s="1" t="s">
        <v>8</v>
      </c>
      <c r="D63" s="1" t="s">
        <v>37</v>
      </c>
      <c r="E63" s="1">
        <v>11</v>
      </c>
      <c r="F63" s="1">
        <v>431.45</v>
      </c>
      <c r="G63" s="1">
        <v>21.14</v>
      </c>
      <c r="H63">
        <f t="shared" si="0"/>
        <v>4745.95</v>
      </c>
    </row>
    <row r="64" spans="1:8" x14ac:dyDescent="0.25">
      <c r="A64" s="1" t="s">
        <v>77</v>
      </c>
      <c r="B64" s="5">
        <v>45660.583333333336</v>
      </c>
      <c r="C64" s="1" t="s">
        <v>13</v>
      </c>
      <c r="D64" s="1" t="s">
        <v>19</v>
      </c>
      <c r="E64" s="1">
        <v>12</v>
      </c>
      <c r="F64" s="1">
        <v>153.74</v>
      </c>
      <c r="G64" s="1">
        <v>25.48</v>
      </c>
      <c r="H64">
        <f t="shared" si="0"/>
        <v>1844.88</v>
      </c>
    </row>
    <row r="65" spans="1:8" x14ac:dyDescent="0.25">
      <c r="A65" s="1" t="s">
        <v>78</v>
      </c>
      <c r="B65" s="5">
        <v>45660.625</v>
      </c>
      <c r="C65" s="1" t="s">
        <v>13</v>
      </c>
      <c r="D65" s="1" t="s">
        <v>16</v>
      </c>
      <c r="E65" s="1">
        <v>9</v>
      </c>
      <c r="F65" s="1">
        <v>110.92</v>
      </c>
      <c r="G65" s="1">
        <v>6.26</v>
      </c>
      <c r="H65">
        <f t="shared" si="0"/>
        <v>998.28</v>
      </c>
    </row>
    <row r="66" spans="1:8" x14ac:dyDescent="0.25">
      <c r="A66" s="1" t="s">
        <v>79</v>
      </c>
      <c r="B66" s="5">
        <v>45660.666666666664</v>
      </c>
      <c r="C66" s="1" t="s">
        <v>8</v>
      </c>
      <c r="D66" s="1" t="s">
        <v>9</v>
      </c>
      <c r="E66" s="1">
        <v>2</v>
      </c>
      <c r="F66" s="1">
        <v>309.86</v>
      </c>
      <c r="G66" s="1">
        <v>22.36</v>
      </c>
      <c r="H66">
        <f t="shared" ref="H66:H129" si="1">E66*F66</f>
        <v>619.72</v>
      </c>
    </row>
    <row r="67" spans="1:8" x14ac:dyDescent="0.25">
      <c r="A67" s="1" t="s">
        <v>80</v>
      </c>
      <c r="B67" s="5">
        <v>45660.708333333336</v>
      </c>
      <c r="C67" s="1" t="s">
        <v>23</v>
      </c>
      <c r="D67" s="1" t="s">
        <v>37</v>
      </c>
      <c r="E67" s="1">
        <v>8</v>
      </c>
      <c r="F67" s="1">
        <v>345.03</v>
      </c>
      <c r="G67" s="1">
        <v>39.67</v>
      </c>
      <c r="H67">
        <f t="shared" si="1"/>
        <v>2760.24</v>
      </c>
    </row>
    <row r="68" spans="1:8" x14ac:dyDescent="0.25">
      <c r="A68" s="1" t="s">
        <v>81</v>
      </c>
      <c r="B68" s="5">
        <v>45660.75</v>
      </c>
      <c r="C68" s="1" t="s">
        <v>11</v>
      </c>
      <c r="D68" s="1" t="s">
        <v>9</v>
      </c>
      <c r="E68" s="1">
        <v>11</v>
      </c>
      <c r="F68" s="1">
        <v>113.22</v>
      </c>
      <c r="G68" s="1">
        <v>41.96</v>
      </c>
      <c r="H68">
        <f t="shared" si="1"/>
        <v>1245.42</v>
      </c>
    </row>
    <row r="69" spans="1:8" x14ac:dyDescent="0.25">
      <c r="A69" s="1" t="s">
        <v>82</v>
      </c>
      <c r="B69" s="5">
        <v>45660.791666666664</v>
      </c>
      <c r="C69" s="1" t="s">
        <v>13</v>
      </c>
      <c r="D69" s="1" t="s">
        <v>9</v>
      </c>
      <c r="E69" s="1">
        <v>4</v>
      </c>
      <c r="F69" s="1">
        <v>48.79</v>
      </c>
      <c r="G69" s="1">
        <v>36.44</v>
      </c>
      <c r="H69">
        <f t="shared" si="1"/>
        <v>195.16</v>
      </c>
    </row>
    <row r="70" spans="1:8" x14ac:dyDescent="0.25">
      <c r="A70" s="1" t="s">
        <v>83</v>
      </c>
      <c r="B70" s="5">
        <v>45660.833333333336</v>
      </c>
      <c r="C70" s="1" t="s">
        <v>11</v>
      </c>
      <c r="D70" s="1" t="s">
        <v>19</v>
      </c>
      <c r="E70" s="1">
        <v>10</v>
      </c>
      <c r="F70" s="1">
        <v>367.67</v>
      </c>
      <c r="G70" s="1">
        <v>36.15</v>
      </c>
      <c r="H70">
        <f t="shared" si="1"/>
        <v>3676.7000000000003</v>
      </c>
    </row>
    <row r="71" spans="1:8" x14ac:dyDescent="0.25">
      <c r="A71" s="1" t="s">
        <v>84</v>
      </c>
      <c r="B71" s="5">
        <v>45660.875</v>
      </c>
      <c r="C71" s="1" t="s">
        <v>23</v>
      </c>
      <c r="D71" s="1" t="s">
        <v>16</v>
      </c>
      <c r="E71" s="1">
        <v>16</v>
      </c>
      <c r="F71" s="1">
        <v>439.79</v>
      </c>
      <c r="G71" s="1">
        <v>27.78</v>
      </c>
      <c r="H71">
        <f t="shared" si="1"/>
        <v>7036.64</v>
      </c>
    </row>
    <row r="72" spans="1:8" x14ac:dyDescent="0.25">
      <c r="A72" s="1" t="s">
        <v>85</v>
      </c>
      <c r="B72" s="5">
        <v>45660.916666666664</v>
      </c>
      <c r="C72" s="1" t="s">
        <v>23</v>
      </c>
      <c r="D72" s="1" t="s">
        <v>19</v>
      </c>
      <c r="E72" s="1">
        <v>8</v>
      </c>
      <c r="F72" s="1">
        <v>295.61</v>
      </c>
      <c r="G72" s="1">
        <v>29.22</v>
      </c>
      <c r="H72">
        <f t="shared" si="1"/>
        <v>2364.88</v>
      </c>
    </row>
    <row r="73" spans="1:8" x14ac:dyDescent="0.25">
      <c r="A73" s="1" t="s">
        <v>86</v>
      </c>
      <c r="B73" s="5">
        <v>45660.958333333336</v>
      </c>
      <c r="C73" s="1" t="s">
        <v>23</v>
      </c>
      <c r="D73" s="1" t="s">
        <v>19</v>
      </c>
      <c r="E73" s="1">
        <v>4</v>
      </c>
      <c r="F73" s="1">
        <v>136.22999999999999</v>
      </c>
      <c r="G73" s="1">
        <v>38.42</v>
      </c>
      <c r="H73">
        <f t="shared" si="1"/>
        <v>544.91999999999996</v>
      </c>
    </row>
    <row r="74" spans="1:8" x14ac:dyDescent="0.25">
      <c r="A74" s="1" t="s">
        <v>87</v>
      </c>
      <c r="B74" s="5">
        <v>45661</v>
      </c>
      <c r="C74" s="1" t="s">
        <v>13</v>
      </c>
      <c r="D74" s="1" t="s">
        <v>19</v>
      </c>
      <c r="E74" s="1">
        <v>10</v>
      </c>
      <c r="F74" s="1">
        <v>448.55</v>
      </c>
      <c r="G74" s="1">
        <v>16.13</v>
      </c>
      <c r="H74">
        <f t="shared" si="1"/>
        <v>4485.5</v>
      </c>
    </row>
    <row r="75" spans="1:8" x14ac:dyDescent="0.25">
      <c r="A75" s="1" t="s">
        <v>88</v>
      </c>
      <c r="B75" s="5">
        <v>45661.041666666664</v>
      </c>
      <c r="C75" s="1" t="s">
        <v>23</v>
      </c>
      <c r="D75" s="1" t="s">
        <v>9</v>
      </c>
      <c r="E75" s="1">
        <v>12</v>
      </c>
      <c r="F75" s="1">
        <v>403.62</v>
      </c>
      <c r="G75" s="1">
        <v>15.42</v>
      </c>
      <c r="H75">
        <f t="shared" si="1"/>
        <v>4843.4400000000005</v>
      </c>
    </row>
    <row r="76" spans="1:8" x14ac:dyDescent="0.25">
      <c r="A76" s="1" t="s">
        <v>89</v>
      </c>
      <c r="B76" s="5">
        <v>45661.083333333336</v>
      </c>
      <c r="C76" s="1" t="s">
        <v>13</v>
      </c>
      <c r="D76" s="1" t="s">
        <v>19</v>
      </c>
      <c r="E76" s="1">
        <v>14</v>
      </c>
      <c r="F76" s="1">
        <v>238.56</v>
      </c>
      <c r="G76" s="1">
        <v>47.75</v>
      </c>
      <c r="H76">
        <f t="shared" si="1"/>
        <v>3339.84</v>
      </c>
    </row>
    <row r="77" spans="1:8" x14ac:dyDescent="0.25">
      <c r="A77" s="1" t="s">
        <v>90</v>
      </c>
      <c r="B77" s="5">
        <v>45661.125</v>
      </c>
      <c r="C77" s="1" t="s">
        <v>23</v>
      </c>
      <c r="D77" s="1" t="s">
        <v>19</v>
      </c>
      <c r="E77" s="1">
        <v>16</v>
      </c>
      <c r="F77" s="1">
        <v>374.1</v>
      </c>
      <c r="G77" s="1">
        <v>6.25</v>
      </c>
      <c r="H77">
        <f t="shared" si="1"/>
        <v>5985.6</v>
      </c>
    </row>
    <row r="78" spans="1:8" x14ac:dyDescent="0.25">
      <c r="A78" s="1" t="s">
        <v>91</v>
      </c>
      <c r="B78" s="5">
        <v>45661.166666666664</v>
      </c>
      <c r="C78" s="1" t="s">
        <v>11</v>
      </c>
      <c r="D78" s="1" t="s">
        <v>16</v>
      </c>
      <c r="E78" s="1">
        <v>18</v>
      </c>
      <c r="F78" s="1">
        <v>369.97</v>
      </c>
      <c r="G78" s="1">
        <v>11.28</v>
      </c>
      <c r="H78">
        <f t="shared" si="1"/>
        <v>6659.4600000000009</v>
      </c>
    </row>
    <row r="79" spans="1:8" x14ac:dyDescent="0.25">
      <c r="A79" s="1" t="s">
        <v>92</v>
      </c>
      <c r="B79" s="5">
        <v>45661.208333333336</v>
      </c>
      <c r="C79" s="1" t="s">
        <v>11</v>
      </c>
      <c r="D79" s="1" t="s">
        <v>16</v>
      </c>
      <c r="E79" s="1">
        <v>12</v>
      </c>
      <c r="F79" s="1">
        <v>421.67</v>
      </c>
      <c r="G79" s="1">
        <v>30.66</v>
      </c>
      <c r="H79">
        <f t="shared" si="1"/>
        <v>5060.04</v>
      </c>
    </row>
    <row r="80" spans="1:8" x14ac:dyDescent="0.25">
      <c r="A80" s="1" t="s">
        <v>93</v>
      </c>
      <c r="B80" s="5">
        <v>45661.25</v>
      </c>
      <c r="C80" s="1" t="s">
        <v>8</v>
      </c>
      <c r="D80" s="1" t="s">
        <v>19</v>
      </c>
      <c r="E80" s="1">
        <v>18</v>
      </c>
      <c r="F80" s="1">
        <v>380.88</v>
      </c>
      <c r="G80" s="1">
        <v>38.200000000000003</v>
      </c>
      <c r="H80">
        <f t="shared" si="1"/>
        <v>6855.84</v>
      </c>
    </row>
    <row r="81" spans="1:8" x14ac:dyDescent="0.25">
      <c r="A81" s="1" t="s">
        <v>94</v>
      </c>
      <c r="B81" s="5">
        <v>45661.291666666664</v>
      </c>
      <c r="C81" s="1" t="s">
        <v>11</v>
      </c>
      <c r="D81" s="1" t="s">
        <v>16</v>
      </c>
      <c r="E81" s="1">
        <v>7</v>
      </c>
      <c r="F81" s="1">
        <v>295.18</v>
      </c>
      <c r="G81" s="1">
        <v>29.21</v>
      </c>
      <c r="H81">
        <f t="shared" si="1"/>
        <v>2066.2600000000002</v>
      </c>
    </row>
    <row r="82" spans="1:8" x14ac:dyDescent="0.25">
      <c r="A82" s="1" t="s">
        <v>95</v>
      </c>
      <c r="B82" s="5">
        <v>45661.333333333336</v>
      </c>
      <c r="C82" s="1" t="s">
        <v>8</v>
      </c>
      <c r="D82" s="1" t="s">
        <v>16</v>
      </c>
      <c r="E82" s="1">
        <v>7</v>
      </c>
      <c r="F82" s="1">
        <v>280.24</v>
      </c>
      <c r="G82" s="1">
        <v>20.98</v>
      </c>
      <c r="H82">
        <f t="shared" si="1"/>
        <v>1961.68</v>
      </c>
    </row>
    <row r="83" spans="1:8" x14ac:dyDescent="0.25">
      <c r="A83" s="1" t="s">
        <v>96</v>
      </c>
      <c r="B83" s="5">
        <v>45661.375</v>
      </c>
      <c r="C83" s="1" t="s">
        <v>11</v>
      </c>
      <c r="D83" s="1" t="s">
        <v>19</v>
      </c>
      <c r="E83" s="1">
        <v>9</v>
      </c>
      <c r="F83" s="1">
        <v>218.57</v>
      </c>
      <c r="G83" s="1">
        <v>49.01</v>
      </c>
      <c r="H83">
        <f t="shared" si="1"/>
        <v>1967.1299999999999</v>
      </c>
    </row>
    <row r="84" spans="1:8" x14ac:dyDescent="0.25">
      <c r="A84" s="1" t="s">
        <v>97</v>
      </c>
      <c r="B84" s="5">
        <v>45661.416666666664</v>
      </c>
      <c r="C84" s="1" t="s">
        <v>13</v>
      </c>
      <c r="D84" s="1" t="s">
        <v>9</v>
      </c>
      <c r="E84" s="1">
        <v>1</v>
      </c>
      <c r="F84" s="1">
        <v>287.70999999999998</v>
      </c>
      <c r="G84" s="1">
        <v>36.67</v>
      </c>
      <c r="H84">
        <f t="shared" si="1"/>
        <v>287.70999999999998</v>
      </c>
    </row>
    <row r="85" spans="1:8" x14ac:dyDescent="0.25">
      <c r="A85" s="1" t="s">
        <v>98</v>
      </c>
      <c r="B85" s="5">
        <v>45661.458333333336</v>
      </c>
      <c r="C85" s="1" t="s">
        <v>11</v>
      </c>
      <c r="D85" s="1" t="s">
        <v>19</v>
      </c>
      <c r="E85" s="1">
        <v>6</v>
      </c>
      <c r="F85" s="1">
        <v>361.02</v>
      </c>
      <c r="G85" s="1">
        <v>42.41</v>
      </c>
      <c r="H85">
        <f t="shared" si="1"/>
        <v>2166.12</v>
      </c>
    </row>
    <row r="86" spans="1:8" x14ac:dyDescent="0.25">
      <c r="A86" s="1" t="s">
        <v>99</v>
      </c>
      <c r="B86" s="5">
        <v>45661.5</v>
      </c>
      <c r="C86" s="1" t="s">
        <v>8</v>
      </c>
      <c r="D86" s="1" t="s">
        <v>16</v>
      </c>
      <c r="E86" s="1">
        <v>6</v>
      </c>
      <c r="F86" s="1">
        <v>436.55</v>
      </c>
      <c r="G86" s="1">
        <v>6.81</v>
      </c>
      <c r="H86">
        <f t="shared" si="1"/>
        <v>2619.3000000000002</v>
      </c>
    </row>
    <row r="87" spans="1:8" x14ac:dyDescent="0.25">
      <c r="A87" s="1" t="s">
        <v>100</v>
      </c>
      <c r="B87" s="5">
        <v>45661.541666666664</v>
      </c>
      <c r="C87" s="1" t="s">
        <v>8</v>
      </c>
      <c r="D87" s="1" t="s">
        <v>9</v>
      </c>
      <c r="E87" s="1">
        <v>12</v>
      </c>
      <c r="F87" s="1">
        <v>218.54</v>
      </c>
      <c r="G87" s="1">
        <v>15.62</v>
      </c>
      <c r="H87">
        <f t="shared" si="1"/>
        <v>2622.48</v>
      </c>
    </row>
    <row r="88" spans="1:8" x14ac:dyDescent="0.25">
      <c r="A88" s="1" t="s">
        <v>101</v>
      </c>
      <c r="B88" s="5">
        <v>45661.583333333336</v>
      </c>
      <c r="C88" s="1" t="s">
        <v>23</v>
      </c>
      <c r="D88" s="1" t="s">
        <v>37</v>
      </c>
      <c r="E88" s="1">
        <v>12</v>
      </c>
      <c r="F88" s="1">
        <v>264.75</v>
      </c>
      <c r="G88" s="1">
        <v>21.84</v>
      </c>
      <c r="H88">
        <f t="shared" si="1"/>
        <v>3177</v>
      </c>
    </row>
    <row r="89" spans="1:8" x14ac:dyDescent="0.25">
      <c r="A89" s="1" t="s">
        <v>102</v>
      </c>
      <c r="B89" s="5">
        <v>45661.625</v>
      </c>
      <c r="C89" s="1" t="s">
        <v>13</v>
      </c>
      <c r="D89" s="1" t="s">
        <v>9</v>
      </c>
      <c r="E89" s="1">
        <v>10</v>
      </c>
      <c r="F89" s="1">
        <v>208.77</v>
      </c>
      <c r="G89" s="1">
        <v>13.22</v>
      </c>
      <c r="H89">
        <f t="shared" si="1"/>
        <v>2087.7000000000003</v>
      </c>
    </row>
    <row r="90" spans="1:8" x14ac:dyDescent="0.25">
      <c r="A90" s="1" t="s">
        <v>103</v>
      </c>
      <c r="B90" s="5">
        <v>45661.666666666664</v>
      </c>
      <c r="C90" s="1" t="s">
        <v>11</v>
      </c>
      <c r="D90" s="1" t="s">
        <v>16</v>
      </c>
      <c r="E90" s="1">
        <v>6</v>
      </c>
      <c r="F90" s="1">
        <v>305.95999999999998</v>
      </c>
      <c r="G90" s="1">
        <v>8.2799999999999994</v>
      </c>
      <c r="H90">
        <f t="shared" si="1"/>
        <v>1835.7599999999998</v>
      </c>
    </row>
    <row r="91" spans="1:8" x14ac:dyDescent="0.25">
      <c r="A91" s="1" t="s">
        <v>104</v>
      </c>
      <c r="B91" s="5">
        <v>45661.708333333336</v>
      </c>
      <c r="C91" s="1" t="s">
        <v>23</v>
      </c>
      <c r="D91" s="1" t="s">
        <v>9</v>
      </c>
      <c r="E91" s="1">
        <v>17</v>
      </c>
      <c r="F91" s="1">
        <v>289.2</v>
      </c>
      <c r="G91" s="1">
        <v>15.13</v>
      </c>
      <c r="H91">
        <f t="shared" si="1"/>
        <v>4916.3999999999996</v>
      </c>
    </row>
    <row r="92" spans="1:8" x14ac:dyDescent="0.25">
      <c r="A92" s="1" t="s">
        <v>105</v>
      </c>
      <c r="B92" s="5">
        <v>45661.75</v>
      </c>
      <c r="C92" s="1" t="s">
        <v>11</v>
      </c>
      <c r="D92" s="1" t="s">
        <v>19</v>
      </c>
      <c r="E92" s="1">
        <v>19</v>
      </c>
      <c r="F92" s="1">
        <v>23.25</v>
      </c>
      <c r="G92" s="1">
        <v>29.01</v>
      </c>
      <c r="H92">
        <f t="shared" si="1"/>
        <v>441.75</v>
      </c>
    </row>
    <row r="93" spans="1:8" x14ac:dyDescent="0.25">
      <c r="A93" s="1" t="s">
        <v>106</v>
      </c>
      <c r="B93" s="5">
        <v>45661.791666666664</v>
      </c>
      <c r="C93" s="1" t="s">
        <v>11</v>
      </c>
      <c r="D93" s="1" t="s">
        <v>37</v>
      </c>
      <c r="E93" s="1">
        <v>18</v>
      </c>
      <c r="F93" s="1">
        <v>250.63</v>
      </c>
      <c r="G93" s="1">
        <v>36.31</v>
      </c>
      <c r="H93">
        <f t="shared" si="1"/>
        <v>4511.34</v>
      </c>
    </row>
    <row r="94" spans="1:8" x14ac:dyDescent="0.25">
      <c r="A94" s="1" t="s">
        <v>107</v>
      </c>
      <c r="B94" s="5">
        <v>45661.833333333336</v>
      </c>
      <c r="C94" s="1" t="s">
        <v>23</v>
      </c>
      <c r="D94" s="1" t="s">
        <v>37</v>
      </c>
      <c r="E94" s="1">
        <v>6</v>
      </c>
      <c r="F94" s="1">
        <v>53.95</v>
      </c>
      <c r="G94" s="1">
        <v>39.83</v>
      </c>
      <c r="H94">
        <f t="shared" si="1"/>
        <v>323.70000000000005</v>
      </c>
    </row>
    <row r="95" spans="1:8" x14ac:dyDescent="0.25">
      <c r="A95" s="1" t="s">
        <v>108</v>
      </c>
      <c r="B95" s="5">
        <v>45661.875</v>
      </c>
      <c r="C95" s="1" t="s">
        <v>23</v>
      </c>
      <c r="D95" s="1" t="s">
        <v>37</v>
      </c>
      <c r="E95" s="1">
        <v>19</v>
      </c>
      <c r="F95" s="1">
        <v>26.96</v>
      </c>
      <c r="G95" s="1">
        <v>6.93</v>
      </c>
      <c r="H95">
        <f t="shared" si="1"/>
        <v>512.24</v>
      </c>
    </row>
    <row r="96" spans="1:8" x14ac:dyDescent="0.25">
      <c r="A96" s="1" t="s">
        <v>109</v>
      </c>
      <c r="B96" s="5">
        <v>45661.916666666664</v>
      </c>
      <c r="C96" s="1" t="s">
        <v>23</v>
      </c>
      <c r="D96" s="1" t="s">
        <v>16</v>
      </c>
      <c r="E96" s="1">
        <v>10</v>
      </c>
      <c r="F96" s="1">
        <v>359.28</v>
      </c>
      <c r="G96" s="1">
        <v>24.26</v>
      </c>
      <c r="H96">
        <f t="shared" si="1"/>
        <v>3592.7999999999997</v>
      </c>
    </row>
    <row r="97" spans="1:8" x14ac:dyDescent="0.25">
      <c r="A97" s="1" t="s">
        <v>110</v>
      </c>
      <c r="B97" s="5">
        <v>45661.958333333336</v>
      </c>
      <c r="C97" s="1" t="s">
        <v>23</v>
      </c>
      <c r="D97" s="1" t="s">
        <v>16</v>
      </c>
      <c r="E97" s="1">
        <v>8</v>
      </c>
      <c r="F97" s="1">
        <v>127.88</v>
      </c>
      <c r="G97" s="1">
        <v>10.5</v>
      </c>
      <c r="H97">
        <f t="shared" si="1"/>
        <v>1023.04</v>
      </c>
    </row>
    <row r="98" spans="1:8" x14ac:dyDescent="0.25">
      <c r="A98" s="1" t="s">
        <v>111</v>
      </c>
      <c r="B98" s="5">
        <v>45662</v>
      </c>
      <c r="C98" s="1" t="s">
        <v>23</v>
      </c>
      <c r="D98" s="1" t="s">
        <v>37</v>
      </c>
      <c r="E98" s="1">
        <v>6</v>
      </c>
      <c r="F98" s="1">
        <v>163.51</v>
      </c>
      <c r="G98" s="1">
        <v>24.4</v>
      </c>
      <c r="H98">
        <f t="shared" si="1"/>
        <v>981.06</v>
      </c>
    </row>
    <row r="99" spans="1:8" x14ac:dyDescent="0.25">
      <c r="A99" s="1" t="s">
        <v>112</v>
      </c>
      <c r="B99" s="5">
        <v>45662.041666666664</v>
      </c>
      <c r="C99" s="1" t="s">
        <v>11</v>
      </c>
      <c r="D99" s="1" t="s">
        <v>9</v>
      </c>
      <c r="E99" s="1">
        <v>7</v>
      </c>
      <c r="F99" s="1">
        <v>43.34</v>
      </c>
      <c r="G99" s="1">
        <v>24.53</v>
      </c>
      <c r="H99">
        <f t="shared" si="1"/>
        <v>303.38</v>
      </c>
    </row>
    <row r="100" spans="1:8" x14ac:dyDescent="0.25">
      <c r="A100" s="1" t="s">
        <v>113</v>
      </c>
      <c r="B100" s="5">
        <v>45662.083333333336</v>
      </c>
      <c r="C100" s="1" t="s">
        <v>23</v>
      </c>
      <c r="D100" s="1" t="s">
        <v>37</v>
      </c>
      <c r="E100" s="1">
        <v>1</v>
      </c>
      <c r="F100" s="1">
        <v>93.49</v>
      </c>
      <c r="G100" s="1">
        <v>27.42</v>
      </c>
      <c r="H100">
        <f t="shared" si="1"/>
        <v>93.49</v>
      </c>
    </row>
    <row r="101" spans="1:8" x14ac:dyDescent="0.25">
      <c r="A101" s="1" t="s">
        <v>114</v>
      </c>
      <c r="B101" s="5">
        <v>45662.125</v>
      </c>
      <c r="C101" s="1" t="s">
        <v>13</v>
      </c>
      <c r="D101" s="1" t="s">
        <v>9</v>
      </c>
      <c r="E101" s="1">
        <v>18</v>
      </c>
      <c r="F101" s="1">
        <v>348.16</v>
      </c>
      <c r="G101" s="1">
        <v>45.18</v>
      </c>
      <c r="H101">
        <f t="shared" si="1"/>
        <v>6266.88</v>
      </c>
    </row>
    <row r="102" spans="1:8" x14ac:dyDescent="0.25">
      <c r="A102" s="1" t="s">
        <v>115</v>
      </c>
      <c r="B102" s="5">
        <v>45662.166666666664</v>
      </c>
      <c r="C102" s="1" t="s">
        <v>8</v>
      </c>
      <c r="D102" s="1" t="s">
        <v>9</v>
      </c>
      <c r="E102" s="1">
        <v>12</v>
      </c>
      <c r="F102" s="1">
        <v>229.94</v>
      </c>
      <c r="G102" s="1">
        <v>41.23</v>
      </c>
      <c r="H102">
        <f t="shared" si="1"/>
        <v>2759.2799999999997</v>
      </c>
    </row>
    <row r="103" spans="1:8" x14ac:dyDescent="0.25">
      <c r="A103" s="1" t="s">
        <v>116</v>
      </c>
      <c r="B103" s="5">
        <v>45662.208333333336</v>
      </c>
      <c r="C103" s="1" t="s">
        <v>23</v>
      </c>
      <c r="D103" s="1" t="s">
        <v>16</v>
      </c>
      <c r="E103" s="1">
        <v>16</v>
      </c>
      <c r="F103" s="1">
        <v>398.15</v>
      </c>
      <c r="G103" s="1">
        <v>33.65</v>
      </c>
      <c r="H103">
        <f t="shared" si="1"/>
        <v>6370.4</v>
      </c>
    </row>
    <row r="104" spans="1:8" x14ac:dyDescent="0.25">
      <c r="A104" s="1" t="s">
        <v>117</v>
      </c>
      <c r="B104" s="5">
        <v>45662.25</v>
      </c>
      <c r="C104" s="1" t="s">
        <v>23</v>
      </c>
      <c r="D104" s="1" t="s">
        <v>9</v>
      </c>
      <c r="E104" s="1">
        <v>10</v>
      </c>
      <c r="F104" s="1">
        <v>188.1</v>
      </c>
      <c r="G104" s="1">
        <v>44.84</v>
      </c>
      <c r="H104">
        <f t="shared" si="1"/>
        <v>1881</v>
      </c>
    </row>
    <row r="105" spans="1:8" x14ac:dyDescent="0.25">
      <c r="A105" s="1" t="s">
        <v>118</v>
      </c>
      <c r="B105" s="5">
        <v>45662.291666666664</v>
      </c>
      <c r="C105" s="1" t="s">
        <v>11</v>
      </c>
      <c r="D105" s="1" t="s">
        <v>37</v>
      </c>
      <c r="E105" s="1">
        <v>10</v>
      </c>
      <c r="F105" s="1">
        <v>132.25</v>
      </c>
      <c r="G105" s="1">
        <v>35.53</v>
      </c>
      <c r="H105">
        <f t="shared" si="1"/>
        <v>1322.5</v>
      </c>
    </row>
    <row r="106" spans="1:8" x14ac:dyDescent="0.25">
      <c r="A106" s="1" t="s">
        <v>119</v>
      </c>
      <c r="B106" s="5">
        <v>45662.333333333336</v>
      </c>
      <c r="C106" s="1" t="s">
        <v>23</v>
      </c>
      <c r="D106" s="1" t="s">
        <v>16</v>
      </c>
      <c r="E106" s="1">
        <v>14</v>
      </c>
      <c r="F106" s="1">
        <v>166.53</v>
      </c>
      <c r="G106" s="1">
        <v>41.85</v>
      </c>
      <c r="H106">
        <f t="shared" si="1"/>
        <v>2331.42</v>
      </c>
    </row>
    <row r="107" spans="1:8" x14ac:dyDescent="0.25">
      <c r="A107" s="1" t="s">
        <v>120</v>
      </c>
      <c r="B107" s="5">
        <v>45662.375</v>
      </c>
      <c r="C107" s="1" t="s">
        <v>23</v>
      </c>
      <c r="D107" s="1" t="s">
        <v>19</v>
      </c>
      <c r="E107" s="1">
        <v>10</v>
      </c>
      <c r="F107" s="1">
        <v>325.2</v>
      </c>
      <c r="G107" s="1">
        <v>30.37</v>
      </c>
      <c r="H107">
        <f t="shared" si="1"/>
        <v>3252</v>
      </c>
    </row>
    <row r="108" spans="1:8" x14ac:dyDescent="0.25">
      <c r="A108" s="1" t="s">
        <v>121</v>
      </c>
      <c r="B108" s="5">
        <v>45662.416666666664</v>
      </c>
      <c r="C108" s="1" t="s">
        <v>23</v>
      </c>
      <c r="D108" s="1" t="s">
        <v>19</v>
      </c>
      <c r="E108" s="1">
        <v>10</v>
      </c>
      <c r="F108" s="1">
        <v>256.64999999999998</v>
      </c>
      <c r="G108" s="1">
        <v>28.63</v>
      </c>
      <c r="H108">
        <f t="shared" si="1"/>
        <v>2566.5</v>
      </c>
    </row>
    <row r="109" spans="1:8" x14ac:dyDescent="0.25">
      <c r="A109" s="1" t="s">
        <v>122</v>
      </c>
      <c r="B109" s="5">
        <v>45662.458333333336</v>
      </c>
      <c r="C109" s="1" t="s">
        <v>11</v>
      </c>
      <c r="D109" s="1" t="s">
        <v>16</v>
      </c>
      <c r="E109" s="1">
        <v>11</v>
      </c>
      <c r="F109" s="1">
        <v>408.37</v>
      </c>
      <c r="G109" s="1">
        <v>37.58</v>
      </c>
      <c r="H109">
        <f t="shared" si="1"/>
        <v>4492.07</v>
      </c>
    </row>
    <row r="110" spans="1:8" x14ac:dyDescent="0.25">
      <c r="A110" s="1" t="s">
        <v>123</v>
      </c>
      <c r="B110" s="5">
        <v>45662.5</v>
      </c>
      <c r="C110" s="1" t="s">
        <v>23</v>
      </c>
      <c r="D110" s="1" t="s">
        <v>37</v>
      </c>
      <c r="E110" s="1">
        <v>2</v>
      </c>
      <c r="F110" s="1">
        <v>277.14</v>
      </c>
      <c r="G110" s="1">
        <v>5.89</v>
      </c>
      <c r="H110">
        <f t="shared" si="1"/>
        <v>554.28</v>
      </c>
    </row>
    <row r="111" spans="1:8" x14ac:dyDescent="0.25">
      <c r="A111" s="1" t="s">
        <v>124</v>
      </c>
      <c r="B111" s="5">
        <v>45662.541666666664</v>
      </c>
      <c r="C111" s="1" t="s">
        <v>8</v>
      </c>
      <c r="D111" s="1" t="s">
        <v>19</v>
      </c>
      <c r="E111" s="1">
        <v>8</v>
      </c>
      <c r="F111" s="1">
        <v>229.72</v>
      </c>
      <c r="G111" s="1">
        <v>36.07</v>
      </c>
      <c r="H111">
        <f t="shared" si="1"/>
        <v>1837.76</v>
      </c>
    </row>
    <row r="112" spans="1:8" x14ac:dyDescent="0.25">
      <c r="A112" s="1" t="s">
        <v>125</v>
      </c>
      <c r="B112" s="5">
        <v>45662.583333333336</v>
      </c>
      <c r="C112" s="1" t="s">
        <v>11</v>
      </c>
      <c r="D112" s="1" t="s">
        <v>19</v>
      </c>
      <c r="E112" s="1">
        <v>7</v>
      </c>
      <c r="F112" s="1">
        <v>356.91</v>
      </c>
      <c r="G112" s="1">
        <v>47.05</v>
      </c>
      <c r="H112">
        <f t="shared" si="1"/>
        <v>2498.3700000000003</v>
      </c>
    </row>
    <row r="113" spans="1:8" x14ac:dyDescent="0.25">
      <c r="A113" s="1" t="s">
        <v>126</v>
      </c>
      <c r="B113" s="5">
        <v>45662.625</v>
      </c>
      <c r="C113" s="1" t="s">
        <v>8</v>
      </c>
      <c r="D113" s="1" t="s">
        <v>9</v>
      </c>
      <c r="E113" s="1">
        <v>8</v>
      </c>
      <c r="F113" s="1">
        <v>427.2</v>
      </c>
      <c r="G113" s="1">
        <v>37.130000000000003</v>
      </c>
      <c r="H113">
        <f t="shared" si="1"/>
        <v>3417.6</v>
      </c>
    </row>
    <row r="114" spans="1:8" x14ac:dyDescent="0.25">
      <c r="A114" s="1" t="s">
        <v>127</v>
      </c>
      <c r="B114" s="5">
        <v>45662.666666666664</v>
      </c>
      <c r="C114" s="1" t="s">
        <v>11</v>
      </c>
      <c r="D114" s="1" t="s">
        <v>9</v>
      </c>
      <c r="E114" s="1">
        <v>1</v>
      </c>
      <c r="F114" s="1">
        <v>170.12</v>
      </c>
      <c r="G114" s="1">
        <v>6.66</v>
      </c>
      <c r="H114">
        <f t="shared" si="1"/>
        <v>170.12</v>
      </c>
    </row>
    <row r="115" spans="1:8" x14ac:dyDescent="0.25">
      <c r="A115" s="1" t="s">
        <v>128</v>
      </c>
      <c r="B115" s="5">
        <v>45662.708333333336</v>
      </c>
      <c r="C115" s="1" t="s">
        <v>23</v>
      </c>
      <c r="D115" s="1" t="s">
        <v>37</v>
      </c>
      <c r="E115" s="1">
        <v>2</v>
      </c>
      <c r="F115" s="1">
        <v>124.07</v>
      </c>
      <c r="G115" s="1">
        <v>22</v>
      </c>
      <c r="H115">
        <f t="shared" si="1"/>
        <v>248.14</v>
      </c>
    </row>
    <row r="116" spans="1:8" x14ac:dyDescent="0.25">
      <c r="A116" s="1" t="s">
        <v>129</v>
      </c>
      <c r="B116" s="5">
        <v>45662.75</v>
      </c>
      <c r="C116" s="1" t="s">
        <v>8</v>
      </c>
      <c r="D116" s="1" t="s">
        <v>16</v>
      </c>
      <c r="E116" s="1">
        <v>18</v>
      </c>
      <c r="F116" s="1">
        <v>283.25</v>
      </c>
      <c r="G116" s="1">
        <v>41.43</v>
      </c>
      <c r="H116">
        <f t="shared" si="1"/>
        <v>5098.5</v>
      </c>
    </row>
    <row r="117" spans="1:8" x14ac:dyDescent="0.25">
      <c r="A117" s="1" t="s">
        <v>130</v>
      </c>
      <c r="B117" s="5">
        <v>45662.791666666664</v>
      </c>
      <c r="C117" s="1" t="s">
        <v>11</v>
      </c>
      <c r="D117" s="1" t="s">
        <v>37</v>
      </c>
      <c r="E117" s="1">
        <v>15</v>
      </c>
      <c r="F117" s="1">
        <v>232.26</v>
      </c>
      <c r="G117" s="1">
        <v>48.14</v>
      </c>
      <c r="H117">
        <f t="shared" si="1"/>
        <v>3483.8999999999996</v>
      </c>
    </row>
    <row r="118" spans="1:8" x14ac:dyDescent="0.25">
      <c r="A118" s="1" t="s">
        <v>131</v>
      </c>
      <c r="B118" s="5">
        <v>45662.833333333336</v>
      </c>
      <c r="C118" s="1" t="s">
        <v>13</v>
      </c>
      <c r="D118" s="1" t="s">
        <v>16</v>
      </c>
      <c r="E118" s="1">
        <v>1</v>
      </c>
      <c r="F118" s="1">
        <v>445.3</v>
      </c>
      <c r="G118" s="1">
        <v>21.66</v>
      </c>
      <c r="H118">
        <f t="shared" si="1"/>
        <v>445.3</v>
      </c>
    </row>
    <row r="119" spans="1:8" x14ac:dyDescent="0.25">
      <c r="A119" s="1" t="s">
        <v>132</v>
      </c>
      <c r="B119" s="5">
        <v>45662.875</v>
      </c>
      <c r="C119" s="1" t="s">
        <v>23</v>
      </c>
      <c r="D119" s="1" t="s">
        <v>19</v>
      </c>
      <c r="E119" s="1">
        <v>5</v>
      </c>
      <c r="F119" s="1">
        <v>216.4</v>
      </c>
      <c r="G119" s="1">
        <v>42.85</v>
      </c>
      <c r="H119">
        <f t="shared" si="1"/>
        <v>1082</v>
      </c>
    </row>
    <row r="120" spans="1:8" x14ac:dyDescent="0.25">
      <c r="A120" s="1" t="s">
        <v>133</v>
      </c>
      <c r="B120" s="5">
        <v>45662.916666666664</v>
      </c>
      <c r="C120" s="1" t="s">
        <v>11</v>
      </c>
      <c r="D120" s="1" t="s">
        <v>9</v>
      </c>
      <c r="E120" s="1">
        <v>2</v>
      </c>
      <c r="F120" s="1">
        <v>47.8</v>
      </c>
      <c r="G120" s="1">
        <v>43.87</v>
      </c>
      <c r="H120">
        <f t="shared" si="1"/>
        <v>95.6</v>
      </c>
    </row>
    <row r="121" spans="1:8" x14ac:dyDescent="0.25">
      <c r="A121" s="1" t="s">
        <v>134</v>
      </c>
      <c r="B121" s="5">
        <v>45662.958333333336</v>
      </c>
      <c r="C121" s="1" t="s">
        <v>13</v>
      </c>
      <c r="D121" s="1" t="s">
        <v>37</v>
      </c>
      <c r="E121" s="1">
        <v>3</v>
      </c>
      <c r="F121" s="1">
        <v>440.17</v>
      </c>
      <c r="G121" s="1">
        <v>10.55</v>
      </c>
      <c r="H121">
        <f t="shared" si="1"/>
        <v>1320.51</v>
      </c>
    </row>
    <row r="122" spans="1:8" x14ac:dyDescent="0.25">
      <c r="A122" s="1" t="s">
        <v>135</v>
      </c>
      <c r="B122" s="5">
        <v>45663</v>
      </c>
      <c r="C122" s="1" t="s">
        <v>11</v>
      </c>
      <c r="D122" s="1" t="s">
        <v>37</v>
      </c>
      <c r="E122" s="1">
        <v>19</v>
      </c>
      <c r="F122" s="1">
        <v>382.04</v>
      </c>
      <c r="G122" s="1">
        <v>43.06</v>
      </c>
      <c r="H122">
        <f t="shared" si="1"/>
        <v>7258.76</v>
      </c>
    </row>
    <row r="123" spans="1:8" x14ac:dyDescent="0.25">
      <c r="A123" s="1" t="s">
        <v>136</v>
      </c>
      <c r="B123" s="5">
        <v>45663.041666666664</v>
      </c>
      <c r="C123" s="1" t="s">
        <v>13</v>
      </c>
      <c r="D123" s="1" t="s">
        <v>16</v>
      </c>
      <c r="E123" s="1">
        <v>18</v>
      </c>
      <c r="F123" s="1">
        <v>92.95</v>
      </c>
      <c r="G123" s="1">
        <v>19.59</v>
      </c>
      <c r="H123">
        <f t="shared" si="1"/>
        <v>1673.1000000000001</v>
      </c>
    </row>
    <row r="124" spans="1:8" x14ac:dyDescent="0.25">
      <c r="A124" s="1" t="s">
        <v>137</v>
      </c>
      <c r="B124" s="5">
        <v>45663.083333333336</v>
      </c>
      <c r="C124" s="1" t="s">
        <v>23</v>
      </c>
      <c r="D124" s="1" t="s">
        <v>16</v>
      </c>
      <c r="E124" s="1">
        <v>18</v>
      </c>
      <c r="F124" s="1">
        <v>408.55</v>
      </c>
      <c r="G124" s="1">
        <v>31.7</v>
      </c>
      <c r="H124">
        <f t="shared" si="1"/>
        <v>7353.9000000000005</v>
      </c>
    </row>
    <row r="125" spans="1:8" x14ac:dyDescent="0.25">
      <c r="A125" s="1" t="s">
        <v>138</v>
      </c>
      <c r="B125" s="5">
        <v>45663.125</v>
      </c>
      <c r="C125" s="1" t="s">
        <v>8</v>
      </c>
      <c r="D125" s="1" t="s">
        <v>37</v>
      </c>
      <c r="E125" s="1">
        <v>14</v>
      </c>
      <c r="F125" s="1">
        <v>163.52000000000001</v>
      </c>
      <c r="G125" s="1">
        <v>29.25</v>
      </c>
      <c r="H125">
        <f t="shared" si="1"/>
        <v>2289.2800000000002</v>
      </c>
    </row>
    <row r="126" spans="1:8" x14ac:dyDescent="0.25">
      <c r="A126" s="1" t="s">
        <v>139</v>
      </c>
      <c r="B126" s="5">
        <v>45663.166666666664</v>
      </c>
      <c r="C126" s="1" t="s">
        <v>13</v>
      </c>
      <c r="D126" s="1" t="s">
        <v>16</v>
      </c>
      <c r="E126" s="1">
        <v>8</v>
      </c>
      <c r="F126" s="1">
        <v>179.36</v>
      </c>
      <c r="G126" s="1">
        <v>34.840000000000003</v>
      </c>
      <c r="H126">
        <f t="shared" si="1"/>
        <v>1434.88</v>
      </c>
    </row>
    <row r="127" spans="1:8" x14ac:dyDescent="0.25">
      <c r="A127" s="1" t="s">
        <v>140</v>
      </c>
      <c r="B127" s="5">
        <v>45663.208333333336</v>
      </c>
      <c r="C127" s="1" t="s">
        <v>11</v>
      </c>
      <c r="D127" s="1" t="s">
        <v>37</v>
      </c>
      <c r="E127" s="1">
        <v>12</v>
      </c>
      <c r="F127" s="1">
        <v>409.33</v>
      </c>
      <c r="G127" s="1">
        <v>38.32</v>
      </c>
      <c r="H127">
        <f t="shared" si="1"/>
        <v>4911.96</v>
      </c>
    </row>
    <row r="128" spans="1:8" x14ac:dyDescent="0.25">
      <c r="A128" s="1" t="s">
        <v>141</v>
      </c>
      <c r="B128" s="5">
        <v>45663.25</v>
      </c>
      <c r="C128" s="1" t="s">
        <v>23</v>
      </c>
      <c r="D128" s="1" t="s">
        <v>37</v>
      </c>
      <c r="E128" s="1">
        <v>10</v>
      </c>
      <c r="F128" s="1">
        <v>245.84</v>
      </c>
      <c r="G128" s="1">
        <v>24.84</v>
      </c>
      <c r="H128">
        <f t="shared" si="1"/>
        <v>2458.4</v>
      </c>
    </row>
    <row r="129" spans="1:8" x14ac:dyDescent="0.25">
      <c r="A129" s="1" t="s">
        <v>142</v>
      </c>
      <c r="B129" s="5">
        <v>45663.291666666664</v>
      </c>
      <c r="C129" s="1" t="s">
        <v>13</v>
      </c>
      <c r="D129" s="1" t="s">
        <v>37</v>
      </c>
      <c r="E129" s="1">
        <v>17</v>
      </c>
      <c r="F129" s="1">
        <v>75.36</v>
      </c>
      <c r="G129" s="1">
        <v>44.97</v>
      </c>
      <c r="H129">
        <f t="shared" si="1"/>
        <v>1281.1199999999999</v>
      </c>
    </row>
    <row r="130" spans="1:8" x14ac:dyDescent="0.25">
      <c r="A130" s="1" t="s">
        <v>143</v>
      </c>
      <c r="B130" s="5">
        <v>45663.333333333336</v>
      </c>
      <c r="C130" s="1" t="s">
        <v>11</v>
      </c>
      <c r="D130" s="1" t="s">
        <v>19</v>
      </c>
      <c r="E130" s="1">
        <v>11</v>
      </c>
      <c r="F130" s="1">
        <v>175.85</v>
      </c>
      <c r="G130" s="1">
        <v>41.43</v>
      </c>
      <c r="H130">
        <f t="shared" ref="H130:H193" si="2">E130*F130</f>
        <v>1934.35</v>
      </c>
    </row>
    <row r="131" spans="1:8" x14ac:dyDescent="0.25">
      <c r="A131" s="1" t="s">
        <v>144</v>
      </c>
      <c r="B131" s="5">
        <v>45663.375</v>
      </c>
      <c r="C131" s="1" t="s">
        <v>11</v>
      </c>
      <c r="D131" s="1" t="s">
        <v>16</v>
      </c>
      <c r="E131" s="1">
        <v>2</v>
      </c>
      <c r="F131" s="1">
        <v>329.25</v>
      </c>
      <c r="G131" s="1">
        <v>40.340000000000003</v>
      </c>
      <c r="H131">
        <f t="shared" si="2"/>
        <v>658.5</v>
      </c>
    </row>
    <row r="132" spans="1:8" x14ac:dyDescent="0.25">
      <c r="A132" s="1" t="s">
        <v>145</v>
      </c>
      <c r="B132" s="5">
        <v>45663.416666666664</v>
      </c>
      <c r="C132" s="1" t="s">
        <v>11</v>
      </c>
      <c r="D132" s="1" t="s">
        <v>9</v>
      </c>
      <c r="E132" s="1">
        <v>4</v>
      </c>
      <c r="F132" s="1">
        <v>91.18</v>
      </c>
      <c r="G132" s="1">
        <v>25.62</v>
      </c>
      <c r="H132">
        <f t="shared" si="2"/>
        <v>364.72</v>
      </c>
    </row>
    <row r="133" spans="1:8" x14ac:dyDescent="0.25">
      <c r="A133" s="1" t="s">
        <v>146</v>
      </c>
      <c r="B133" s="5">
        <v>45663.458333333336</v>
      </c>
      <c r="C133" s="1" t="s">
        <v>13</v>
      </c>
      <c r="D133" s="1" t="s">
        <v>9</v>
      </c>
      <c r="E133" s="1">
        <v>1</v>
      </c>
      <c r="F133" s="1">
        <v>271.95999999999998</v>
      </c>
      <c r="G133" s="1">
        <v>6.69</v>
      </c>
      <c r="H133">
        <f t="shared" si="2"/>
        <v>271.95999999999998</v>
      </c>
    </row>
    <row r="134" spans="1:8" x14ac:dyDescent="0.25">
      <c r="A134" s="1" t="s">
        <v>147</v>
      </c>
      <c r="B134" s="5">
        <v>45663.5</v>
      </c>
      <c r="C134" s="1" t="s">
        <v>13</v>
      </c>
      <c r="D134" s="1" t="s">
        <v>16</v>
      </c>
      <c r="E134" s="1">
        <v>15</v>
      </c>
      <c r="F134" s="1">
        <v>317.60000000000002</v>
      </c>
      <c r="G134" s="1">
        <v>27.15</v>
      </c>
      <c r="H134">
        <f t="shared" si="2"/>
        <v>4764</v>
      </c>
    </row>
    <row r="135" spans="1:8" x14ac:dyDescent="0.25">
      <c r="A135" s="1" t="s">
        <v>148</v>
      </c>
      <c r="B135" s="5">
        <v>45663.541666666664</v>
      </c>
      <c r="C135" s="1" t="s">
        <v>13</v>
      </c>
      <c r="D135" s="1" t="s">
        <v>37</v>
      </c>
      <c r="E135" s="1">
        <v>13</v>
      </c>
      <c r="F135" s="1">
        <v>164.9</v>
      </c>
      <c r="G135" s="1">
        <v>45.43</v>
      </c>
      <c r="H135">
        <f t="shared" si="2"/>
        <v>2143.7000000000003</v>
      </c>
    </row>
    <row r="136" spans="1:8" x14ac:dyDescent="0.25">
      <c r="A136" s="1" t="s">
        <v>149</v>
      </c>
      <c r="B136" s="5">
        <v>45663.583333333336</v>
      </c>
      <c r="C136" s="1" t="s">
        <v>8</v>
      </c>
      <c r="D136" s="1" t="s">
        <v>9</v>
      </c>
      <c r="E136" s="1">
        <v>8</v>
      </c>
      <c r="F136" s="1">
        <v>316.99</v>
      </c>
      <c r="G136" s="1">
        <v>13.57</v>
      </c>
      <c r="H136">
        <f t="shared" si="2"/>
        <v>2535.92</v>
      </c>
    </row>
    <row r="137" spans="1:8" x14ac:dyDescent="0.25">
      <c r="A137" s="1" t="s">
        <v>150</v>
      </c>
      <c r="B137" s="5">
        <v>45663.625</v>
      </c>
      <c r="C137" s="1" t="s">
        <v>13</v>
      </c>
      <c r="D137" s="1" t="s">
        <v>9</v>
      </c>
      <c r="E137" s="1">
        <v>4</v>
      </c>
      <c r="F137" s="1">
        <v>399.69</v>
      </c>
      <c r="G137" s="1">
        <v>49.22</v>
      </c>
      <c r="H137">
        <f t="shared" si="2"/>
        <v>1598.76</v>
      </c>
    </row>
    <row r="138" spans="1:8" x14ac:dyDescent="0.25">
      <c r="A138" s="1" t="s">
        <v>151</v>
      </c>
      <c r="B138" s="5">
        <v>45663.666666666664</v>
      </c>
      <c r="C138" s="1" t="s">
        <v>13</v>
      </c>
      <c r="D138" s="1" t="s">
        <v>16</v>
      </c>
      <c r="E138" s="1">
        <v>10</v>
      </c>
      <c r="F138" s="1">
        <v>220.63</v>
      </c>
      <c r="G138" s="1">
        <v>41.35</v>
      </c>
      <c r="H138">
        <f t="shared" si="2"/>
        <v>2206.3000000000002</v>
      </c>
    </row>
    <row r="139" spans="1:8" x14ac:dyDescent="0.25">
      <c r="A139" s="1" t="s">
        <v>152</v>
      </c>
      <c r="B139" s="5">
        <v>45663.708333333336</v>
      </c>
      <c r="C139" s="1" t="s">
        <v>13</v>
      </c>
      <c r="D139" s="1" t="s">
        <v>9</v>
      </c>
      <c r="E139" s="1">
        <v>19</v>
      </c>
      <c r="F139" s="1">
        <v>181.87</v>
      </c>
      <c r="G139" s="1">
        <v>36.94</v>
      </c>
      <c r="H139">
        <f t="shared" si="2"/>
        <v>3455.53</v>
      </c>
    </row>
    <row r="140" spans="1:8" x14ac:dyDescent="0.25">
      <c r="A140" s="1" t="s">
        <v>153</v>
      </c>
      <c r="B140" s="5">
        <v>45663.75</v>
      </c>
      <c r="C140" s="1" t="s">
        <v>8</v>
      </c>
      <c r="D140" s="1" t="s">
        <v>37</v>
      </c>
      <c r="E140" s="1">
        <v>18</v>
      </c>
      <c r="F140" s="1">
        <v>124.63</v>
      </c>
      <c r="G140" s="1">
        <v>35.47</v>
      </c>
      <c r="H140">
        <f t="shared" si="2"/>
        <v>2243.34</v>
      </c>
    </row>
    <row r="141" spans="1:8" x14ac:dyDescent="0.25">
      <c r="A141" s="1" t="s">
        <v>154</v>
      </c>
      <c r="B141" s="5">
        <v>45663.791666666664</v>
      </c>
      <c r="C141" s="1" t="s">
        <v>13</v>
      </c>
      <c r="D141" s="1" t="s">
        <v>16</v>
      </c>
      <c r="E141" s="1">
        <v>5</v>
      </c>
      <c r="F141" s="1">
        <v>278.02999999999997</v>
      </c>
      <c r="G141" s="1">
        <v>31.42</v>
      </c>
      <c r="H141">
        <f t="shared" si="2"/>
        <v>1390.1499999999999</v>
      </c>
    </row>
    <row r="142" spans="1:8" x14ac:dyDescent="0.25">
      <c r="A142" s="1" t="s">
        <v>155</v>
      </c>
      <c r="B142" s="5">
        <v>45663.833333333336</v>
      </c>
      <c r="C142" s="1" t="s">
        <v>11</v>
      </c>
      <c r="D142" s="1" t="s">
        <v>37</v>
      </c>
      <c r="E142" s="1">
        <v>19</v>
      </c>
      <c r="F142" s="1">
        <v>397.8</v>
      </c>
      <c r="G142" s="1">
        <v>37.43</v>
      </c>
      <c r="H142">
        <f t="shared" si="2"/>
        <v>7558.2</v>
      </c>
    </row>
    <row r="143" spans="1:8" x14ac:dyDescent="0.25">
      <c r="A143" s="1" t="s">
        <v>156</v>
      </c>
      <c r="B143" s="5">
        <v>45663.875</v>
      </c>
      <c r="C143" s="1" t="s">
        <v>13</v>
      </c>
      <c r="D143" s="1" t="s">
        <v>9</v>
      </c>
      <c r="E143" s="1">
        <v>16</v>
      </c>
      <c r="F143" s="1">
        <v>156.57</v>
      </c>
      <c r="G143" s="1">
        <v>23.99</v>
      </c>
      <c r="H143">
        <f t="shared" si="2"/>
        <v>2505.12</v>
      </c>
    </row>
    <row r="144" spans="1:8" x14ac:dyDescent="0.25">
      <c r="A144" s="1" t="s">
        <v>157</v>
      </c>
      <c r="B144" s="5">
        <v>45663.916666666664</v>
      </c>
      <c r="C144" s="1" t="s">
        <v>11</v>
      </c>
      <c r="D144" s="1" t="s">
        <v>9</v>
      </c>
      <c r="E144" s="1">
        <v>1</v>
      </c>
      <c r="F144" s="1">
        <v>187.66</v>
      </c>
      <c r="G144" s="1">
        <v>43.04</v>
      </c>
      <c r="H144">
        <f t="shared" si="2"/>
        <v>187.66</v>
      </c>
    </row>
    <row r="145" spans="1:8" x14ac:dyDescent="0.25">
      <c r="A145" s="1" t="s">
        <v>158</v>
      </c>
      <c r="B145" s="5">
        <v>45663.958333333336</v>
      </c>
      <c r="C145" s="1" t="s">
        <v>11</v>
      </c>
      <c r="D145" s="1" t="s">
        <v>37</v>
      </c>
      <c r="E145" s="1">
        <v>12</v>
      </c>
      <c r="F145" s="1">
        <v>192.18</v>
      </c>
      <c r="G145" s="1">
        <v>36.340000000000003</v>
      </c>
      <c r="H145">
        <f t="shared" si="2"/>
        <v>2306.16</v>
      </c>
    </row>
    <row r="146" spans="1:8" x14ac:dyDescent="0.25">
      <c r="A146" s="1" t="s">
        <v>159</v>
      </c>
      <c r="B146" s="5">
        <v>45664</v>
      </c>
      <c r="C146" s="1" t="s">
        <v>11</v>
      </c>
      <c r="D146" s="1" t="s">
        <v>19</v>
      </c>
      <c r="E146" s="1">
        <v>2</v>
      </c>
      <c r="F146" s="1">
        <v>259.17</v>
      </c>
      <c r="G146" s="1">
        <v>39.71</v>
      </c>
      <c r="H146">
        <f t="shared" si="2"/>
        <v>518.34</v>
      </c>
    </row>
    <row r="147" spans="1:8" x14ac:dyDescent="0.25">
      <c r="A147" s="1" t="s">
        <v>160</v>
      </c>
      <c r="B147" s="5">
        <v>45664.041666666664</v>
      </c>
      <c r="C147" s="1" t="s">
        <v>8</v>
      </c>
      <c r="D147" s="1" t="s">
        <v>9</v>
      </c>
      <c r="E147" s="1">
        <v>8</v>
      </c>
      <c r="F147" s="1">
        <v>114.74</v>
      </c>
      <c r="G147" s="1">
        <v>40.659999999999997</v>
      </c>
      <c r="H147">
        <f t="shared" si="2"/>
        <v>917.92</v>
      </c>
    </row>
    <row r="148" spans="1:8" x14ac:dyDescent="0.25">
      <c r="A148" s="1" t="s">
        <v>161</v>
      </c>
      <c r="B148" s="5">
        <v>45664.083333333336</v>
      </c>
      <c r="C148" s="1" t="s">
        <v>8</v>
      </c>
      <c r="D148" s="1" t="s">
        <v>19</v>
      </c>
      <c r="E148" s="1">
        <v>18</v>
      </c>
      <c r="F148" s="1">
        <v>372.75</v>
      </c>
      <c r="G148" s="1">
        <v>9.14</v>
      </c>
      <c r="H148">
        <f t="shared" si="2"/>
        <v>6709.5</v>
      </c>
    </row>
    <row r="149" spans="1:8" x14ac:dyDescent="0.25">
      <c r="A149" s="1" t="s">
        <v>162</v>
      </c>
      <c r="B149" s="5">
        <v>45664.125</v>
      </c>
      <c r="C149" s="1" t="s">
        <v>8</v>
      </c>
      <c r="D149" s="1" t="s">
        <v>9</v>
      </c>
      <c r="E149" s="1">
        <v>16</v>
      </c>
      <c r="F149" s="1">
        <v>143.94</v>
      </c>
      <c r="G149" s="1">
        <v>7.5</v>
      </c>
      <c r="H149">
        <f t="shared" si="2"/>
        <v>2303.04</v>
      </c>
    </row>
    <row r="150" spans="1:8" x14ac:dyDescent="0.25">
      <c r="A150" s="1" t="s">
        <v>163</v>
      </c>
      <c r="B150" s="5">
        <v>45664.166666666664</v>
      </c>
      <c r="C150" s="1" t="s">
        <v>13</v>
      </c>
      <c r="D150" s="1" t="s">
        <v>19</v>
      </c>
      <c r="E150" s="1">
        <v>5</v>
      </c>
      <c r="F150" s="1">
        <v>321.98</v>
      </c>
      <c r="G150" s="1">
        <v>41.04</v>
      </c>
      <c r="H150">
        <f t="shared" si="2"/>
        <v>1609.9</v>
      </c>
    </row>
    <row r="151" spans="1:8" x14ac:dyDescent="0.25">
      <c r="A151" s="1" t="s">
        <v>164</v>
      </c>
      <c r="B151" s="5">
        <v>45664.208333333336</v>
      </c>
      <c r="C151" s="1" t="s">
        <v>11</v>
      </c>
      <c r="D151" s="1" t="s">
        <v>19</v>
      </c>
      <c r="E151" s="1">
        <v>13</v>
      </c>
      <c r="F151" s="1">
        <v>238.49</v>
      </c>
      <c r="G151" s="1">
        <v>16.670000000000002</v>
      </c>
      <c r="H151">
        <f t="shared" si="2"/>
        <v>3100.37</v>
      </c>
    </row>
    <row r="152" spans="1:8" x14ac:dyDescent="0.25">
      <c r="A152" s="1" t="s">
        <v>165</v>
      </c>
      <c r="B152" s="5">
        <v>45664.25</v>
      </c>
      <c r="C152" s="1" t="s">
        <v>8</v>
      </c>
      <c r="D152" s="1" t="s">
        <v>19</v>
      </c>
      <c r="E152" s="1">
        <v>19</v>
      </c>
      <c r="F152" s="1">
        <v>270.07</v>
      </c>
      <c r="G152" s="1">
        <v>31.19</v>
      </c>
      <c r="H152">
        <f t="shared" si="2"/>
        <v>5131.33</v>
      </c>
    </row>
    <row r="153" spans="1:8" x14ac:dyDescent="0.25">
      <c r="A153" s="1" t="s">
        <v>166</v>
      </c>
      <c r="B153" s="5">
        <v>45664.291666666664</v>
      </c>
      <c r="C153" s="1" t="s">
        <v>8</v>
      </c>
      <c r="D153" s="1" t="s">
        <v>37</v>
      </c>
      <c r="E153" s="1">
        <v>3</v>
      </c>
      <c r="F153" s="1">
        <v>93.54</v>
      </c>
      <c r="G153" s="1">
        <v>24.97</v>
      </c>
      <c r="H153">
        <f t="shared" si="2"/>
        <v>280.62</v>
      </c>
    </row>
    <row r="154" spans="1:8" x14ac:dyDescent="0.25">
      <c r="A154" s="1" t="s">
        <v>167</v>
      </c>
      <c r="B154" s="5">
        <v>45664.333333333336</v>
      </c>
      <c r="C154" s="1" t="s">
        <v>13</v>
      </c>
      <c r="D154" s="1" t="s">
        <v>19</v>
      </c>
      <c r="E154" s="1">
        <v>8</v>
      </c>
      <c r="F154" s="1">
        <v>334.87</v>
      </c>
      <c r="G154" s="1">
        <v>5.99</v>
      </c>
      <c r="H154">
        <f t="shared" si="2"/>
        <v>2678.96</v>
      </c>
    </row>
    <row r="155" spans="1:8" x14ac:dyDescent="0.25">
      <c r="A155" s="1" t="s">
        <v>168</v>
      </c>
      <c r="B155" s="5">
        <v>45664.375</v>
      </c>
      <c r="C155" s="1" t="s">
        <v>8</v>
      </c>
      <c r="D155" s="1" t="s">
        <v>19</v>
      </c>
      <c r="E155" s="1">
        <v>12</v>
      </c>
      <c r="F155" s="1">
        <v>97.46</v>
      </c>
      <c r="G155" s="1">
        <v>6.81</v>
      </c>
      <c r="H155">
        <f t="shared" si="2"/>
        <v>1169.52</v>
      </c>
    </row>
    <row r="156" spans="1:8" x14ac:dyDescent="0.25">
      <c r="A156" s="1" t="s">
        <v>169</v>
      </c>
      <c r="B156" s="5">
        <v>45664.416666666664</v>
      </c>
      <c r="C156" s="1" t="s">
        <v>13</v>
      </c>
      <c r="D156" s="1" t="s">
        <v>19</v>
      </c>
      <c r="E156" s="1">
        <v>2</v>
      </c>
      <c r="F156" s="1">
        <v>64.8</v>
      </c>
      <c r="G156" s="1">
        <v>42.22</v>
      </c>
      <c r="H156">
        <f t="shared" si="2"/>
        <v>129.6</v>
      </c>
    </row>
    <row r="157" spans="1:8" x14ac:dyDescent="0.25">
      <c r="A157" s="1" t="s">
        <v>170</v>
      </c>
      <c r="B157" s="5">
        <v>45664.458333333336</v>
      </c>
      <c r="C157" s="1" t="s">
        <v>23</v>
      </c>
      <c r="D157" s="1" t="s">
        <v>9</v>
      </c>
      <c r="E157" s="1">
        <v>11</v>
      </c>
      <c r="F157" s="1">
        <v>253.03</v>
      </c>
      <c r="G157" s="1">
        <v>32.35</v>
      </c>
      <c r="H157">
        <f t="shared" si="2"/>
        <v>2783.33</v>
      </c>
    </row>
    <row r="158" spans="1:8" x14ac:dyDescent="0.25">
      <c r="A158" s="1" t="s">
        <v>171</v>
      </c>
      <c r="B158" s="5">
        <v>45664.5</v>
      </c>
      <c r="C158" s="1" t="s">
        <v>8</v>
      </c>
      <c r="D158" s="1" t="s">
        <v>19</v>
      </c>
      <c r="E158" s="1">
        <v>12</v>
      </c>
      <c r="F158" s="1">
        <v>323.69</v>
      </c>
      <c r="G158" s="1">
        <v>28.57</v>
      </c>
      <c r="H158">
        <f t="shared" si="2"/>
        <v>3884.2799999999997</v>
      </c>
    </row>
    <row r="159" spans="1:8" x14ac:dyDescent="0.25">
      <c r="A159" s="1" t="s">
        <v>172</v>
      </c>
      <c r="B159" s="5">
        <v>45664.541666666664</v>
      </c>
      <c r="C159" s="1" t="s">
        <v>23</v>
      </c>
      <c r="D159" s="1" t="s">
        <v>9</v>
      </c>
      <c r="E159" s="1">
        <v>18</v>
      </c>
      <c r="F159" s="1">
        <v>37.24</v>
      </c>
      <c r="G159" s="1">
        <v>47.5</v>
      </c>
      <c r="H159">
        <f t="shared" si="2"/>
        <v>670.32</v>
      </c>
    </row>
    <row r="160" spans="1:8" x14ac:dyDescent="0.25">
      <c r="A160" s="1" t="s">
        <v>173</v>
      </c>
      <c r="B160" s="5">
        <v>45664.583333333336</v>
      </c>
      <c r="C160" s="1" t="s">
        <v>13</v>
      </c>
      <c r="D160" s="1" t="s">
        <v>19</v>
      </c>
      <c r="E160" s="1">
        <v>13</v>
      </c>
      <c r="F160" s="1">
        <v>45.65</v>
      </c>
      <c r="G160" s="1">
        <v>12.79</v>
      </c>
      <c r="H160">
        <f t="shared" si="2"/>
        <v>593.44999999999993</v>
      </c>
    </row>
    <row r="161" spans="1:8" x14ac:dyDescent="0.25">
      <c r="A161" s="1" t="s">
        <v>174</v>
      </c>
      <c r="B161" s="5">
        <v>45664.625</v>
      </c>
      <c r="C161" s="1" t="s">
        <v>11</v>
      </c>
      <c r="D161" s="1" t="s">
        <v>19</v>
      </c>
      <c r="E161" s="1">
        <v>5</v>
      </c>
      <c r="F161" s="1">
        <v>364.26</v>
      </c>
      <c r="G161" s="1">
        <v>16.61</v>
      </c>
      <c r="H161">
        <f t="shared" si="2"/>
        <v>1821.3</v>
      </c>
    </row>
    <row r="162" spans="1:8" x14ac:dyDescent="0.25">
      <c r="A162" s="1" t="s">
        <v>175</v>
      </c>
      <c r="B162" s="5">
        <v>45664.666666666664</v>
      </c>
      <c r="C162" s="1" t="s">
        <v>8</v>
      </c>
      <c r="D162" s="1" t="s">
        <v>37</v>
      </c>
      <c r="E162" s="1">
        <v>12</v>
      </c>
      <c r="F162" s="1">
        <v>367.02</v>
      </c>
      <c r="G162" s="1">
        <v>39.049999999999997</v>
      </c>
      <c r="H162">
        <f t="shared" si="2"/>
        <v>4404.24</v>
      </c>
    </row>
    <row r="163" spans="1:8" x14ac:dyDescent="0.25">
      <c r="A163" s="1" t="s">
        <v>176</v>
      </c>
      <c r="B163" s="5">
        <v>45664.708333333336</v>
      </c>
      <c r="C163" s="1" t="s">
        <v>13</v>
      </c>
      <c r="D163" s="1" t="s">
        <v>9</v>
      </c>
      <c r="E163" s="1">
        <v>2</v>
      </c>
      <c r="F163" s="1">
        <v>122.08</v>
      </c>
      <c r="G163" s="1">
        <v>39.89</v>
      </c>
      <c r="H163">
        <f t="shared" si="2"/>
        <v>244.16</v>
      </c>
    </row>
    <row r="164" spans="1:8" x14ac:dyDescent="0.25">
      <c r="A164" s="1" t="s">
        <v>177</v>
      </c>
      <c r="B164" s="5">
        <v>45664.75</v>
      </c>
      <c r="C164" s="1" t="s">
        <v>11</v>
      </c>
      <c r="D164" s="1" t="s">
        <v>19</v>
      </c>
      <c r="E164" s="1">
        <v>5</v>
      </c>
      <c r="F164" s="1">
        <v>282.82</v>
      </c>
      <c r="G164" s="1">
        <v>23.22</v>
      </c>
      <c r="H164">
        <f t="shared" si="2"/>
        <v>1414.1</v>
      </c>
    </row>
    <row r="165" spans="1:8" x14ac:dyDescent="0.25">
      <c r="A165" s="1" t="s">
        <v>178</v>
      </c>
      <c r="B165" s="5">
        <v>45664.791666666664</v>
      </c>
      <c r="C165" s="1" t="s">
        <v>11</v>
      </c>
      <c r="D165" s="1" t="s">
        <v>9</v>
      </c>
      <c r="E165" s="1">
        <v>7</v>
      </c>
      <c r="F165" s="1">
        <v>208.06</v>
      </c>
      <c r="G165" s="1">
        <v>47.79</v>
      </c>
      <c r="H165">
        <f t="shared" si="2"/>
        <v>1456.42</v>
      </c>
    </row>
    <row r="166" spans="1:8" x14ac:dyDescent="0.25">
      <c r="A166" s="1" t="s">
        <v>179</v>
      </c>
      <c r="B166" s="5">
        <v>45664.833333333336</v>
      </c>
      <c r="C166" s="1" t="s">
        <v>23</v>
      </c>
      <c r="D166" s="1" t="s">
        <v>9</v>
      </c>
      <c r="E166" s="1">
        <v>12</v>
      </c>
      <c r="F166" s="1">
        <v>290.41000000000003</v>
      </c>
      <c r="G166" s="1">
        <v>47.22</v>
      </c>
      <c r="H166">
        <f t="shared" si="2"/>
        <v>3484.92</v>
      </c>
    </row>
    <row r="167" spans="1:8" x14ac:dyDescent="0.25">
      <c r="A167" s="1" t="s">
        <v>180</v>
      </c>
      <c r="B167" s="5">
        <v>45664.875</v>
      </c>
      <c r="C167" s="1" t="s">
        <v>13</v>
      </c>
      <c r="D167" s="1" t="s">
        <v>16</v>
      </c>
      <c r="E167" s="1">
        <v>16</v>
      </c>
      <c r="F167" s="1">
        <v>390.42</v>
      </c>
      <c r="G167" s="1">
        <v>5.56</v>
      </c>
      <c r="H167">
        <f t="shared" si="2"/>
        <v>6246.72</v>
      </c>
    </row>
    <row r="168" spans="1:8" x14ac:dyDescent="0.25">
      <c r="A168" s="1" t="s">
        <v>181</v>
      </c>
      <c r="B168" s="5">
        <v>45664.916666666664</v>
      </c>
      <c r="C168" s="1" t="s">
        <v>11</v>
      </c>
      <c r="D168" s="1" t="s">
        <v>37</v>
      </c>
      <c r="E168" s="1">
        <v>8</v>
      </c>
      <c r="F168" s="1">
        <v>50.2</v>
      </c>
      <c r="G168" s="1">
        <v>12.75</v>
      </c>
      <c r="H168">
        <f t="shared" si="2"/>
        <v>401.6</v>
      </c>
    </row>
    <row r="169" spans="1:8" x14ac:dyDescent="0.25">
      <c r="A169" s="1" t="s">
        <v>182</v>
      </c>
      <c r="B169" s="5">
        <v>45664.958333333336</v>
      </c>
      <c r="C169" s="1" t="s">
        <v>8</v>
      </c>
      <c r="D169" s="1" t="s">
        <v>37</v>
      </c>
      <c r="E169" s="1">
        <v>9</v>
      </c>
      <c r="F169" s="1">
        <v>353.53</v>
      </c>
      <c r="G169" s="1">
        <v>41.91</v>
      </c>
      <c r="H169">
        <f t="shared" si="2"/>
        <v>3181.7699999999995</v>
      </c>
    </row>
    <row r="170" spans="1:8" x14ac:dyDescent="0.25">
      <c r="A170" s="1" t="s">
        <v>183</v>
      </c>
      <c r="B170" s="5">
        <v>45665</v>
      </c>
      <c r="C170" s="1" t="s">
        <v>8</v>
      </c>
      <c r="D170" s="1" t="s">
        <v>37</v>
      </c>
      <c r="E170" s="1">
        <v>15</v>
      </c>
      <c r="F170" s="1">
        <v>229.72</v>
      </c>
      <c r="G170" s="1">
        <v>20.079999999999998</v>
      </c>
      <c r="H170">
        <f t="shared" si="2"/>
        <v>3445.8</v>
      </c>
    </row>
    <row r="171" spans="1:8" x14ac:dyDescent="0.25">
      <c r="A171" s="1" t="s">
        <v>184</v>
      </c>
      <c r="B171" s="5">
        <v>45665.041666666664</v>
      </c>
      <c r="C171" s="1" t="s">
        <v>23</v>
      </c>
      <c r="D171" s="1" t="s">
        <v>16</v>
      </c>
      <c r="E171" s="1">
        <v>5</v>
      </c>
      <c r="F171" s="1">
        <v>260.61</v>
      </c>
      <c r="G171" s="1">
        <v>9.3000000000000007</v>
      </c>
      <c r="H171">
        <f t="shared" si="2"/>
        <v>1303.0500000000002</v>
      </c>
    </row>
    <row r="172" spans="1:8" x14ac:dyDescent="0.25">
      <c r="A172" s="1" t="s">
        <v>185</v>
      </c>
      <c r="B172" s="5">
        <v>45665.083333333336</v>
      </c>
      <c r="C172" s="1" t="s">
        <v>11</v>
      </c>
      <c r="D172" s="1" t="s">
        <v>16</v>
      </c>
      <c r="E172" s="1">
        <v>13</v>
      </c>
      <c r="F172" s="1">
        <v>299.63</v>
      </c>
      <c r="G172" s="1">
        <v>40.32</v>
      </c>
      <c r="H172">
        <f t="shared" si="2"/>
        <v>3895.19</v>
      </c>
    </row>
    <row r="173" spans="1:8" x14ac:dyDescent="0.25">
      <c r="A173" s="1" t="s">
        <v>186</v>
      </c>
      <c r="B173" s="5">
        <v>45665.125</v>
      </c>
      <c r="C173" s="1" t="s">
        <v>13</v>
      </c>
      <c r="D173" s="1" t="s">
        <v>37</v>
      </c>
      <c r="E173" s="1">
        <v>5</v>
      </c>
      <c r="F173" s="1">
        <v>416.38</v>
      </c>
      <c r="G173" s="1">
        <v>25.46</v>
      </c>
      <c r="H173">
        <f t="shared" si="2"/>
        <v>2081.9</v>
      </c>
    </row>
    <row r="174" spans="1:8" x14ac:dyDescent="0.25">
      <c r="A174" s="1" t="s">
        <v>187</v>
      </c>
      <c r="B174" s="5">
        <v>45665.166666666664</v>
      </c>
      <c r="C174" s="1" t="s">
        <v>8</v>
      </c>
      <c r="D174" s="1" t="s">
        <v>16</v>
      </c>
      <c r="E174" s="1">
        <v>11</v>
      </c>
      <c r="F174" s="1">
        <v>40.14</v>
      </c>
      <c r="G174" s="1">
        <v>27.16</v>
      </c>
      <c r="H174">
        <f t="shared" si="2"/>
        <v>441.54</v>
      </c>
    </row>
    <row r="175" spans="1:8" x14ac:dyDescent="0.25">
      <c r="A175" s="1" t="s">
        <v>188</v>
      </c>
      <c r="B175" s="5">
        <v>45665.208333333336</v>
      </c>
      <c r="C175" s="1" t="s">
        <v>11</v>
      </c>
      <c r="D175" s="1" t="s">
        <v>16</v>
      </c>
      <c r="E175" s="1">
        <v>10</v>
      </c>
      <c r="F175" s="1">
        <v>28.31</v>
      </c>
      <c r="G175" s="1">
        <v>13.39</v>
      </c>
      <c r="H175">
        <f t="shared" si="2"/>
        <v>283.09999999999997</v>
      </c>
    </row>
    <row r="176" spans="1:8" x14ac:dyDescent="0.25">
      <c r="A176" s="1" t="s">
        <v>189</v>
      </c>
      <c r="B176" s="5">
        <v>45665.25</v>
      </c>
      <c r="C176" s="1" t="s">
        <v>11</v>
      </c>
      <c r="D176" s="1" t="s">
        <v>16</v>
      </c>
      <c r="E176" s="1">
        <v>13</v>
      </c>
      <c r="F176" s="1">
        <v>92.95</v>
      </c>
      <c r="G176" s="1">
        <v>34.74</v>
      </c>
      <c r="H176">
        <f t="shared" si="2"/>
        <v>1208.3500000000001</v>
      </c>
    </row>
    <row r="177" spans="1:8" x14ac:dyDescent="0.25">
      <c r="A177" s="1" t="s">
        <v>190</v>
      </c>
      <c r="B177" s="5">
        <v>45665.291666666664</v>
      </c>
      <c r="C177" s="1" t="s">
        <v>23</v>
      </c>
      <c r="D177" s="1" t="s">
        <v>37</v>
      </c>
      <c r="E177" s="1">
        <v>9</v>
      </c>
      <c r="F177" s="1">
        <v>444.11</v>
      </c>
      <c r="G177" s="1">
        <v>29.81</v>
      </c>
      <c r="H177">
        <f t="shared" si="2"/>
        <v>3996.9900000000002</v>
      </c>
    </row>
    <row r="178" spans="1:8" x14ac:dyDescent="0.25">
      <c r="A178" s="1" t="s">
        <v>191</v>
      </c>
      <c r="B178" s="5">
        <v>45665.333333333336</v>
      </c>
      <c r="C178" s="1" t="s">
        <v>8</v>
      </c>
      <c r="D178" s="1" t="s">
        <v>37</v>
      </c>
      <c r="E178" s="1">
        <v>14</v>
      </c>
      <c r="F178" s="1">
        <v>326.2</v>
      </c>
      <c r="G178" s="1">
        <v>14.3</v>
      </c>
      <c r="H178">
        <f t="shared" si="2"/>
        <v>4566.8</v>
      </c>
    </row>
    <row r="179" spans="1:8" x14ac:dyDescent="0.25">
      <c r="A179" s="1" t="s">
        <v>192</v>
      </c>
      <c r="B179" s="5">
        <v>45665.375</v>
      </c>
      <c r="C179" s="1" t="s">
        <v>8</v>
      </c>
      <c r="D179" s="1" t="s">
        <v>37</v>
      </c>
      <c r="E179" s="1">
        <v>18</v>
      </c>
      <c r="F179" s="1">
        <v>282.56</v>
      </c>
      <c r="G179" s="1">
        <v>20.309999999999999</v>
      </c>
      <c r="H179">
        <f t="shared" si="2"/>
        <v>5086.08</v>
      </c>
    </row>
    <row r="180" spans="1:8" x14ac:dyDescent="0.25">
      <c r="A180" s="1" t="s">
        <v>193</v>
      </c>
      <c r="B180" s="5">
        <v>45665.416666666664</v>
      </c>
      <c r="C180" s="1" t="s">
        <v>13</v>
      </c>
      <c r="D180" s="1" t="s">
        <v>16</v>
      </c>
      <c r="E180" s="1">
        <v>15</v>
      </c>
      <c r="F180" s="1">
        <v>35.94</v>
      </c>
      <c r="G180" s="1">
        <v>31.86</v>
      </c>
      <c r="H180">
        <f t="shared" si="2"/>
        <v>539.09999999999991</v>
      </c>
    </row>
    <row r="181" spans="1:8" x14ac:dyDescent="0.25">
      <c r="A181" s="1" t="s">
        <v>194</v>
      </c>
      <c r="B181" s="5">
        <v>45665.458333333336</v>
      </c>
      <c r="C181" s="1" t="s">
        <v>8</v>
      </c>
      <c r="D181" s="1" t="s">
        <v>37</v>
      </c>
      <c r="E181" s="1">
        <v>10</v>
      </c>
      <c r="F181" s="1">
        <v>397.47</v>
      </c>
      <c r="G181" s="1">
        <v>46.62</v>
      </c>
      <c r="H181">
        <f t="shared" si="2"/>
        <v>3974.7000000000003</v>
      </c>
    </row>
    <row r="182" spans="1:8" x14ac:dyDescent="0.25">
      <c r="A182" s="1" t="s">
        <v>195</v>
      </c>
      <c r="B182" s="5">
        <v>45665.5</v>
      </c>
      <c r="C182" s="1" t="s">
        <v>13</v>
      </c>
      <c r="D182" s="1" t="s">
        <v>16</v>
      </c>
      <c r="E182" s="1">
        <v>7</v>
      </c>
      <c r="F182" s="1">
        <v>368.64</v>
      </c>
      <c r="G182" s="1">
        <v>46.42</v>
      </c>
      <c r="H182">
        <f t="shared" si="2"/>
        <v>2580.48</v>
      </c>
    </row>
    <row r="183" spans="1:8" x14ac:dyDescent="0.25">
      <c r="A183" s="1" t="s">
        <v>196</v>
      </c>
      <c r="B183" s="5">
        <v>45665.541666666664</v>
      </c>
      <c r="C183" s="1" t="s">
        <v>8</v>
      </c>
      <c r="D183" s="1" t="s">
        <v>19</v>
      </c>
      <c r="E183" s="1">
        <v>8</v>
      </c>
      <c r="F183" s="1">
        <v>304.36</v>
      </c>
      <c r="G183" s="1">
        <v>17.96</v>
      </c>
      <c r="H183">
        <f t="shared" si="2"/>
        <v>2434.88</v>
      </c>
    </row>
    <row r="184" spans="1:8" x14ac:dyDescent="0.25">
      <c r="A184" s="1" t="s">
        <v>197</v>
      </c>
      <c r="B184" s="5">
        <v>45665.583333333336</v>
      </c>
      <c r="C184" s="1" t="s">
        <v>23</v>
      </c>
      <c r="D184" s="1" t="s">
        <v>16</v>
      </c>
      <c r="E184" s="1">
        <v>3</v>
      </c>
      <c r="F184" s="1">
        <v>162.85</v>
      </c>
      <c r="G184" s="1">
        <v>38.1</v>
      </c>
      <c r="H184">
        <f t="shared" si="2"/>
        <v>488.54999999999995</v>
      </c>
    </row>
    <row r="185" spans="1:8" x14ac:dyDescent="0.25">
      <c r="A185" s="1" t="s">
        <v>198</v>
      </c>
      <c r="B185" s="5">
        <v>45665.625</v>
      </c>
      <c r="C185" s="1" t="s">
        <v>8</v>
      </c>
      <c r="D185" s="1" t="s">
        <v>9</v>
      </c>
      <c r="E185" s="1">
        <v>15</v>
      </c>
      <c r="F185" s="1">
        <v>46.13</v>
      </c>
      <c r="G185" s="1">
        <v>39.9</v>
      </c>
      <c r="H185">
        <f t="shared" si="2"/>
        <v>691.95</v>
      </c>
    </row>
    <row r="186" spans="1:8" x14ac:dyDescent="0.25">
      <c r="A186" s="1" t="s">
        <v>199</v>
      </c>
      <c r="B186" s="5">
        <v>45665.666666666664</v>
      </c>
      <c r="C186" s="1" t="s">
        <v>13</v>
      </c>
      <c r="D186" s="1" t="s">
        <v>37</v>
      </c>
      <c r="E186" s="1">
        <v>16</v>
      </c>
      <c r="F186" s="1">
        <v>267.52999999999997</v>
      </c>
      <c r="G186" s="1">
        <v>41.4</v>
      </c>
      <c r="H186">
        <f t="shared" si="2"/>
        <v>4280.4799999999996</v>
      </c>
    </row>
    <row r="187" spans="1:8" x14ac:dyDescent="0.25">
      <c r="A187" s="1" t="s">
        <v>200</v>
      </c>
      <c r="B187" s="5">
        <v>45665.708333333336</v>
      </c>
      <c r="C187" s="1" t="s">
        <v>13</v>
      </c>
      <c r="D187" s="1" t="s">
        <v>37</v>
      </c>
      <c r="E187" s="1">
        <v>4</v>
      </c>
      <c r="F187" s="1">
        <v>328.21</v>
      </c>
      <c r="G187" s="1">
        <v>30.68</v>
      </c>
      <c r="H187">
        <f t="shared" si="2"/>
        <v>1312.84</v>
      </c>
    </row>
    <row r="188" spans="1:8" x14ac:dyDescent="0.25">
      <c r="A188" s="1" t="s">
        <v>201</v>
      </c>
      <c r="B188" s="5">
        <v>45665.75</v>
      </c>
      <c r="C188" s="1" t="s">
        <v>23</v>
      </c>
      <c r="D188" s="1" t="s">
        <v>9</v>
      </c>
      <c r="E188" s="1">
        <v>6</v>
      </c>
      <c r="F188" s="1">
        <v>56.45</v>
      </c>
      <c r="G188" s="1">
        <v>5.47</v>
      </c>
      <c r="H188">
        <f t="shared" si="2"/>
        <v>338.70000000000005</v>
      </c>
    </row>
    <row r="189" spans="1:8" x14ac:dyDescent="0.25">
      <c r="A189" s="1" t="s">
        <v>202</v>
      </c>
      <c r="B189" s="5">
        <v>45665.791666666664</v>
      </c>
      <c r="C189" s="1" t="s">
        <v>8</v>
      </c>
      <c r="D189" s="1" t="s">
        <v>16</v>
      </c>
      <c r="E189" s="1">
        <v>1</v>
      </c>
      <c r="F189" s="1">
        <v>290.87</v>
      </c>
      <c r="G189" s="1">
        <v>39.28</v>
      </c>
      <c r="H189">
        <f t="shared" si="2"/>
        <v>290.87</v>
      </c>
    </row>
    <row r="190" spans="1:8" x14ac:dyDescent="0.25">
      <c r="A190" s="1" t="s">
        <v>203</v>
      </c>
      <c r="B190" s="5">
        <v>45665.833333333336</v>
      </c>
      <c r="C190" s="1" t="s">
        <v>8</v>
      </c>
      <c r="D190" s="1" t="s">
        <v>19</v>
      </c>
      <c r="E190" s="1">
        <v>4</v>
      </c>
      <c r="F190" s="1">
        <v>139.93</v>
      </c>
      <c r="G190" s="1">
        <v>9.8000000000000007</v>
      </c>
      <c r="H190">
        <f t="shared" si="2"/>
        <v>559.72</v>
      </c>
    </row>
    <row r="191" spans="1:8" x14ac:dyDescent="0.25">
      <c r="A191" s="1" t="s">
        <v>204</v>
      </c>
      <c r="B191" s="5">
        <v>45665.875</v>
      </c>
      <c r="C191" s="1" t="s">
        <v>23</v>
      </c>
      <c r="D191" s="1" t="s">
        <v>9</v>
      </c>
      <c r="E191" s="1">
        <v>11</v>
      </c>
      <c r="F191" s="1">
        <v>347.56</v>
      </c>
      <c r="G191" s="1">
        <v>10.26</v>
      </c>
      <c r="H191">
        <f t="shared" si="2"/>
        <v>3823.16</v>
      </c>
    </row>
    <row r="192" spans="1:8" x14ac:dyDescent="0.25">
      <c r="A192" s="1" t="s">
        <v>205</v>
      </c>
      <c r="B192" s="5">
        <v>45665.916666666664</v>
      </c>
      <c r="C192" s="1" t="s">
        <v>8</v>
      </c>
      <c r="D192" s="1" t="s">
        <v>9</v>
      </c>
      <c r="E192" s="1">
        <v>12</v>
      </c>
      <c r="F192" s="1">
        <v>249.96</v>
      </c>
      <c r="G192" s="1">
        <v>32.25</v>
      </c>
      <c r="H192">
        <f t="shared" si="2"/>
        <v>2999.52</v>
      </c>
    </row>
    <row r="193" spans="1:8" x14ac:dyDescent="0.25">
      <c r="A193" s="1" t="s">
        <v>206</v>
      </c>
      <c r="B193" s="5">
        <v>45665.958333333336</v>
      </c>
      <c r="C193" s="1" t="s">
        <v>8</v>
      </c>
      <c r="D193" s="1" t="s">
        <v>16</v>
      </c>
      <c r="E193" s="1">
        <v>5</v>
      </c>
      <c r="F193" s="1">
        <v>71.569999999999993</v>
      </c>
      <c r="G193" s="1">
        <v>49.26</v>
      </c>
      <c r="H193">
        <f t="shared" si="2"/>
        <v>357.84999999999997</v>
      </c>
    </row>
    <row r="194" spans="1:8" x14ac:dyDescent="0.25">
      <c r="A194" s="1" t="s">
        <v>207</v>
      </c>
      <c r="B194" s="5">
        <v>45666</v>
      </c>
      <c r="C194" s="1" t="s">
        <v>13</v>
      </c>
      <c r="D194" s="1" t="s">
        <v>37</v>
      </c>
      <c r="E194" s="1">
        <v>16</v>
      </c>
      <c r="F194" s="1">
        <v>244.27</v>
      </c>
      <c r="G194" s="1">
        <v>15.91</v>
      </c>
      <c r="H194">
        <f t="shared" ref="H194:H257" si="3">E194*F194</f>
        <v>3908.32</v>
      </c>
    </row>
    <row r="195" spans="1:8" x14ac:dyDescent="0.25">
      <c r="A195" s="1" t="s">
        <v>208</v>
      </c>
      <c r="B195" s="5">
        <v>45666.041666666664</v>
      </c>
      <c r="C195" s="1" t="s">
        <v>8</v>
      </c>
      <c r="D195" s="1" t="s">
        <v>16</v>
      </c>
      <c r="E195" s="1">
        <v>13</v>
      </c>
      <c r="F195" s="1">
        <v>187.45</v>
      </c>
      <c r="G195" s="1">
        <v>34.06</v>
      </c>
      <c r="H195">
        <f t="shared" si="3"/>
        <v>2436.85</v>
      </c>
    </row>
    <row r="196" spans="1:8" x14ac:dyDescent="0.25">
      <c r="A196" s="1" t="s">
        <v>209</v>
      </c>
      <c r="B196" s="5">
        <v>45666.083333333336</v>
      </c>
      <c r="C196" s="1" t="s">
        <v>8</v>
      </c>
      <c r="D196" s="1" t="s">
        <v>9</v>
      </c>
      <c r="E196" s="1">
        <v>13</v>
      </c>
      <c r="F196" s="1">
        <v>93.86</v>
      </c>
      <c r="G196" s="1">
        <v>18.66</v>
      </c>
      <c r="H196">
        <f t="shared" si="3"/>
        <v>1220.18</v>
      </c>
    </row>
    <row r="197" spans="1:8" x14ac:dyDescent="0.25">
      <c r="A197" s="1" t="s">
        <v>210</v>
      </c>
      <c r="B197" s="5">
        <v>45666.125</v>
      </c>
      <c r="C197" s="1" t="s">
        <v>23</v>
      </c>
      <c r="D197" s="1" t="s">
        <v>9</v>
      </c>
      <c r="E197" s="1">
        <v>17</v>
      </c>
      <c r="F197" s="1">
        <v>381.14</v>
      </c>
      <c r="G197" s="1">
        <v>45.44</v>
      </c>
      <c r="H197">
        <f t="shared" si="3"/>
        <v>6479.38</v>
      </c>
    </row>
    <row r="198" spans="1:8" x14ac:dyDescent="0.25">
      <c r="A198" s="1" t="s">
        <v>211</v>
      </c>
      <c r="B198" s="5">
        <v>45666.166666666664</v>
      </c>
      <c r="C198" s="1" t="s">
        <v>23</v>
      </c>
      <c r="D198" s="1" t="s">
        <v>37</v>
      </c>
      <c r="E198" s="1">
        <v>7</v>
      </c>
      <c r="F198" s="1">
        <v>20.29</v>
      </c>
      <c r="G198" s="1">
        <v>31.71</v>
      </c>
      <c r="H198">
        <f t="shared" si="3"/>
        <v>142.03</v>
      </c>
    </row>
    <row r="199" spans="1:8" x14ac:dyDescent="0.25">
      <c r="A199" s="1" t="s">
        <v>212</v>
      </c>
      <c r="B199" s="5">
        <v>45666.208333333336</v>
      </c>
      <c r="C199" s="1" t="s">
        <v>11</v>
      </c>
      <c r="D199" s="1" t="s">
        <v>37</v>
      </c>
      <c r="E199" s="1">
        <v>8</v>
      </c>
      <c r="F199" s="1">
        <v>151.12</v>
      </c>
      <c r="G199" s="1">
        <v>14.34</v>
      </c>
      <c r="H199">
        <f t="shared" si="3"/>
        <v>1208.96</v>
      </c>
    </row>
    <row r="200" spans="1:8" x14ac:dyDescent="0.25">
      <c r="A200" s="1" t="s">
        <v>213</v>
      </c>
      <c r="B200" s="5">
        <v>45666.25</v>
      </c>
      <c r="C200" s="1" t="s">
        <v>13</v>
      </c>
      <c r="D200" s="1" t="s">
        <v>37</v>
      </c>
      <c r="E200" s="1">
        <v>13</v>
      </c>
      <c r="F200" s="1">
        <v>20.97</v>
      </c>
      <c r="G200" s="1">
        <v>16.8</v>
      </c>
      <c r="H200">
        <f t="shared" si="3"/>
        <v>272.61</v>
      </c>
    </row>
    <row r="201" spans="1:8" x14ac:dyDescent="0.25">
      <c r="A201" s="1" t="s">
        <v>214</v>
      </c>
      <c r="B201" s="5">
        <v>45666.291666666664</v>
      </c>
      <c r="C201" s="1" t="s">
        <v>8</v>
      </c>
      <c r="D201" s="1" t="s">
        <v>16</v>
      </c>
      <c r="E201" s="1">
        <v>16</v>
      </c>
      <c r="F201" s="1">
        <v>57.22</v>
      </c>
      <c r="G201" s="1">
        <v>24.46</v>
      </c>
      <c r="H201">
        <f t="shared" si="3"/>
        <v>915.52</v>
      </c>
    </row>
    <row r="202" spans="1:8" x14ac:dyDescent="0.25">
      <c r="A202" s="1" t="s">
        <v>215</v>
      </c>
      <c r="B202" s="5">
        <v>45666.333333333336</v>
      </c>
      <c r="C202" s="1" t="s">
        <v>8</v>
      </c>
      <c r="D202" s="1" t="s">
        <v>37</v>
      </c>
      <c r="E202" s="1">
        <v>4</v>
      </c>
      <c r="F202" s="1">
        <v>144.59</v>
      </c>
      <c r="G202" s="1">
        <v>10.49</v>
      </c>
      <c r="H202">
        <f t="shared" si="3"/>
        <v>578.36</v>
      </c>
    </row>
    <row r="203" spans="1:8" x14ac:dyDescent="0.25">
      <c r="A203" s="1" t="s">
        <v>216</v>
      </c>
      <c r="B203" s="5">
        <v>45666.375</v>
      </c>
      <c r="C203" s="1" t="s">
        <v>11</v>
      </c>
      <c r="D203" s="1" t="s">
        <v>9</v>
      </c>
      <c r="E203" s="1">
        <v>8</v>
      </c>
      <c r="F203" s="1">
        <v>39.08</v>
      </c>
      <c r="G203" s="1">
        <v>8.5399999999999991</v>
      </c>
      <c r="H203">
        <f t="shared" si="3"/>
        <v>312.64</v>
      </c>
    </row>
    <row r="204" spans="1:8" x14ac:dyDescent="0.25">
      <c r="A204" s="1" t="s">
        <v>217</v>
      </c>
      <c r="B204" s="5">
        <v>45666.416666666664</v>
      </c>
      <c r="C204" s="1" t="s">
        <v>8</v>
      </c>
      <c r="D204" s="1" t="s">
        <v>9</v>
      </c>
      <c r="E204" s="1">
        <v>16</v>
      </c>
      <c r="F204" s="1">
        <v>274.74</v>
      </c>
      <c r="G204" s="1">
        <v>35.6</v>
      </c>
      <c r="H204">
        <f t="shared" si="3"/>
        <v>4395.84</v>
      </c>
    </row>
    <row r="205" spans="1:8" x14ac:dyDescent="0.25">
      <c r="A205" s="1" t="s">
        <v>218</v>
      </c>
      <c r="B205" s="5">
        <v>45666.458333333336</v>
      </c>
      <c r="C205" s="1" t="s">
        <v>13</v>
      </c>
      <c r="D205" s="1" t="s">
        <v>19</v>
      </c>
      <c r="E205" s="1">
        <v>10</v>
      </c>
      <c r="F205" s="1">
        <v>53.24</v>
      </c>
      <c r="G205" s="1">
        <v>23.32</v>
      </c>
      <c r="H205">
        <f t="shared" si="3"/>
        <v>532.4</v>
      </c>
    </row>
    <row r="206" spans="1:8" x14ac:dyDescent="0.25">
      <c r="A206" s="1" t="s">
        <v>219</v>
      </c>
      <c r="B206" s="5">
        <v>45666.5</v>
      </c>
      <c r="C206" s="1" t="s">
        <v>11</v>
      </c>
      <c r="D206" s="1" t="s">
        <v>16</v>
      </c>
      <c r="E206" s="1">
        <v>12</v>
      </c>
      <c r="F206" s="1">
        <v>320.39</v>
      </c>
      <c r="G206" s="1">
        <v>37.68</v>
      </c>
      <c r="H206">
        <f t="shared" si="3"/>
        <v>3844.68</v>
      </c>
    </row>
    <row r="207" spans="1:8" x14ac:dyDescent="0.25">
      <c r="A207" s="1" t="s">
        <v>220</v>
      </c>
      <c r="B207" s="5">
        <v>45666.541666666664</v>
      </c>
      <c r="C207" s="1" t="s">
        <v>13</v>
      </c>
      <c r="D207" s="1" t="s">
        <v>19</v>
      </c>
      <c r="E207" s="1">
        <v>12</v>
      </c>
      <c r="F207" s="1">
        <v>38.369999999999997</v>
      </c>
      <c r="G207" s="1">
        <v>9.9499999999999993</v>
      </c>
      <c r="H207">
        <f t="shared" si="3"/>
        <v>460.43999999999994</v>
      </c>
    </row>
    <row r="208" spans="1:8" x14ac:dyDescent="0.25">
      <c r="A208" s="1" t="s">
        <v>221</v>
      </c>
      <c r="B208" s="5">
        <v>45666.583333333336</v>
      </c>
      <c r="C208" s="1" t="s">
        <v>11</v>
      </c>
      <c r="D208" s="1" t="s">
        <v>9</v>
      </c>
      <c r="E208" s="1">
        <v>5</v>
      </c>
      <c r="F208" s="1">
        <v>41.27</v>
      </c>
      <c r="G208" s="1">
        <v>32.44</v>
      </c>
      <c r="H208">
        <f t="shared" si="3"/>
        <v>206.35000000000002</v>
      </c>
    </row>
    <row r="209" spans="1:8" x14ac:dyDescent="0.25">
      <c r="A209" s="1" t="s">
        <v>222</v>
      </c>
      <c r="B209" s="5">
        <v>45666.625</v>
      </c>
      <c r="C209" s="1" t="s">
        <v>11</v>
      </c>
      <c r="D209" s="1" t="s">
        <v>19</v>
      </c>
      <c r="E209" s="1">
        <v>16</v>
      </c>
      <c r="F209" s="1">
        <v>148.16</v>
      </c>
      <c r="G209" s="1">
        <v>24.95</v>
      </c>
      <c r="H209">
        <f t="shared" si="3"/>
        <v>2370.56</v>
      </c>
    </row>
    <row r="210" spans="1:8" x14ac:dyDescent="0.25">
      <c r="A210" s="1" t="s">
        <v>223</v>
      </c>
      <c r="B210" s="5">
        <v>45666.666666666664</v>
      </c>
      <c r="C210" s="1" t="s">
        <v>23</v>
      </c>
      <c r="D210" s="1" t="s">
        <v>9</v>
      </c>
      <c r="E210" s="1">
        <v>1</v>
      </c>
      <c r="F210" s="1">
        <v>405.06</v>
      </c>
      <c r="G210" s="1">
        <v>7.61</v>
      </c>
      <c r="H210">
        <f t="shared" si="3"/>
        <v>405.06</v>
      </c>
    </row>
    <row r="211" spans="1:8" x14ac:dyDescent="0.25">
      <c r="A211" s="1" t="s">
        <v>224</v>
      </c>
      <c r="B211" s="5">
        <v>45666.708333333336</v>
      </c>
      <c r="C211" s="1" t="s">
        <v>13</v>
      </c>
      <c r="D211" s="1" t="s">
        <v>19</v>
      </c>
      <c r="E211" s="1">
        <v>9</v>
      </c>
      <c r="F211" s="1">
        <v>294.19</v>
      </c>
      <c r="G211" s="1">
        <v>29.52</v>
      </c>
      <c r="H211">
        <f t="shared" si="3"/>
        <v>2647.71</v>
      </c>
    </row>
    <row r="212" spans="1:8" x14ac:dyDescent="0.25">
      <c r="A212" s="1" t="s">
        <v>225</v>
      </c>
      <c r="B212" s="5">
        <v>45666.75</v>
      </c>
      <c r="C212" s="1" t="s">
        <v>8</v>
      </c>
      <c r="D212" s="1" t="s">
        <v>37</v>
      </c>
      <c r="E212" s="1">
        <v>12</v>
      </c>
      <c r="F212" s="1">
        <v>350.12</v>
      </c>
      <c r="G212" s="1">
        <v>8.73</v>
      </c>
      <c r="H212">
        <f t="shared" si="3"/>
        <v>4201.4400000000005</v>
      </c>
    </row>
    <row r="213" spans="1:8" x14ac:dyDescent="0.25">
      <c r="A213" s="1" t="s">
        <v>226</v>
      </c>
      <c r="B213" s="5">
        <v>45666.791666666664</v>
      </c>
      <c r="C213" s="1" t="s">
        <v>8</v>
      </c>
      <c r="D213" s="1" t="s">
        <v>19</v>
      </c>
      <c r="E213" s="1">
        <v>5</v>
      </c>
      <c r="F213" s="1">
        <v>77</v>
      </c>
      <c r="G213" s="1">
        <v>42.25</v>
      </c>
      <c r="H213">
        <f t="shared" si="3"/>
        <v>385</v>
      </c>
    </row>
    <row r="214" spans="1:8" x14ac:dyDescent="0.25">
      <c r="A214" s="1" t="s">
        <v>227</v>
      </c>
      <c r="B214" s="5">
        <v>45666.833333333336</v>
      </c>
      <c r="C214" s="1" t="s">
        <v>13</v>
      </c>
      <c r="D214" s="1" t="s">
        <v>37</v>
      </c>
      <c r="E214" s="1">
        <v>3</v>
      </c>
      <c r="F214" s="1">
        <v>377.93</v>
      </c>
      <c r="G214" s="1">
        <v>33.44</v>
      </c>
      <c r="H214">
        <f t="shared" si="3"/>
        <v>1133.79</v>
      </c>
    </row>
    <row r="215" spans="1:8" x14ac:dyDescent="0.25">
      <c r="A215" s="1" t="s">
        <v>228</v>
      </c>
      <c r="B215" s="5">
        <v>45666.875</v>
      </c>
      <c r="C215" s="1" t="s">
        <v>8</v>
      </c>
      <c r="D215" s="1" t="s">
        <v>37</v>
      </c>
      <c r="E215" s="1">
        <v>5</v>
      </c>
      <c r="F215" s="1">
        <v>19.04</v>
      </c>
      <c r="G215" s="1">
        <v>30.06</v>
      </c>
      <c r="H215">
        <f t="shared" si="3"/>
        <v>95.199999999999989</v>
      </c>
    </row>
    <row r="216" spans="1:8" x14ac:dyDescent="0.25">
      <c r="A216" s="1" t="s">
        <v>229</v>
      </c>
      <c r="B216" s="5">
        <v>45666.916666666664</v>
      </c>
      <c r="C216" s="1" t="s">
        <v>8</v>
      </c>
      <c r="D216" s="1" t="s">
        <v>16</v>
      </c>
      <c r="E216" s="1">
        <v>2</v>
      </c>
      <c r="F216" s="1">
        <v>108.07</v>
      </c>
      <c r="G216" s="1">
        <v>11.01</v>
      </c>
      <c r="H216">
        <f t="shared" si="3"/>
        <v>216.14</v>
      </c>
    </row>
    <row r="217" spans="1:8" x14ac:dyDescent="0.25">
      <c r="A217" s="1" t="s">
        <v>230</v>
      </c>
      <c r="B217" s="5">
        <v>45666.958333333336</v>
      </c>
      <c r="C217" s="1" t="s">
        <v>13</v>
      </c>
      <c r="D217" s="1" t="s">
        <v>37</v>
      </c>
      <c r="E217" s="1">
        <v>14</v>
      </c>
      <c r="F217" s="1">
        <v>283.19</v>
      </c>
      <c r="G217" s="1">
        <v>17.940000000000001</v>
      </c>
      <c r="H217">
        <f t="shared" si="3"/>
        <v>3964.66</v>
      </c>
    </row>
    <row r="218" spans="1:8" x14ac:dyDescent="0.25">
      <c r="A218" s="1" t="s">
        <v>231</v>
      </c>
      <c r="B218" s="5">
        <v>45667</v>
      </c>
      <c r="C218" s="1" t="s">
        <v>11</v>
      </c>
      <c r="D218" s="1" t="s">
        <v>37</v>
      </c>
      <c r="E218" s="1">
        <v>2</v>
      </c>
      <c r="F218" s="1">
        <v>178.54</v>
      </c>
      <c r="G218" s="1">
        <v>27.18</v>
      </c>
      <c r="H218">
        <f t="shared" si="3"/>
        <v>357.08</v>
      </c>
    </row>
    <row r="219" spans="1:8" x14ac:dyDescent="0.25">
      <c r="A219" s="1" t="s">
        <v>232</v>
      </c>
      <c r="B219" s="5">
        <v>45667.041666666664</v>
      </c>
      <c r="C219" s="1" t="s">
        <v>13</v>
      </c>
      <c r="D219" s="1" t="s">
        <v>19</v>
      </c>
      <c r="E219" s="1">
        <v>13</v>
      </c>
      <c r="F219" s="1">
        <v>443.13</v>
      </c>
      <c r="G219" s="1">
        <v>33.5</v>
      </c>
      <c r="H219">
        <f t="shared" si="3"/>
        <v>5760.69</v>
      </c>
    </row>
    <row r="220" spans="1:8" x14ac:dyDescent="0.25">
      <c r="A220" s="1" t="s">
        <v>233</v>
      </c>
      <c r="B220" s="5">
        <v>45667.083333333336</v>
      </c>
      <c r="C220" s="1" t="s">
        <v>11</v>
      </c>
      <c r="D220" s="1" t="s">
        <v>9</v>
      </c>
      <c r="E220" s="1">
        <v>7</v>
      </c>
      <c r="F220" s="1">
        <v>28.68</v>
      </c>
      <c r="G220" s="1">
        <v>13.25</v>
      </c>
      <c r="H220">
        <f t="shared" si="3"/>
        <v>200.76</v>
      </c>
    </row>
    <row r="221" spans="1:8" x14ac:dyDescent="0.25">
      <c r="A221" s="1" t="s">
        <v>234</v>
      </c>
      <c r="B221" s="5">
        <v>45667.125</v>
      </c>
      <c r="C221" s="1" t="s">
        <v>8</v>
      </c>
      <c r="D221" s="1" t="s">
        <v>16</v>
      </c>
      <c r="E221" s="1">
        <v>10</v>
      </c>
      <c r="F221" s="1">
        <v>449.39</v>
      </c>
      <c r="G221" s="1">
        <v>5.4</v>
      </c>
      <c r="H221">
        <f t="shared" si="3"/>
        <v>4493.8999999999996</v>
      </c>
    </row>
    <row r="222" spans="1:8" x14ac:dyDescent="0.25">
      <c r="A222" s="1" t="s">
        <v>235</v>
      </c>
      <c r="B222" s="5">
        <v>45667.166666666664</v>
      </c>
      <c r="C222" s="1" t="s">
        <v>8</v>
      </c>
      <c r="D222" s="1" t="s">
        <v>37</v>
      </c>
      <c r="E222" s="1">
        <v>13</v>
      </c>
      <c r="F222" s="1">
        <v>286.47000000000003</v>
      </c>
      <c r="G222" s="1">
        <v>20.51</v>
      </c>
      <c r="H222">
        <f t="shared" si="3"/>
        <v>3724.1100000000006</v>
      </c>
    </row>
    <row r="223" spans="1:8" x14ac:dyDescent="0.25">
      <c r="A223" s="1" t="s">
        <v>236</v>
      </c>
      <c r="B223" s="5">
        <v>45667.208333333336</v>
      </c>
      <c r="C223" s="1" t="s">
        <v>8</v>
      </c>
      <c r="D223" s="1" t="s">
        <v>16</v>
      </c>
      <c r="E223" s="1">
        <v>16</v>
      </c>
      <c r="F223" s="1">
        <v>258.26</v>
      </c>
      <c r="G223" s="1">
        <v>26.73</v>
      </c>
      <c r="H223">
        <f t="shared" si="3"/>
        <v>4132.16</v>
      </c>
    </row>
    <row r="224" spans="1:8" x14ac:dyDescent="0.25">
      <c r="A224" s="1" t="s">
        <v>237</v>
      </c>
      <c r="B224" s="5">
        <v>45667.25</v>
      </c>
      <c r="C224" s="1" t="s">
        <v>23</v>
      </c>
      <c r="D224" s="1" t="s">
        <v>19</v>
      </c>
      <c r="E224" s="1">
        <v>14</v>
      </c>
      <c r="F224" s="1">
        <v>41.36</v>
      </c>
      <c r="G224" s="1">
        <v>13.3</v>
      </c>
      <c r="H224">
        <f t="shared" si="3"/>
        <v>579.04</v>
      </c>
    </row>
    <row r="225" spans="1:8" x14ac:dyDescent="0.25">
      <c r="A225" s="1" t="s">
        <v>238</v>
      </c>
      <c r="B225" s="5">
        <v>45667.291666666664</v>
      </c>
      <c r="C225" s="1" t="s">
        <v>11</v>
      </c>
      <c r="D225" s="1" t="s">
        <v>37</v>
      </c>
      <c r="E225" s="1">
        <v>11</v>
      </c>
      <c r="F225" s="1">
        <v>134.26</v>
      </c>
      <c r="G225" s="1">
        <v>27.15</v>
      </c>
      <c r="H225">
        <f t="shared" si="3"/>
        <v>1476.86</v>
      </c>
    </row>
    <row r="226" spans="1:8" x14ac:dyDescent="0.25">
      <c r="A226" s="1" t="s">
        <v>239</v>
      </c>
      <c r="B226" s="5">
        <v>45667.333333333336</v>
      </c>
      <c r="C226" s="1" t="s">
        <v>23</v>
      </c>
      <c r="D226" s="1" t="s">
        <v>19</v>
      </c>
      <c r="E226" s="1">
        <v>10</v>
      </c>
      <c r="F226" s="1">
        <v>417.27</v>
      </c>
      <c r="G226" s="1">
        <v>20.23</v>
      </c>
      <c r="H226">
        <f t="shared" si="3"/>
        <v>4172.7</v>
      </c>
    </row>
    <row r="227" spans="1:8" x14ac:dyDescent="0.25">
      <c r="A227" s="1" t="s">
        <v>240</v>
      </c>
      <c r="B227" s="5">
        <v>45667.375</v>
      </c>
      <c r="C227" s="1" t="s">
        <v>23</v>
      </c>
      <c r="D227" s="1" t="s">
        <v>16</v>
      </c>
      <c r="E227" s="1">
        <v>6</v>
      </c>
      <c r="F227" s="1">
        <v>169.42</v>
      </c>
      <c r="G227" s="1">
        <v>25.48</v>
      </c>
      <c r="H227">
        <f t="shared" si="3"/>
        <v>1016.52</v>
      </c>
    </row>
    <row r="228" spans="1:8" x14ac:dyDescent="0.25">
      <c r="A228" s="1" t="s">
        <v>241</v>
      </c>
      <c r="B228" s="5">
        <v>45667.416666666664</v>
      </c>
      <c r="C228" s="1" t="s">
        <v>13</v>
      </c>
      <c r="D228" s="1" t="s">
        <v>19</v>
      </c>
      <c r="E228" s="1">
        <v>4</v>
      </c>
      <c r="F228" s="1">
        <v>302.99</v>
      </c>
      <c r="G228" s="1">
        <v>20.64</v>
      </c>
      <c r="H228">
        <f t="shared" si="3"/>
        <v>1211.96</v>
      </c>
    </row>
    <row r="229" spans="1:8" x14ac:dyDescent="0.25">
      <c r="A229" s="1" t="s">
        <v>242</v>
      </c>
      <c r="B229" s="5">
        <v>45667.458333333336</v>
      </c>
      <c r="C229" s="1" t="s">
        <v>23</v>
      </c>
      <c r="D229" s="1" t="s">
        <v>16</v>
      </c>
      <c r="E229" s="1">
        <v>1</v>
      </c>
      <c r="F229" s="1">
        <v>449.78</v>
      </c>
      <c r="G229" s="1">
        <v>33.28</v>
      </c>
      <c r="H229">
        <f t="shared" si="3"/>
        <v>449.78</v>
      </c>
    </row>
    <row r="230" spans="1:8" x14ac:dyDescent="0.25">
      <c r="A230" s="1" t="s">
        <v>243</v>
      </c>
      <c r="B230" s="5">
        <v>45667.5</v>
      </c>
      <c r="C230" s="1" t="s">
        <v>13</v>
      </c>
      <c r="D230" s="1" t="s">
        <v>19</v>
      </c>
      <c r="E230" s="1">
        <v>7</v>
      </c>
      <c r="F230" s="1">
        <v>129.80000000000001</v>
      </c>
      <c r="G230" s="1">
        <v>6.93</v>
      </c>
      <c r="H230">
        <f t="shared" si="3"/>
        <v>908.60000000000014</v>
      </c>
    </row>
    <row r="231" spans="1:8" x14ac:dyDescent="0.25">
      <c r="A231" s="1" t="s">
        <v>244</v>
      </c>
      <c r="B231" s="5">
        <v>45667.541666666664</v>
      </c>
      <c r="C231" s="1" t="s">
        <v>13</v>
      </c>
      <c r="D231" s="1" t="s">
        <v>16</v>
      </c>
      <c r="E231" s="1">
        <v>9</v>
      </c>
      <c r="F231" s="1">
        <v>265.81</v>
      </c>
      <c r="G231" s="1">
        <v>12.69</v>
      </c>
      <c r="H231">
        <f t="shared" si="3"/>
        <v>2392.29</v>
      </c>
    </row>
    <row r="232" spans="1:8" x14ac:dyDescent="0.25">
      <c r="A232" s="1" t="s">
        <v>245</v>
      </c>
      <c r="B232" s="5">
        <v>45667.583333333336</v>
      </c>
      <c r="C232" s="1" t="s">
        <v>23</v>
      </c>
      <c r="D232" s="1" t="s">
        <v>9</v>
      </c>
      <c r="E232" s="1">
        <v>8</v>
      </c>
      <c r="F232" s="1">
        <v>318.10000000000002</v>
      </c>
      <c r="G232" s="1">
        <v>24.47</v>
      </c>
      <c r="H232">
        <f t="shared" si="3"/>
        <v>2544.8000000000002</v>
      </c>
    </row>
    <row r="233" spans="1:8" x14ac:dyDescent="0.25">
      <c r="A233" s="1" t="s">
        <v>246</v>
      </c>
      <c r="B233" s="5">
        <v>45667.625</v>
      </c>
      <c r="C233" s="1" t="s">
        <v>11</v>
      </c>
      <c r="D233" s="1" t="s">
        <v>19</v>
      </c>
      <c r="E233" s="1">
        <v>5</v>
      </c>
      <c r="F233" s="1">
        <v>87.03</v>
      </c>
      <c r="G233" s="1">
        <v>21.03</v>
      </c>
      <c r="H233">
        <f t="shared" si="3"/>
        <v>435.15</v>
      </c>
    </row>
    <row r="234" spans="1:8" x14ac:dyDescent="0.25">
      <c r="A234" s="1" t="s">
        <v>247</v>
      </c>
      <c r="B234" s="5">
        <v>45667.666666666664</v>
      </c>
      <c r="C234" s="1" t="s">
        <v>11</v>
      </c>
      <c r="D234" s="1" t="s">
        <v>19</v>
      </c>
      <c r="E234" s="1">
        <v>19</v>
      </c>
      <c r="F234" s="1">
        <v>80.099999999999994</v>
      </c>
      <c r="G234" s="1">
        <v>22.62</v>
      </c>
      <c r="H234">
        <f t="shared" si="3"/>
        <v>1521.8999999999999</v>
      </c>
    </row>
    <row r="235" spans="1:8" x14ac:dyDescent="0.25">
      <c r="A235" s="1" t="s">
        <v>248</v>
      </c>
      <c r="B235" s="5">
        <v>45667.708333333336</v>
      </c>
      <c r="C235" s="1" t="s">
        <v>11</v>
      </c>
      <c r="D235" s="1" t="s">
        <v>9</v>
      </c>
      <c r="E235" s="1">
        <v>10</v>
      </c>
      <c r="F235" s="1">
        <v>213.77</v>
      </c>
      <c r="G235" s="1">
        <v>41.17</v>
      </c>
      <c r="H235">
        <f t="shared" si="3"/>
        <v>2137.7000000000003</v>
      </c>
    </row>
    <row r="236" spans="1:8" x14ac:dyDescent="0.25">
      <c r="A236" s="1" t="s">
        <v>249</v>
      </c>
      <c r="B236" s="5">
        <v>45667.75</v>
      </c>
      <c r="C236" s="1" t="s">
        <v>11</v>
      </c>
      <c r="D236" s="1" t="s">
        <v>9</v>
      </c>
      <c r="E236" s="1">
        <v>11</v>
      </c>
      <c r="F236" s="1">
        <v>183.14</v>
      </c>
      <c r="G236" s="1">
        <v>44.88</v>
      </c>
      <c r="H236">
        <f t="shared" si="3"/>
        <v>2014.54</v>
      </c>
    </row>
    <row r="237" spans="1:8" x14ac:dyDescent="0.25">
      <c r="A237" s="1" t="s">
        <v>250</v>
      </c>
      <c r="B237" s="5">
        <v>45667.791666666664</v>
      </c>
      <c r="C237" s="1" t="s">
        <v>11</v>
      </c>
      <c r="D237" s="1" t="s">
        <v>19</v>
      </c>
      <c r="E237" s="1">
        <v>15</v>
      </c>
      <c r="F237" s="1">
        <v>325.83</v>
      </c>
      <c r="G237" s="1">
        <v>16.190000000000001</v>
      </c>
      <c r="H237">
        <f t="shared" si="3"/>
        <v>4887.45</v>
      </c>
    </row>
    <row r="238" spans="1:8" x14ac:dyDescent="0.25">
      <c r="A238" s="1" t="s">
        <v>251</v>
      </c>
      <c r="B238" s="5">
        <v>45667.833333333336</v>
      </c>
      <c r="C238" s="1" t="s">
        <v>23</v>
      </c>
      <c r="D238" s="1" t="s">
        <v>9</v>
      </c>
      <c r="E238" s="1">
        <v>6</v>
      </c>
      <c r="F238" s="1">
        <v>45.7</v>
      </c>
      <c r="G238" s="1">
        <v>42.64</v>
      </c>
      <c r="H238">
        <f t="shared" si="3"/>
        <v>274.20000000000005</v>
      </c>
    </row>
    <row r="239" spans="1:8" x14ac:dyDescent="0.25">
      <c r="A239" s="1" t="s">
        <v>252</v>
      </c>
      <c r="B239" s="5">
        <v>45667.875</v>
      </c>
      <c r="C239" s="1" t="s">
        <v>23</v>
      </c>
      <c r="D239" s="1" t="s">
        <v>37</v>
      </c>
      <c r="E239" s="1">
        <v>15</v>
      </c>
      <c r="F239" s="1">
        <v>437.91</v>
      </c>
      <c r="G239" s="1">
        <v>25.65</v>
      </c>
      <c r="H239">
        <f t="shared" si="3"/>
        <v>6568.6500000000005</v>
      </c>
    </row>
    <row r="240" spans="1:8" x14ac:dyDescent="0.25">
      <c r="A240" s="1" t="s">
        <v>253</v>
      </c>
      <c r="B240" s="5">
        <v>45667.916666666664</v>
      </c>
      <c r="C240" s="1" t="s">
        <v>8</v>
      </c>
      <c r="D240" s="1" t="s">
        <v>16</v>
      </c>
      <c r="E240" s="1">
        <v>5</v>
      </c>
      <c r="F240" s="1">
        <v>21.7</v>
      </c>
      <c r="G240" s="1">
        <v>17.32</v>
      </c>
      <c r="H240">
        <f t="shared" si="3"/>
        <v>108.5</v>
      </c>
    </row>
    <row r="241" spans="1:8" x14ac:dyDescent="0.25">
      <c r="A241" s="1" t="s">
        <v>254</v>
      </c>
      <c r="B241" s="5">
        <v>45667.958333333336</v>
      </c>
      <c r="C241" s="1" t="s">
        <v>11</v>
      </c>
      <c r="D241" s="1" t="s">
        <v>16</v>
      </c>
      <c r="E241" s="1">
        <v>19</v>
      </c>
      <c r="F241" s="1">
        <v>276.77</v>
      </c>
      <c r="G241" s="1">
        <v>49.35</v>
      </c>
      <c r="H241">
        <f t="shared" si="3"/>
        <v>5258.6299999999992</v>
      </c>
    </row>
    <row r="242" spans="1:8" x14ac:dyDescent="0.25">
      <c r="A242" s="1" t="s">
        <v>255</v>
      </c>
      <c r="B242" s="5">
        <v>45668</v>
      </c>
      <c r="C242" s="1" t="s">
        <v>23</v>
      </c>
      <c r="D242" s="1" t="s">
        <v>16</v>
      </c>
      <c r="E242" s="1">
        <v>19</v>
      </c>
      <c r="F242" s="1">
        <v>259.95999999999998</v>
      </c>
      <c r="G242" s="1">
        <v>42.12</v>
      </c>
      <c r="H242">
        <f t="shared" si="3"/>
        <v>4939.24</v>
      </c>
    </row>
    <row r="243" spans="1:8" x14ac:dyDescent="0.25">
      <c r="A243" s="1" t="s">
        <v>256</v>
      </c>
      <c r="B243" s="5">
        <v>45668.041666666664</v>
      </c>
      <c r="C243" s="1" t="s">
        <v>8</v>
      </c>
      <c r="D243" s="1" t="s">
        <v>37</v>
      </c>
      <c r="E243" s="1">
        <v>10</v>
      </c>
      <c r="F243" s="1">
        <v>74.03</v>
      </c>
      <c r="G243" s="1">
        <v>49.74</v>
      </c>
      <c r="H243">
        <f t="shared" si="3"/>
        <v>740.3</v>
      </c>
    </row>
    <row r="244" spans="1:8" x14ac:dyDescent="0.25">
      <c r="A244" s="1" t="s">
        <v>257</v>
      </c>
      <c r="B244" s="5">
        <v>45668.083333333336</v>
      </c>
      <c r="C244" s="1" t="s">
        <v>11</v>
      </c>
      <c r="D244" s="1" t="s">
        <v>9</v>
      </c>
      <c r="E244" s="1">
        <v>12</v>
      </c>
      <c r="F244" s="1">
        <v>81.069999999999993</v>
      </c>
      <c r="G244" s="1">
        <v>12.57</v>
      </c>
      <c r="H244">
        <f t="shared" si="3"/>
        <v>972.83999999999992</v>
      </c>
    </row>
    <row r="245" spans="1:8" x14ac:dyDescent="0.25">
      <c r="A245" s="1" t="s">
        <v>258</v>
      </c>
      <c r="B245" s="5">
        <v>45668.125</v>
      </c>
      <c r="C245" s="1" t="s">
        <v>13</v>
      </c>
      <c r="D245" s="1" t="s">
        <v>9</v>
      </c>
      <c r="E245" s="1">
        <v>4</v>
      </c>
      <c r="F245" s="1">
        <v>359.92</v>
      </c>
      <c r="G245" s="1">
        <v>11.47</v>
      </c>
      <c r="H245">
        <f t="shared" si="3"/>
        <v>1439.68</v>
      </c>
    </row>
    <row r="246" spans="1:8" x14ac:dyDescent="0.25">
      <c r="A246" s="1" t="s">
        <v>259</v>
      </c>
      <c r="B246" s="5">
        <v>45668.166666666664</v>
      </c>
      <c r="C246" s="1" t="s">
        <v>8</v>
      </c>
      <c r="D246" s="1" t="s">
        <v>19</v>
      </c>
      <c r="E246" s="1">
        <v>18</v>
      </c>
      <c r="F246" s="1">
        <v>401.15</v>
      </c>
      <c r="G246" s="1">
        <v>27.65</v>
      </c>
      <c r="H246">
        <f t="shared" si="3"/>
        <v>7220.7</v>
      </c>
    </row>
    <row r="247" spans="1:8" x14ac:dyDescent="0.25">
      <c r="A247" s="1" t="s">
        <v>260</v>
      </c>
      <c r="B247" s="5">
        <v>45668.208333333336</v>
      </c>
      <c r="C247" s="1" t="s">
        <v>23</v>
      </c>
      <c r="D247" s="1" t="s">
        <v>9</v>
      </c>
      <c r="E247" s="1">
        <v>16</v>
      </c>
      <c r="F247" s="1">
        <v>138.47</v>
      </c>
      <c r="G247" s="1">
        <v>33.74</v>
      </c>
      <c r="H247">
        <f t="shared" si="3"/>
        <v>2215.52</v>
      </c>
    </row>
    <row r="248" spans="1:8" x14ac:dyDescent="0.25">
      <c r="A248" s="1" t="s">
        <v>261</v>
      </c>
      <c r="B248" s="5">
        <v>45668.25</v>
      </c>
      <c r="C248" s="1" t="s">
        <v>13</v>
      </c>
      <c r="D248" s="1" t="s">
        <v>19</v>
      </c>
      <c r="E248" s="1">
        <v>8</v>
      </c>
      <c r="F248" s="1">
        <v>205.8</v>
      </c>
      <c r="G248" s="1">
        <v>12.7</v>
      </c>
      <c r="H248">
        <f t="shared" si="3"/>
        <v>1646.4</v>
      </c>
    </row>
    <row r="249" spans="1:8" x14ac:dyDescent="0.25">
      <c r="A249" s="1" t="s">
        <v>262</v>
      </c>
      <c r="B249" s="5">
        <v>45668.291666666664</v>
      </c>
      <c r="C249" s="1" t="s">
        <v>13</v>
      </c>
      <c r="D249" s="1" t="s">
        <v>37</v>
      </c>
      <c r="E249" s="1">
        <v>4</v>
      </c>
      <c r="F249" s="1">
        <v>169.75</v>
      </c>
      <c r="G249" s="1">
        <v>43.72</v>
      </c>
      <c r="H249">
        <f t="shared" si="3"/>
        <v>679</v>
      </c>
    </row>
    <row r="250" spans="1:8" x14ac:dyDescent="0.25">
      <c r="A250" s="1" t="s">
        <v>263</v>
      </c>
      <c r="B250" s="5">
        <v>45668.333333333336</v>
      </c>
      <c r="C250" s="1" t="s">
        <v>13</v>
      </c>
      <c r="D250" s="1" t="s">
        <v>16</v>
      </c>
      <c r="E250" s="1">
        <v>12</v>
      </c>
      <c r="F250" s="1">
        <v>47.02</v>
      </c>
      <c r="G250" s="1">
        <v>28.94</v>
      </c>
      <c r="H250">
        <f t="shared" si="3"/>
        <v>564.24</v>
      </c>
    </row>
    <row r="251" spans="1:8" x14ac:dyDescent="0.25">
      <c r="A251" s="1" t="s">
        <v>264</v>
      </c>
      <c r="B251" s="5">
        <v>45668.375</v>
      </c>
      <c r="C251" s="1" t="s">
        <v>8</v>
      </c>
      <c r="D251" s="1" t="s">
        <v>16</v>
      </c>
      <c r="E251" s="1">
        <v>2</v>
      </c>
      <c r="F251" s="1">
        <v>308.01</v>
      </c>
      <c r="G251" s="1">
        <v>23.49</v>
      </c>
      <c r="H251">
        <f t="shared" si="3"/>
        <v>616.02</v>
      </c>
    </row>
    <row r="252" spans="1:8" x14ac:dyDescent="0.25">
      <c r="A252" s="1" t="s">
        <v>265</v>
      </c>
      <c r="B252" s="5">
        <v>45668.416666666664</v>
      </c>
      <c r="C252" s="1" t="s">
        <v>23</v>
      </c>
      <c r="D252" s="1" t="s">
        <v>16</v>
      </c>
      <c r="E252" s="1">
        <v>4</v>
      </c>
      <c r="F252" s="1">
        <v>374.05</v>
      </c>
      <c r="G252" s="1">
        <v>32.090000000000003</v>
      </c>
      <c r="H252">
        <f t="shared" si="3"/>
        <v>1496.2</v>
      </c>
    </row>
    <row r="253" spans="1:8" x14ac:dyDescent="0.25">
      <c r="A253" s="1" t="s">
        <v>266</v>
      </c>
      <c r="B253" s="5">
        <v>45668.458333333336</v>
      </c>
      <c r="C253" s="1" t="s">
        <v>13</v>
      </c>
      <c r="D253" s="1" t="s">
        <v>9</v>
      </c>
      <c r="E253" s="1">
        <v>5</v>
      </c>
      <c r="F253" s="1">
        <v>147.97</v>
      </c>
      <c r="G253" s="1">
        <v>33.57</v>
      </c>
      <c r="H253">
        <f t="shared" si="3"/>
        <v>739.85</v>
      </c>
    </row>
    <row r="254" spans="1:8" x14ac:dyDescent="0.25">
      <c r="A254" s="1" t="s">
        <v>267</v>
      </c>
      <c r="B254" s="5">
        <v>45668.5</v>
      </c>
      <c r="C254" s="1" t="s">
        <v>11</v>
      </c>
      <c r="D254" s="1" t="s">
        <v>19</v>
      </c>
      <c r="E254" s="1">
        <v>3</v>
      </c>
      <c r="F254" s="1">
        <v>445.73</v>
      </c>
      <c r="G254" s="1">
        <v>6.93</v>
      </c>
      <c r="H254">
        <f t="shared" si="3"/>
        <v>1337.19</v>
      </c>
    </row>
    <row r="255" spans="1:8" x14ac:dyDescent="0.25">
      <c r="A255" s="1" t="s">
        <v>268</v>
      </c>
      <c r="B255" s="5">
        <v>45668.541666666664</v>
      </c>
      <c r="C255" s="1" t="s">
        <v>13</v>
      </c>
      <c r="D255" s="1" t="s">
        <v>19</v>
      </c>
      <c r="E255" s="1">
        <v>9</v>
      </c>
      <c r="F255" s="1">
        <v>48.46</v>
      </c>
      <c r="G255" s="1">
        <v>50</v>
      </c>
      <c r="H255">
        <f t="shared" si="3"/>
        <v>436.14</v>
      </c>
    </row>
    <row r="256" spans="1:8" x14ac:dyDescent="0.25">
      <c r="A256" s="1" t="s">
        <v>269</v>
      </c>
      <c r="B256" s="5">
        <v>45668.583333333336</v>
      </c>
      <c r="C256" s="1" t="s">
        <v>13</v>
      </c>
      <c r="D256" s="1" t="s">
        <v>37</v>
      </c>
      <c r="E256" s="1">
        <v>18</v>
      </c>
      <c r="F256" s="1">
        <v>303.05</v>
      </c>
      <c r="G256" s="1">
        <v>21.38</v>
      </c>
      <c r="H256">
        <f t="shared" si="3"/>
        <v>5454.9000000000005</v>
      </c>
    </row>
    <row r="257" spans="1:8" x14ac:dyDescent="0.25">
      <c r="A257" s="1" t="s">
        <v>270</v>
      </c>
      <c r="B257" s="5">
        <v>45668.625</v>
      </c>
      <c r="C257" s="1" t="s">
        <v>8</v>
      </c>
      <c r="D257" s="1" t="s">
        <v>9</v>
      </c>
      <c r="E257" s="1">
        <v>11</v>
      </c>
      <c r="F257" s="1">
        <v>210.26</v>
      </c>
      <c r="G257" s="1">
        <v>7.77</v>
      </c>
      <c r="H257">
        <f t="shared" si="3"/>
        <v>2312.8599999999997</v>
      </c>
    </row>
    <row r="258" spans="1:8" x14ac:dyDescent="0.25">
      <c r="A258" s="1" t="s">
        <v>271</v>
      </c>
      <c r="B258" s="5">
        <v>45668.666666666664</v>
      </c>
      <c r="C258" s="1" t="s">
        <v>8</v>
      </c>
      <c r="D258" s="1" t="s">
        <v>37</v>
      </c>
      <c r="E258" s="1">
        <v>3</v>
      </c>
      <c r="F258" s="1">
        <v>209.55</v>
      </c>
      <c r="G258" s="1">
        <v>43.35</v>
      </c>
      <c r="H258">
        <f t="shared" ref="H258:H321" si="4">E258*F258</f>
        <v>628.65000000000009</v>
      </c>
    </row>
    <row r="259" spans="1:8" x14ac:dyDescent="0.25">
      <c r="A259" s="1" t="s">
        <v>272</v>
      </c>
      <c r="B259" s="5">
        <v>45668.708333333336</v>
      </c>
      <c r="C259" s="1" t="s">
        <v>23</v>
      </c>
      <c r="D259" s="1" t="s">
        <v>19</v>
      </c>
      <c r="E259" s="1">
        <v>2</v>
      </c>
      <c r="F259" s="1">
        <v>214.35</v>
      </c>
      <c r="G259" s="1">
        <v>49.69</v>
      </c>
      <c r="H259">
        <f t="shared" si="4"/>
        <v>428.7</v>
      </c>
    </row>
    <row r="260" spans="1:8" x14ac:dyDescent="0.25">
      <c r="A260" s="1" t="s">
        <v>273</v>
      </c>
      <c r="B260" s="5">
        <v>45668.75</v>
      </c>
      <c r="C260" s="1" t="s">
        <v>11</v>
      </c>
      <c r="D260" s="1" t="s">
        <v>19</v>
      </c>
      <c r="E260" s="1">
        <v>9</v>
      </c>
      <c r="F260" s="1">
        <v>127.9</v>
      </c>
      <c r="G260" s="1">
        <v>41.74</v>
      </c>
      <c r="H260">
        <f t="shared" si="4"/>
        <v>1151.1000000000001</v>
      </c>
    </row>
    <row r="261" spans="1:8" x14ac:dyDescent="0.25">
      <c r="A261" s="1" t="s">
        <v>274</v>
      </c>
      <c r="B261" s="5">
        <v>45668.791666666664</v>
      </c>
      <c r="C261" s="1" t="s">
        <v>8</v>
      </c>
      <c r="D261" s="1" t="s">
        <v>16</v>
      </c>
      <c r="E261" s="1">
        <v>14</v>
      </c>
      <c r="F261" s="1">
        <v>326.41000000000003</v>
      </c>
      <c r="G261" s="1">
        <v>43.33</v>
      </c>
      <c r="H261">
        <f t="shared" si="4"/>
        <v>4569.7400000000007</v>
      </c>
    </row>
    <row r="262" spans="1:8" x14ac:dyDescent="0.25">
      <c r="A262" s="1" t="s">
        <v>275</v>
      </c>
      <c r="B262" s="5">
        <v>45668.833333333336</v>
      </c>
      <c r="C262" s="1" t="s">
        <v>13</v>
      </c>
      <c r="D262" s="1" t="s">
        <v>9</v>
      </c>
      <c r="E262" s="1">
        <v>4</v>
      </c>
      <c r="F262" s="1">
        <v>329.03</v>
      </c>
      <c r="G262" s="1">
        <v>33.17</v>
      </c>
      <c r="H262">
        <f t="shared" si="4"/>
        <v>1316.12</v>
      </c>
    </row>
    <row r="263" spans="1:8" x14ac:dyDescent="0.25">
      <c r="A263" s="1" t="s">
        <v>276</v>
      </c>
      <c r="B263" s="5">
        <v>45668.875</v>
      </c>
      <c r="C263" s="1" t="s">
        <v>23</v>
      </c>
      <c r="D263" s="1" t="s">
        <v>19</v>
      </c>
      <c r="E263" s="1">
        <v>9</v>
      </c>
      <c r="F263" s="1">
        <v>138.19999999999999</v>
      </c>
      <c r="G263" s="1">
        <v>46.5</v>
      </c>
      <c r="H263">
        <f t="shared" si="4"/>
        <v>1243.8</v>
      </c>
    </row>
    <row r="264" spans="1:8" x14ac:dyDescent="0.25">
      <c r="A264" s="1" t="s">
        <v>277</v>
      </c>
      <c r="B264" s="5">
        <v>45668.916666666664</v>
      </c>
      <c r="C264" s="1" t="s">
        <v>13</v>
      </c>
      <c r="D264" s="1" t="s">
        <v>16</v>
      </c>
      <c r="E264" s="1">
        <v>13</v>
      </c>
      <c r="F264" s="1">
        <v>378.44</v>
      </c>
      <c r="G264" s="1">
        <v>6.61</v>
      </c>
      <c r="H264">
        <f t="shared" si="4"/>
        <v>4919.72</v>
      </c>
    </row>
    <row r="265" spans="1:8" x14ac:dyDescent="0.25">
      <c r="A265" s="1" t="s">
        <v>278</v>
      </c>
      <c r="B265" s="5">
        <v>45668.958333333336</v>
      </c>
      <c r="C265" s="1" t="s">
        <v>13</v>
      </c>
      <c r="D265" s="1" t="s">
        <v>9</v>
      </c>
      <c r="E265" s="1">
        <v>18</v>
      </c>
      <c r="F265" s="1">
        <v>153.16999999999999</v>
      </c>
      <c r="G265" s="1">
        <v>39.5</v>
      </c>
      <c r="H265">
        <f t="shared" si="4"/>
        <v>2757.06</v>
      </c>
    </row>
    <row r="266" spans="1:8" x14ac:dyDescent="0.25">
      <c r="A266" s="1" t="s">
        <v>279</v>
      </c>
      <c r="B266" s="5">
        <v>45669</v>
      </c>
      <c r="C266" s="1" t="s">
        <v>8</v>
      </c>
      <c r="D266" s="1" t="s">
        <v>37</v>
      </c>
      <c r="E266" s="1">
        <v>15</v>
      </c>
      <c r="F266" s="1">
        <v>330.55</v>
      </c>
      <c r="G266" s="1">
        <v>35.18</v>
      </c>
      <c r="H266">
        <f t="shared" si="4"/>
        <v>4958.25</v>
      </c>
    </row>
    <row r="267" spans="1:8" x14ac:dyDescent="0.25">
      <c r="A267" s="1" t="s">
        <v>280</v>
      </c>
      <c r="B267" s="5">
        <v>45669.041666666664</v>
      </c>
      <c r="C267" s="1" t="s">
        <v>23</v>
      </c>
      <c r="D267" s="1" t="s">
        <v>9</v>
      </c>
      <c r="E267" s="1">
        <v>10</v>
      </c>
      <c r="F267" s="1">
        <v>68.069999999999993</v>
      </c>
      <c r="G267" s="1">
        <v>7.23</v>
      </c>
      <c r="H267">
        <f t="shared" si="4"/>
        <v>680.69999999999993</v>
      </c>
    </row>
    <row r="268" spans="1:8" x14ac:dyDescent="0.25">
      <c r="A268" s="1" t="s">
        <v>281</v>
      </c>
      <c r="B268" s="5">
        <v>45669.083333333336</v>
      </c>
      <c r="C268" s="1" t="s">
        <v>11</v>
      </c>
      <c r="D268" s="1" t="s">
        <v>9</v>
      </c>
      <c r="E268" s="1">
        <v>16</v>
      </c>
      <c r="F268" s="1">
        <v>88.8</v>
      </c>
      <c r="G268" s="1">
        <v>29.48</v>
      </c>
      <c r="H268">
        <f t="shared" si="4"/>
        <v>1420.8</v>
      </c>
    </row>
    <row r="269" spans="1:8" x14ac:dyDescent="0.25">
      <c r="A269" s="1" t="s">
        <v>282</v>
      </c>
      <c r="B269" s="5">
        <v>45669.125</v>
      </c>
      <c r="C269" s="1" t="s">
        <v>11</v>
      </c>
      <c r="D269" s="1" t="s">
        <v>19</v>
      </c>
      <c r="E269" s="1">
        <v>12</v>
      </c>
      <c r="F269" s="1">
        <v>152.71</v>
      </c>
      <c r="G269" s="1">
        <v>28.18</v>
      </c>
      <c r="H269">
        <f t="shared" si="4"/>
        <v>1832.52</v>
      </c>
    </row>
    <row r="270" spans="1:8" x14ac:dyDescent="0.25">
      <c r="A270" s="1" t="s">
        <v>283</v>
      </c>
      <c r="B270" s="5">
        <v>45669.166666666664</v>
      </c>
      <c r="C270" s="1" t="s">
        <v>8</v>
      </c>
      <c r="D270" s="1" t="s">
        <v>19</v>
      </c>
      <c r="E270" s="1">
        <v>5</v>
      </c>
      <c r="F270" s="1">
        <v>273.54000000000002</v>
      </c>
      <c r="G270" s="1">
        <v>36.119999999999997</v>
      </c>
      <c r="H270">
        <f t="shared" si="4"/>
        <v>1367.7</v>
      </c>
    </row>
    <row r="271" spans="1:8" x14ac:dyDescent="0.25">
      <c r="A271" s="1" t="s">
        <v>284</v>
      </c>
      <c r="B271" s="5">
        <v>45669.208333333336</v>
      </c>
      <c r="C271" s="1" t="s">
        <v>8</v>
      </c>
      <c r="D271" s="1" t="s">
        <v>9</v>
      </c>
      <c r="E271" s="1">
        <v>2</v>
      </c>
      <c r="F271" s="1">
        <v>295.97000000000003</v>
      </c>
      <c r="G271" s="1">
        <v>8.49</v>
      </c>
      <c r="H271">
        <f t="shared" si="4"/>
        <v>591.94000000000005</v>
      </c>
    </row>
    <row r="272" spans="1:8" x14ac:dyDescent="0.25">
      <c r="A272" s="1" t="s">
        <v>285</v>
      </c>
      <c r="B272" s="5">
        <v>45669.25</v>
      </c>
      <c r="C272" s="1" t="s">
        <v>23</v>
      </c>
      <c r="D272" s="1" t="s">
        <v>19</v>
      </c>
      <c r="E272" s="1">
        <v>10</v>
      </c>
      <c r="F272" s="1">
        <v>187.72</v>
      </c>
      <c r="G272" s="1">
        <v>41.24</v>
      </c>
      <c r="H272">
        <f t="shared" si="4"/>
        <v>1877.2</v>
      </c>
    </row>
    <row r="273" spans="1:8" x14ac:dyDescent="0.25">
      <c r="A273" s="1" t="s">
        <v>286</v>
      </c>
      <c r="B273" s="5">
        <v>45669.291666666664</v>
      </c>
      <c r="C273" s="1" t="s">
        <v>11</v>
      </c>
      <c r="D273" s="1" t="s">
        <v>19</v>
      </c>
      <c r="E273" s="1">
        <v>1</v>
      </c>
      <c r="F273" s="1">
        <v>49.32</v>
      </c>
      <c r="G273" s="1">
        <v>11.27</v>
      </c>
      <c r="H273">
        <f t="shared" si="4"/>
        <v>49.32</v>
      </c>
    </row>
    <row r="274" spans="1:8" x14ac:dyDescent="0.25">
      <c r="A274" s="1" t="s">
        <v>287</v>
      </c>
      <c r="B274" s="5">
        <v>45669.333333333336</v>
      </c>
      <c r="C274" s="1" t="s">
        <v>11</v>
      </c>
      <c r="D274" s="1" t="s">
        <v>19</v>
      </c>
      <c r="E274" s="1">
        <v>7</v>
      </c>
      <c r="F274" s="1">
        <v>177.84</v>
      </c>
      <c r="G274" s="1">
        <v>23.84</v>
      </c>
      <c r="H274">
        <f t="shared" si="4"/>
        <v>1244.8800000000001</v>
      </c>
    </row>
    <row r="275" spans="1:8" x14ac:dyDescent="0.25">
      <c r="A275" s="1" t="s">
        <v>288</v>
      </c>
      <c r="B275" s="5">
        <v>45669.375</v>
      </c>
      <c r="C275" s="1" t="s">
        <v>11</v>
      </c>
      <c r="D275" s="1" t="s">
        <v>16</v>
      </c>
      <c r="E275" s="1">
        <v>17</v>
      </c>
      <c r="F275" s="1">
        <v>314.77</v>
      </c>
      <c r="G275" s="1">
        <v>44.66</v>
      </c>
      <c r="H275">
        <f t="shared" si="4"/>
        <v>5351.09</v>
      </c>
    </row>
    <row r="276" spans="1:8" x14ac:dyDescent="0.25">
      <c r="A276" s="1" t="s">
        <v>289</v>
      </c>
      <c r="B276" s="5">
        <v>45669.416666666664</v>
      </c>
      <c r="C276" s="1" t="s">
        <v>13</v>
      </c>
      <c r="D276" s="1" t="s">
        <v>16</v>
      </c>
      <c r="E276" s="1">
        <v>16</v>
      </c>
      <c r="F276" s="1">
        <v>307.05</v>
      </c>
      <c r="G276" s="1">
        <v>30.22</v>
      </c>
      <c r="H276">
        <f t="shared" si="4"/>
        <v>4912.8</v>
      </c>
    </row>
    <row r="277" spans="1:8" x14ac:dyDescent="0.25">
      <c r="A277" s="1" t="s">
        <v>290</v>
      </c>
      <c r="B277" s="5">
        <v>45669.458333333336</v>
      </c>
      <c r="C277" s="1" t="s">
        <v>11</v>
      </c>
      <c r="D277" s="1" t="s">
        <v>9</v>
      </c>
      <c r="E277" s="1">
        <v>3</v>
      </c>
      <c r="F277" s="1">
        <v>85.11</v>
      </c>
      <c r="G277" s="1">
        <v>22.08</v>
      </c>
      <c r="H277">
        <f t="shared" si="4"/>
        <v>255.32999999999998</v>
      </c>
    </row>
    <row r="278" spans="1:8" x14ac:dyDescent="0.25">
      <c r="A278" s="1" t="s">
        <v>291</v>
      </c>
      <c r="B278" s="5">
        <v>45669.5</v>
      </c>
      <c r="C278" s="1" t="s">
        <v>13</v>
      </c>
      <c r="D278" s="1" t="s">
        <v>19</v>
      </c>
      <c r="E278" s="1">
        <v>14</v>
      </c>
      <c r="F278" s="1">
        <v>18.88</v>
      </c>
      <c r="G278" s="1">
        <v>7.17</v>
      </c>
      <c r="H278">
        <f t="shared" si="4"/>
        <v>264.32</v>
      </c>
    </row>
    <row r="279" spans="1:8" x14ac:dyDescent="0.25">
      <c r="A279" s="1" t="s">
        <v>292</v>
      </c>
      <c r="B279" s="5">
        <v>45669.541666666664</v>
      </c>
      <c r="C279" s="1" t="s">
        <v>23</v>
      </c>
      <c r="D279" s="1" t="s">
        <v>16</v>
      </c>
      <c r="E279" s="1">
        <v>10</v>
      </c>
      <c r="F279" s="1">
        <v>342.67</v>
      </c>
      <c r="G279" s="1">
        <v>35.25</v>
      </c>
      <c r="H279">
        <f t="shared" si="4"/>
        <v>3426.7000000000003</v>
      </c>
    </row>
    <row r="280" spans="1:8" x14ac:dyDescent="0.25">
      <c r="A280" s="1" t="s">
        <v>293</v>
      </c>
      <c r="B280" s="5">
        <v>45669.583333333336</v>
      </c>
      <c r="C280" s="1" t="s">
        <v>13</v>
      </c>
      <c r="D280" s="1" t="s">
        <v>9</v>
      </c>
      <c r="E280" s="1">
        <v>7</v>
      </c>
      <c r="F280" s="1">
        <v>61.72</v>
      </c>
      <c r="G280" s="1">
        <v>49.39</v>
      </c>
      <c r="H280">
        <f t="shared" si="4"/>
        <v>432.03999999999996</v>
      </c>
    </row>
    <row r="281" spans="1:8" x14ac:dyDescent="0.25">
      <c r="A281" s="1" t="s">
        <v>294</v>
      </c>
      <c r="B281" s="5">
        <v>45669.625</v>
      </c>
      <c r="C281" s="1" t="s">
        <v>23</v>
      </c>
      <c r="D281" s="1" t="s">
        <v>19</v>
      </c>
      <c r="E281" s="1">
        <v>17</v>
      </c>
      <c r="F281" s="1">
        <v>51.28</v>
      </c>
      <c r="G281" s="1">
        <v>46.03</v>
      </c>
      <c r="H281">
        <f t="shared" si="4"/>
        <v>871.76</v>
      </c>
    </row>
    <row r="282" spans="1:8" x14ac:dyDescent="0.25">
      <c r="A282" s="1" t="s">
        <v>295</v>
      </c>
      <c r="B282" s="5">
        <v>45669.666666666664</v>
      </c>
      <c r="C282" s="1" t="s">
        <v>11</v>
      </c>
      <c r="D282" s="1" t="s">
        <v>37</v>
      </c>
      <c r="E282" s="1">
        <v>6</v>
      </c>
      <c r="F282" s="1">
        <v>16.670000000000002</v>
      </c>
      <c r="G282" s="1">
        <v>37.28</v>
      </c>
      <c r="H282">
        <f t="shared" si="4"/>
        <v>100.02000000000001</v>
      </c>
    </row>
    <row r="283" spans="1:8" x14ac:dyDescent="0.25">
      <c r="A283" s="1" t="s">
        <v>296</v>
      </c>
      <c r="B283" s="5">
        <v>45669.708333333336</v>
      </c>
      <c r="C283" s="1" t="s">
        <v>11</v>
      </c>
      <c r="D283" s="1" t="s">
        <v>19</v>
      </c>
      <c r="E283" s="1">
        <v>4</v>
      </c>
      <c r="F283" s="1">
        <v>203.47</v>
      </c>
      <c r="G283" s="1">
        <v>9.74</v>
      </c>
      <c r="H283">
        <f t="shared" si="4"/>
        <v>813.88</v>
      </c>
    </row>
    <row r="284" spans="1:8" x14ac:dyDescent="0.25">
      <c r="A284" s="1" t="s">
        <v>297</v>
      </c>
      <c r="B284" s="5">
        <v>45669.75</v>
      </c>
      <c r="C284" s="1" t="s">
        <v>23</v>
      </c>
      <c r="D284" s="1" t="s">
        <v>19</v>
      </c>
      <c r="E284" s="1">
        <v>17</v>
      </c>
      <c r="F284" s="1">
        <v>234.17</v>
      </c>
      <c r="G284" s="1">
        <v>15.77</v>
      </c>
      <c r="H284">
        <f t="shared" si="4"/>
        <v>3980.89</v>
      </c>
    </row>
    <row r="285" spans="1:8" x14ac:dyDescent="0.25">
      <c r="A285" s="1" t="s">
        <v>298</v>
      </c>
      <c r="B285" s="5">
        <v>45669.791666666664</v>
      </c>
      <c r="C285" s="1" t="s">
        <v>8</v>
      </c>
      <c r="D285" s="1" t="s">
        <v>16</v>
      </c>
      <c r="E285" s="1">
        <v>9</v>
      </c>
      <c r="F285" s="1">
        <v>292.57</v>
      </c>
      <c r="G285" s="1">
        <v>13.41</v>
      </c>
      <c r="H285">
        <f t="shared" si="4"/>
        <v>2633.13</v>
      </c>
    </row>
    <row r="286" spans="1:8" x14ac:dyDescent="0.25">
      <c r="A286" s="1" t="s">
        <v>299</v>
      </c>
      <c r="B286" s="5">
        <v>45669.833333333336</v>
      </c>
      <c r="C286" s="1" t="s">
        <v>23</v>
      </c>
      <c r="D286" s="1" t="s">
        <v>9</v>
      </c>
      <c r="E286" s="1">
        <v>4</v>
      </c>
      <c r="F286" s="1">
        <v>144.13999999999999</v>
      </c>
      <c r="G286" s="1">
        <v>21</v>
      </c>
      <c r="H286">
        <f t="shared" si="4"/>
        <v>576.55999999999995</v>
      </c>
    </row>
    <row r="287" spans="1:8" x14ac:dyDescent="0.25">
      <c r="A287" s="1" t="s">
        <v>300</v>
      </c>
      <c r="B287" s="5">
        <v>45669.875</v>
      </c>
      <c r="C287" s="1" t="s">
        <v>8</v>
      </c>
      <c r="D287" s="1" t="s">
        <v>9</v>
      </c>
      <c r="E287" s="1">
        <v>7</v>
      </c>
      <c r="F287" s="1">
        <v>324.18</v>
      </c>
      <c r="G287" s="1">
        <v>15.6</v>
      </c>
      <c r="H287">
        <f t="shared" si="4"/>
        <v>2269.2600000000002</v>
      </c>
    </row>
    <row r="288" spans="1:8" x14ac:dyDescent="0.25">
      <c r="A288" s="1" t="s">
        <v>301</v>
      </c>
      <c r="B288" s="5">
        <v>45669.916666666664</v>
      </c>
      <c r="C288" s="1" t="s">
        <v>13</v>
      </c>
      <c r="D288" s="1" t="s">
        <v>16</v>
      </c>
      <c r="E288" s="1">
        <v>2</v>
      </c>
      <c r="F288" s="1">
        <v>89.07</v>
      </c>
      <c r="G288" s="1">
        <v>16</v>
      </c>
      <c r="H288">
        <f t="shared" si="4"/>
        <v>178.14</v>
      </c>
    </row>
    <row r="289" spans="1:8" x14ac:dyDescent="0.25">
      <c r="A289" s="1" t="s">
        <v>302</v>
      </c>
      <c r="B289" s="5">
        <v>45669.958333333336</v>
      </c>
      <c r="C289" s="1" t="s">
        <v>13</v>
      </c>
      <c r="D289" s="1" t="s">
        <v>19</v>
      </c>
      <c r="E289" s="1">
        <v>17</v>
      </c>
      <c r="F289" s="1">
        <v>377</v>
      </c>
      <c r="G289" s="1">
        <v>32.75</v>
      </c>
      <c r="H289">
        <f t="shared" si="4"/>
        <v>6409</v>
      </c>
    </row>
    <row r="290" spans="1:8" x14ac:dyDescent="0.25">
      <c r="A290" s="1" t="s">
        <v>303</v>
      </c>
      <c r="B290" s="5">
        <v>45670</v>
      </c>
      <c r="C290" s="1" t="s">
        <v>13</v>
      </c>
      <c r="D290" s="1" t="s">
        <v>37</v>
      </c>
      <c r="E290" s="1">
        <v>8</v>
      </c>
      <c r="F290" s="1">
        <v>263.97000000000003</v>
      </c>
      <c r="G290" s="1">
        <v>19.34</v>
      </c>
      <c r="H290">
        <f t="shared" si="4"/>
        <v>2111.7600000000002</v>
      </c>
    </row>
    <row r="291" spans="1:8" x14ac:dyDescent="0.25">
      <c r="A291" s="1" t="s">
        <v>304</v>
      </c>
      <c r="B291" s="5">
        <v>45670.041666666664</v>
      </c>
      <c r="C291" s="1" t="s">
        <v>11</v>
      </c>
      <c r="D291" s="1" t="s">
        <v>19</v>
      </c>
      <c r="E291" s="1">
        <v>15</v>
      </c>
      <c r="F291" s="1">
        <v>269.2</v>
      </c>
      <c r="G291" s="1">
        <v>35.47</v>
      </c>
      <c r="H291">
        <f t="shared" si="4"/>
        <v>4038</v>
      </c>
    </row>
    <row r="292" spans="1:8" x14ac:dyDescent="0.25">
      <c r="A292" s="1" t="s">
        <v>305</v>
      </c>
      <c r="B292" s="5">
        <v>45670.083333333336</v>
      </c>
      <c r="C292" s="1" t="s">
        <v>13</v>
      </c>
      <c r="D292" s="1" t="s">
        <v>19</v>
      </c>
      <c r="E292" s="1">
        <v>15</v>
      </c>
      <c r="F292" s="1">
        <v>106.65</v>
      </c>
      <c r="G292" s="1">
        <v>47.66</v>
      </c>
      <c r="H292">
        <f t="shared" si="4"/>
        <v>1599.75</v>
      </c>
    </row>
    <row r="293" spans="1:8" x14ac:dyDescent="0.25">
      <c r="A293" s="1" t="s">
        <v>306</v>
      </c>
      <c r="B293" s="5">
        <v>45670.125</v>
      </c>
      <c r="C293" s="1" t="s">
        <v>8</v>
      </c>
      <c r="D293" s="1" t="s">
        <v>37</v>
      </c>
      <c r="E293" s="1">
        <v>8</v>
      </c>
      <c r="F293" s="1">
        <v>47.7</v>
      </c>
      <c r="G293" s="1">
        <v>33.729999999999997</v>
      </c>
      <c r="H293">
        <f t="shared" si="4"/>
        <v>381.6</v>
      </c>
    </row>
    <row r="294" spans="1:8" x14ac:dyDescent="0.25">
      <c r="A294" s="1" t="s">
        <v>307</v>
      </c>
      <c r="B294" s="5">
        <v>45670.166666666664</v>
      </c>
      <c r="C294" s="1" t="s">
        <v>13</v>
      </c>
      <c r="D294" s="1" t="s">
        <v>16</v>
      </c>
      <c r="E294" s="1">
        <v>16</v>
      </c>
      <c r="F294" s="1">
        <v>217.42</v>
      </c>
      <c r="G294" s="1">
        <v>38.82</v>
      </c>
      <c r="H294">
        <f t="shared" si="4"/>
        <v>3478.72</v>
      </c>
    </row>
    <row r="295" spans="1:8" x14ac:dyDescent="0.25">
      <c r="A295" s="1" t="s">
        <v>308</v>
      </c>
      <c r="B295" s="5">
        <v>45670.208333333336</v>
      </c>
      <c r="C295" s="1" t="s">
        <v>23</v>
      </c>
      <c r="D295" s="1" t="s">
        <v>9</v>
      </c>
      <c r="E295" s="1">
        <v>19</v>
      </c>
      <c r="F295" s="1">
        <v>282.98</v>
      </c>
      <c r="G295" s="1">
        <v>38.82</v>
      </c>
      <c r="H295">
        <f t="shared" si="4"/>
        <v>5376.6200000000008</v>
      </c>
    </row>
    <row r="296" spans="1:8" x14ac:dyDescent="0.25">
      <c r="A296" s="1" t="s">
        <v>309</v>
      </c>
      <c r="B296" s="5">
        <v>45670.25</v>
      </c>
      <c r="C296" s="1" t="s">
        <v>23</v>
      </c>
      <c r="D296" s="1" t="s">
        <v>16</v>
      </c>
      <c r="E296" s="1">
        <v>11</v>
      </c>
      <c r="F296" s="1">
        <v>56.8</v>
      </c>
      <c r="G296" s="1">
        <v>19.88</v>
      </c>
      <c r="H296">
        <f t="shared" si="4"/>
        <v>624.79999999999995</v>
      </c>
    </row>
    <row r="297" spans="1:8" x14ac:dyDescent="0.25">
      <c r="A297" s="1" t="s">
        <v>310</v>
      </c>
      <c r="B297" s="5">
        <v>45670.291666666664</v>
      </c>
      <c r="C297" s="1" t="s">
        <v>11</v>
      </c>
      <c r="D297" s="1" t="s">
        <v>16</v>
      </c>
      <c r="E297" s="1">
        <v>2</v>
      </c>
      <c r="F297" s="1">
        <v>428.51</v>
      </c>
      <c r="G297" s="1">
        <v>5.67</v>
      </c>
      <c r="H297">
        <f t="shared" si="4"/>
        <v>857.02</v>
      </c>
    </row>
    <row r="298" spans="1:8" x14ac:dyDescent="0.25">
      <c r="A298" s="1" t="s">
        <v>311</v>
      </c>
      <c r="B298" s="5">
        <v>45670.333333333336</v>
      </c>
      <c r="C298" s="1" t="s">
        <v>23</v>
      </c>
      <c r="D298" s="1" t="s">
        <v>19</v>
      </c>
      <c r="E298" s="1">
        <v>17</v>
      </c>
      <c r="F298" s="1">
        <v>441.49</v>
      </c>
      <c r="G298" s="1">
        <v>7.48</v>
      </c>
      <c r="H298">
        <f t="shared" si="4"/>
        <v>7505.33</v>
      </c>
    </row>
    <row r="299" spans="1:8" x14ac:dyDescent="0.25">
      <c r="A299" s="1" t="s">
        <v>312</v>
      </c>
      <c r="B299" s="5">
        <v>45670.375</v>
      </c>
      <c r="C299" s="1" t="s">
        <v>8</v>
      </c>
      <c r="D299" s="1" t="s">
        <v>9</v>
      </c>
      <c r="E299" s="1">
        <v>16</v>
      </c>
      <c r="F299" s="1">
        <v>252.5</v>
      </c>
      <c r="G299" s="1">
        <v>17.690000000000001</v>
      </c>
      <c r="H299">
        <f t="shared" si="4"/>
        <v>4040</v>
      </c>
    </row>
    <row r="300" spans="1:8" x14ac:dyDescent="0.25">
      <c r="A300" s="1" t="s">
        <v>313</v>
      </c>
      <c r="B300" s="5">
        <v>45670.416666666664</v>
      </c>
      <c r="C300" s="1" t="s">
        <v>13</v>
      </c>
      <c r="D300" s="1" t="s">
        <v>9</v>
      </c>
      <c r="E300" s="1">
        <v>15</v>
      </c>
      <c r="F300" s="1">
        <v>428.31</v>
      </c>
      <c r="G300" s="1">
        <v>36.03</v>
      </c>
      <c r="H300">
        <f t="shared" si="4"/>
        <v>6424.65</v>
      </c>
    </row>
    <row r="301" spans="1:8" x14ac:dyDescent="0.25">
      <c r="A301" s="1" t="s">
        <v>314</v>
      </c>
      <c r="B301" s="5">
        <v>45670.458333333336</v>
      </c>
      <c r="C301" s="1" t="s">
        <v>11</v>
      </c>
      <c r="D301" s="1" t="s">
        <v>16</v>
      </c>
      <c r="E301" s="1">
        <v>13</v>
      </c>
      <c r="F301" s="1">
        <v>93.47</v>
      </c>
      <c r="G301" s="1">
        <v>45.8</v>
      </c>
      <c r="H301">
        <f t="shared" si="4"/>
        <v>1215.1099999999999</v>
      </c>
    </row>
    <row r="302" spans="1:8" x14ac:dyDescent="0.25">
      <c r="A302" s="1" t="s">
        <v>315</v>
      </c>
      <c r="B302" s="5">
        <v>45670.5</v>
      </c>
      <c r="C302" s="1" t="s">
        <v>13</v>
      </c>
      <c r="D302" s="1" t="s">
        <v>37</v>
      </c>
      <c r="E302" s="1">
        <v>15</v>
      </c>
      <c r="F302" s="1">
        <v>26.55</v>
      </c>
      <c r="G302" s="1">
        <v>48.15</v>
      </c>
      <c r="H302">
        <f t="shared" si="4"/>
        <v>398.25</v>
      </c>
    </row>
    <row r="303" spans="1:8" x14ac:dyDescent="0.25">
      <c r="A303" s="1" t="s">
        <v>316</v>
      </c>
      <c r="B303" s="5">
        <v>45670.541666666664</v>
      </c>
      <c r="C303" s="1" t="s">
        <v>13</v>
      </c>
      <c r="D303" s="1" t="s">
        <v>16</v>
      </c>
      <c r="E303" s="1">
        <v>4</v>
      </c>
      <c r="F303" s="1">
        <v>32.619999999999997</v>
      </c>
      <c r="G303" s="1">
        <v>6.16</v>
      </c>
      <c r="H303">
        <f t="shared" si="4"/>
        <v>130.47999999999999</v>
      </c>
    </row>
    <row r="304" spans="1:8" x14ac:dyDescent="0.25">
      <c r="A304" s="1" t="s">
        <v>317</v>
      </c>
      <c r="B304" s="5">
        <v>45670.583333333336</v>
      </c>
      <c r="C304" s="1" t="s">
        <v>8</v>
      </c>
      <c r="D304" s="1" t="s">
        <v>37</v>
      </c>
      <c r="E304" s="1">
        <v>16</v>
      </c>
      <c r="F304" s="1">
        <v>270.77</v>
      </c>
      <c r="G304" s="1">
        <v>49.55</v>
      </c>
      <c r="H304">
        <f t="shared" si="4"/>
        <v>4332.32</v>
      </c>
    </row>
    <row r="305" spans="1:8" x14ac:dyDescent="0.25">
      <c r="A305" s="1" t="s">
        <v>318</v>
      </c>
      <c r="B305" s="5">
        <v>45670.625</v>
      </c>
      <c r="C305" s="1" t="s">
        <v>23</v>
      </c>
      <c r="D305" s="1" t="s">
        <v>9</v>
      </c>
      <c r="E305" s="1">
        <v>12</v>
      </c>
      <c r="F305" s="1">
        <v>42.28</v>
      </c>
      <c r="G305" s="1">
        <v>19.510000000000002</v>
      </c>
      <c r="H305">
        <f t="shared" si="4"/>
        <v>507.36</v>
      </c>
    </row>
    <row r="306" spans="1:8" x14ac:dyDescent="0.25">
      <c r="A306" s="1" t="s">
        <v>319</v>
      </c>
      <c r="B306" s="5">
        <v>45670.666666666664</v>
      </c>
      <c r="C306" s="1" t="s">
        <v>23</v>
      </c>
      <c r="D306" s="1" t="s">
        <v>16</v>
      </c>
      <c r="E306" s="1">
        <v>4</v>
      </c>
      <c r="F306" s="1">
        <v>431.99</v>
      </c>
      <c r="G306" s="1">
        <v>42.93</v>
      </c>
      <c r="H306">
        <f t="shared" si="4"/>
        <v>1727.96</v>
      </c>
    </row>
    <row r="307" spans="1:8" x14ac:dyDescent="0.25">
      <c r="A307" s="1" t="s">
        <v>320</v>
      </c>
      <c r="B307" s="5">
        <v>45670.708333333336</v>
      </c>
      <c r="C307" s="1" t="s">
        <v>13</v>
      </c>
      <c r="D307" s="1" t="s">
        <v>19</v>
      </c>
      <c r="E307" s="1">
        <v>3</v>
      </c>
      <c r="F307" s="1">
        <v>77.17</v>
      </c>
      <c r="G307" s="1">
        <v>13.11</v>
      </c>
      <c r="H307">
        <f t="shared" si="4"/>
        <v>231.51</v>
      </c>
    </row>
    <row r="308" spans="1:8" x14ac:dyDescent="0.25">
      <c r="A308" s="1" t="s">
        <v>321</v>
      </c>
      <c r="B308" s="5">
        <v>45670.75</v>
      </c>
      <c r="C308" s="1" t="s">
        <v>11</v>
      </c>
      <c r="D308" s="1" t="s">
        <v>16</v>
      </c>
      <c r="E308" s="1">
        <v>17</v>
      </c>
      <c r="F308" s="1">
        <v>147.9</v>
      </c>
      <c r="G308" s="1">
        <v>7.83</v>
      </c>
      <c r="H308">
        <f t="shared" si="4"/>
        <v>2514.3000000000002</v>
      </c>
    </row>
    <row r="309" spans="1:8" x14ac:dyDescent="0.25">
      <c r="A309" s="1" t="s">
        <v>322</v>
      </c>
      <c r="B309" s="5">
        <v>45670.791666666664</v>
      </c>
      <c r="C309" s="1" t="s">
        <v>23</v>
      </c>
      <c r="D309" s="1" t="s">
        <v>9</v>
      </c>
      <c r="E309" s="1">
        <v>18</v>
      </c>
      <c r="F309" s="1">
        <v>372.88</v>
      </c>
      <c r="G309" s="1">
        <v>22.03</v>
      </c>
      <c r="H309">
        <f t="shared" si="4"/>
        <v>6711.84</v>
      </c>
    </row>
    <row r="310" spans="1:8" x14ac:dyDescent="0.25">
      <c r="A310" s="1" t="s">
        <v>323</v>
      </c>
      <c r="B310" s="5">
        <v>45670.833333333336</v>
      </c>
      <c r="C310" s="1" t="s">
        <v>11</v>
      </c>
      <c r="D310" s="1" t="s">
        <v>19</v>
      </c>
      <c r="E310" s="1">
        <v>18</v>
      </c>
      <c r="F310" s="1">
        <v>110.54</v>
      </c>
      <c r="G310" s="1">
        <v>43.65</v>
      </c>
      <c r="H310">
        <f t="shared" si="4"/>
        <v>1989.72</v>
      </c>
    </row>
    <row r="311" spans="1:8" x14ac:dyDescent="0.25">
      <c r="A311" s="1" t="s">
        <v>324</v>
      </c>
      <c r="B311" s="5">
        <v>45670.875</v>
      </c>
      <c r="C311" s="1" t="s">
        <v>23</v>
      </c>
      <c r="D311" s="1" t="s">
        <v>19</v>
      </c>
      <c r="E311" s="1">
        <v>17</v>
      </c>
      <c r="F311" s="1">
        <v>121.07</v>
      </c>
      <c r="G311" s="1">
        <v>14.94</v>
      </c>
      <c r="H311">
        <f t="shared" si="4"/>
        <v>2058.19</v>
      </c>
    </row>
    <row r="312" spans="1:8" x14ac:dyDescent="0.25">
      <c r="A312" s="1" t="s">
        <v>325</v>
      </c>
      <c r="B312" s="5">
        <v>45670.916666666664</v>
      </c>
      <c r="C312" s="1" t="s">
        <v>11</v>
      </c>
      <c r="D312" s="1" t="s">
        <v>37</v>
      </c>
      <c r="E312" s="1">
        <v>12</v>
      </c>
      <c r="F312" s="1">
        <v>294.58</v>
      </c>
      <c r="G312" s="1">
        <v>11.93</v>
      </c>
      <c r="H312">
        <f t="shared" si="4"/>
        <v>3534.96</v>
      </c>
    </row>
    <row r="313" spans="1:8" x14ac:dyDescent="0.25">
      <c r="A313" s="1" t="s">
        <v>326</v>
      </c>
      <c r="B313" s="5">
        <v>45670.958333333336</v>
      </c>
      <c r="C313" s="1" t="s">
        <v>8</v>
      </c>
      <c r="D313" s="1" t="s">
        <v>19</v>
      </c>
      <c r="E313" s="1">
        <v>4</v>
      </c>
      <c r="F313" s="1">
        <v>135.46</v>
      </c>
      <c r="G313" s="1">
        <v>45.94</v>
      </c>
      <c r="H313">
        <f t="shared" si="4"/>
        <v>541.84</v>
      </c>
    </row>
    <row r="314" spans="1:8" x14ac:dyDescent="0.25">
      <c r="A314" s="1" t="s">
        <v>327</v>
      </c>
      <c r="B314" s="5">
        <v>45671</v>
      </c>
      <c r="C314" s="1" t="s">
        <v>11</v>
      </c>
      <c r="D314" s="1" t="s">
        <v>19</v>
      </c>
      <c r="E314" s="1">
        <v>12</v>
      </c>
      <c r="F314" s="1">
        <v>109.98</v>
      </c>
      <c r="G314" s="1">
        <v>47.23</v>
      </c>
      <c r="H314">
        <f t="shared" si="4"/>
        <v>1319.76</v>
      </c>
    </row>
    <row r="315" spans="1:8" x14ac:dyDescent="0.25">
      <c r="A315" s="1" t="s">
        <v>328</v>
      </c>
      <c r="B315" s="5">
        <v>45671.041666666664</v>
      </c>
      <c r="C315" s="1" t="s">
        <v>8</v>
      </c>
      <c r="D315" s="1" t="s">
        <v>16</v>
      </c>
      <c r="E315" s="1">
        <v>15</v>
      </c>
      <c r="F315" s="1">
        <v>125.94</v>
      </c>
      <c r="G315" s="1">
        <v>5.56</v>
      </c>
      <c r="H315">
        <f t="shared" si="4"/>
        <v>1889.1</v>
      </c>
    </row>
    <row r="316" spans="1:8" x14ac:dyDescent="0.25">
      <c r="A316" s="1" t="s">
        <v>329</v>
      </c>
      <c r="B316" s="5">
        <v>45671.083333333336</v>
      </c>
      <c r="C316" s="1" t="s">
        <v>8</v>
      </c>
      <c r="D316" s="1" t="s">
        <v>9</v>
      </c>
      <c r="E316" s="1">
        <v>16</v>
      </c>
      <c r="F316" s="1">
        <v>228.69</v>
      </c>
      <c r="G316" s="1">
        <v>37.729999999999997</v>
      </c>
      <c r="H316">
        <f t="shared" si="4"/>
        <v>3659.04</v>
      </c>
    </row>
    <row r="317" spans="1:8" x14ac:dyDescent="0.25">
      <c r="A317" s="1" t="s">
        <v>330</v>
      </c>
      <c r="B317" s="5">
        <v>45671.125</v>
      </c>
      <c r="C317" s="1" t="s">
        <v>11</v>
      </c>
      <c r="D317" s="1" t="s">
        <v>37</v>
      </c>
      <c r="E317" s="1">
        <v>5</v>
      </c>
      <c r="F317" s="1">
        <v>435.27</v>
      </c>
      <c r="G317" s="1">
        <v>18.91</v>
      </c>
      <c r="H317">
        <f t="shared" si="4"/>
        <v>2176.35</v>
      </c>
    </row>
    <row r="318" spans="1:8" x14ac:dyDescent="0.25">
      <c r="A318" s="1" t="s">
        <v>331</v>
      </c>
      <c r="B318" s="5">
        <v>45671.166666666664</v>
      </c>
      <c r="C318" s="1" t="s">
        <v>8</v>
      </c>
      <c r="D318" s="1" t="s">
        <v>16</v>
      </c>
      <c r="E318" s="1">
        <v>15</v>
      </c>
      <c r="F318" s="1">
        <v>377.11</v>
      </c>
      <c r="G318" s="1">
        <v>21.86</v>
      </c>
      <c r="H318">
        <f t="shared" si="4"/>
        <v>5656.6500000000005</v>
      </c>
    </row>
    <row r="319" spans="1:8" x14ac:dyDescent="0.25">
      <c r="A319" s="1" t="s">
        <v>332</v>
      </c>
      <c r="B319" s="5">
        <v>45671.208333333336</v>
      </c>
      <c r="C319" s="1" t="s">
        <v>13</v>
      </c>
      <c r="D319" s="1" t="s">
        <v>19</v>
      </c>
      <c r="E319" s="1">
        <v>17</v>
      </c>
      <c r="F319" s="1">
        <v>139.16</v>
      </c>
      <c r="G319" s="1">
        <v>26.11</v>
      </c>
      <c r="H319">
        <f t="shared" si="4"/>
        <v>2365.7199999999998</v>
      </c>
    </row>
    <row r="320" spans="1:8" x14ac:dyDescent="0.25">
      <c r="A320" s="1" t="s">
        <v>333</v>
      </c>
      <c r="B320" s="5">
        <v>45671.25</v>
      </c>
      <c r="C320" s="1" t="s">
        <v>8</v>
      </c>
      <c r="D320" s="1" t="s">
        <v>19</v>
      </c>
      <c r="E320" s="1">
        <v>18</v>
      </c>
      <c r="F320" s="1">
        <v>173.39</v>
      </c>
      <c r="G320" s="1">
        <v>24.21</v>
      </c>
      <c r="H320">
        <f t="shared" si="4"/>
        <v>3121.0199999999995</v>
      </c>
    </row>
    <row r="321" spans="1:8" x14ac:dyDescent="0.25">
      <c r="A321" s="1" t="s">
        <v>334</v>
      </c>
      <c r="B321" s="5">
        <v>45671.291666666664</v>
      </c>
      <c r="C321" s="1" t="s">
        <v>23</v>
      </c>
      <c r="D321" s="1" t="s">
        <v>37</v>
      </c>
      <c r="E321" s="1">
        <v>5</v>
      </c>
      <c r="F321" s="1">
        <v>217.33</v>
      </c>
      <c r="G321" s="1">
        <v>28.17</v>
      </c>
      <c r="H321">
        <f t="shared" si="4"/>
        <v>1086.6500000000001</v>
      </c>
    </row>
    <row r="322" spans="1:8" x14ac:dyDescent="0.25">
      <c r="A322" s="1" t="s">
        <v>335</v>
      </c>
      <c r="B322" s="5">
        <v>45671.333333333336</v>
      </c>
      <c r="C322" s="1" t="s">
        <v>11</v>
      </c>
      <c r="D322" s="1" t="s">
        <v>9</v>
      </c>
      <c r="E322" s="1">
        <v>13</v>
      </c>
      <c r="F322" s="1">
        <v>440.84</v>
      </c>
      <c r="G322" s="1">
        <v>31.21</v>
      </c>
      <c r="H322">
        <f t="shared" ref="H322:H385" si="5">E322*F322</f>
        <v>5730.92</v>
      </c>
    </row>
    <row r="323" spans="1:8" x14ac:dyDescent="0.25">
      <c r="A323" s="1" t="s">
        <v>336</v>
      </c>
      <c r="B323" s="5">
        <v>45671.375</v>
      </c>
      <c r="C323" s="1" t="s">
        <v>13</v>
      </c>
      <c r="D323" s="1" t="s">
        <v>37</v>
      </c>
      <c r="E323" s="1">
        <v>19</v>
      </c>
      <c r="F323" s="1">
        <v>90.4</v>
      </c>
      <c r="G323" s="1">
        <v>25.95</v>
      </c>
      <c r="H323">
        <f t="shared" si="5"/>
        <v>1717.6000000000001</v>
      </c>
    </row>
    <row r="324" spans="1:8" x14ac:dyDescent="0.25">
      <c r="A324" s="1" t="s">
        <v>337</v>
      </c>
      <c r="B324" s="5">
        <v>45671.416666666664</v>
      </c>
      <c r="C324" s="1" t="s">
        <v>11</v>
      </c>
      <c r="D324" s="1" t="s">
        <v>16</v>
      </c>
      <c r="E324" s="1">
        <v>13</v>
      </c>
      <c r="F324" s="1">
        <v>170.83</v>
      </c>
      <c r="G324" s="1">
        <v>36.57</v>
      </c>
      <c r="H324">
        <f t="shared" si="5"/>
        <v>2220.79</v>
      </c>
    </row>
    <row r="325" spans="1:8" x14ac:dyDescent="0.25">
      <c r="A325" s="1" t="s">
        <v>338</v>
      </c>
      <c r="B325" s="5">
        <v>45671.458333333336</v>
      </c>
      <c r="C325" s="1" t="s">
        <v>23</v>
      </c>
      <c r="D325" s="1" t="s">
        <v>37</v>
      </c>
      <c r="E325" s="1">
        <v>18</v>
      </c>
      <c r="F325" s="1">
        <v>332.44</v>
      </c>
      <c r="G325" s="1">
        <v>37.340000000000003</v>
      </c>
      <c r="H325">
        <f t="shared" si="5"/>
        <v>5983.92</v>
      </c>
    </row>
    <row r="326" spans="1:8" x14ac:dyDescent="0.25">
      <c r="A326" s="1" t="s">
        <v>339</v>
      </c>
      <c r="B326" s="5">
        <v>45671.5</v>
      </c>
      <c r="C326" s="1" t="s">
        <v>23</v>
      </c>
      <c r="D326" s="1" t="s">
        <v>19</v>
      </c>
      <c r="E326" s="1">
        <v>14</v>
      </c>
      <c r="F326" s="1">
        <v>434.33</v>
      </c>
      <c r="G326" s="1">
        <v>24.82</v>
      </c>
      <c r="H326">
        <f t="shared" si="5"/>
        <v>6080.62</v>
      </c>
    </row>
    <row r="327" spans="1:8" x14ac:dyDescent="0.25">
      <c r="A327" s="1" t="s">
        <v>340</v>
      </c>
      <c r="B327" s="5">
        <v>45671.541666666664</v>
      </c>
      <c r="C327" s="1" t="s">
        <v>23</v>
      </c>
      <c r="D327" s="1" t="s">
        <v>16</v>
      </c>
      <c r="E327" s="1">
        <v>4</v>
      </c>
      <c r="F327" s="1">
        <v>83.14</v>
      </c>
      <c r="G327" s="1">
        <v>11.41</v>
      </c>
      <c r="H327">
        <f t="shared" si="5"/>
        <v>332.56</v>
      </c>
    </row>
    <row r="328" spans="1:8" x14ac:dyDescent="0.25">
      <c r="A328" s="1" t="s">
        <v>341</v>
      </c>
      <c r="B328" s="5">
        <v>45671.583333333336</v>
      </c>
      <c r="C328" s="1" t="s">
        <v>8</v>
      </c>
      <c r="D328" s="1" t="s">
        <v>19</v>
      </c>
      <c r="E328" s="1">
        <v>4</v>
      </c>
      <c r="F328" s="1">
        <v>114.3</v>
      </c>
      <c r="G328" s="1">
        <v>33.83</v>
      </c>
      <c r="H328">
        <f t="shared" si="5"/>
        <v>457.2</v>
      </c>
    </row>
    <row r="329" spans="1:8" x14ac:dyDescent="0.25">
      <c r="A329" s="1" t="s">
        <v>342</v>
      </c>
      <c r="B329" s="5">
        <v>45671.625</v>
      </c>
      <c r="C329" s="1" t="s">
        <v>8</v>
      </c>
      <c r="D329" s="1" t="s">
        <v>9</v>
      </c>
      <c r="E329" s="1">
        <v>19</v>
      </c>
      <c r="F329" s="1">
        <v>113.56</v>
      </c>
      <c r="G329" s="1">
        <v>39.78</v>
      </c>
      <c r="H329">
        <f t="shared" si="5"/>
        <v>2157.64</v>
      </c>
    </row>
    <row r="330" spans="1:8" x14ac:dyDescent="0.25">
      <c r="A330" s="1" t="s">
        <v>343</v>
      </c>
      <c r="B330" s="5">
        <v>45671.666666666664</v>
      </c>
      <c r="C330" s="1" t="s">
        <v>11</v>
      </c>
      <c r="D330" s="1" t="s">
        <v>19</v>
      </c>
      <c r="E330" s="1">
        <v>13</v>
      </c>
      <c r="F330" s="1">
        <v>24.59</v>
      </c>
      <c r="G330" s="1">
        <v>33.71</v>
      </c>
      <c r="H330">
        <f t="shared" si="5"/>
        <v>319.67</v>
      </c>
    </row>
    <row r="331" spans="1:8" x14ac:dyDescent="0.25">
      <c r="A331" s="1" t="s">
        <v>344</v>
      </c>
      <c r="B331" s="5">
        <v>45671.708333333336</v>
      </c>
      <c r="C331" s="1" t="s">
        <v>11</v>
      </c>
      <c r="D331" s="1" t="s">
        <v>19</v>
      </c>
      <c r="E331" s="1">
        <v>12</v>
      </c>
      <c r="F331" s="1">
        <v>277.99</v>
      </c>
      <c r="G331" s="1">
        <v>31.46</v>
      </c>
      <c r="H331">
        <f t="shared" si="5"/>
        <v>3335.88</v>
      </c>
    </row>
    <row r="332" spans="1:8" x14ac:dyDescent="0.25">
      <c r="A332" s="1" t="s">
        <v>345</v>
      </c>
      <c r="B332" s="5">
        <v>45671.75</v>
      </c>
      <c r="C332" s="1" t="s">
        <v>13</v>
      </c>
      <c r="D332" s="1" t="s">
        <v>37</v>
      </c>
      <c r="E332" s="1">
        <v>7</v>
      </c>
      <c r="F332" s="1">
        <v>306.92</v>
      </c>
      <c r="G332" s="1">
        <v>15.32</v>
      </c>
      <c r="H332">
        <f t="shared" si="5"/>
        <v>2148.44</v>
      </c>
    </row>
    <row r="333" spans="1:8" x14ac:dyDescent="0.25">
      <c r="A333" s="1" t="s">
        <v>346</v>
      </c>
      <c r="B333" s="5">
        <v>45671.791666666664</v>
      </c>
      <c r="C333" s="1" t="s">
        <v>13</v>
      </c>
      <c r="D333" s="1" t="s">
        <v>19</v>
      </c>
      <c r="E333" s="1">
        <v>12</v>
      </c>
      <c r="F333" s="1">
        <v>277.3</v>
      </c>
      <c r="G333" s="1">
        <v>34.03</v>
      </c>
      <c r="H333">
        <f t="shared" si="5"/>
        <v>3327.6000000000004</v>
      </c>
    </row>
    <row r="334" spans="1:8" x14ac:dyDescent="0.25">
      <c r="A334" s="1" t="s">
        <v>347</v>
      </c>
      <c r="B334" s="5">
        <v>45671.833333333336</v>
      </c>
      <c r="C334" s="1" t="s">
        <v>11</v>
      </c>
      <c r="D334" s="1" t="s">
        <v>16</v>
      </c>
      <c r="E334" s="1">
        <v>4</v>
      </c>
      <c r="F334" s="1">
        <v>46.49</v>
      </c>
      <c r="G334" s="1">
        <v>20.07</v>
      </c>
      <c r="H334">
        <f t="shared" si="5"/>
        <v>185.96</v>
      </c>
    </row>
    <row r="335" spans="1:8" x14ac:dyDescent="0.25">
      <c r="A335" s="1" t="s">
        <v>348</v>
      </c>
      <c r="B335" s="5">
        <v>45671.875</v>
      </c>
      <c r="C335" s="1" t="s">
        <v>8</v>
      </c>
      <c r="D335" s="1" t="s">
        <v>16</v>
      </c>
      <c r="E335" s="1">
        <v>2</v>
      </c>
      <c r="F335" s="1">
        <v>45.58</v>
      </c>
      <c r="G335" s="1">
        <v>46.38</v>
      </c>
      <c r="H335">
        <f t="shared" si="5"/>
        <v>91.16</v>
      </c>
    </row>
    <row r="336" spans="1:8" x14ac:dyDescent="0.25">
      <c r="A336" s="1" t="s">
        <v>349</v>
      </c>
      <c r="B336" s="5">
        <v>45671.916666666664</v>
      </c>
      <c r="C336" s="1" t="s">
        <v>23</v>
      </c>
      <c r="D336" s="1" t="s">
        <v>9</v>
      </c>
      <c r="E336" s="1">
        <v>2</v>
      </c>
      <c r="F336" s="1">
        <v>106.91</v>
      </c>
      <c r="G336" s="1">
        <v>34.42</v>
      </c>
      <c r="H336">
        <f t="shared" si="5"/>
        <v>213.82</v>
      </c>
    </row>
    <row r="337" spans="1:8" x14ac:dyDescent="0.25">
      <c r="A337" s="1" t="s">
        <v>350</v>
      </c>
      <c r="B337" s="5">
        <v>45671.958333333336</v>
      </c>
      <c r="C337" s="1" t="s">
        <v>11</v>
      </c>
      <c r="D337" s="1" t="s">
        <v>16</v>
      </c>
      <c r="E337" s="1">
        <v>5</v>
      </c>
      <c r="F337" s="1">
        <v>141.63</v>
      </c>
      <c r="G337" s="1">
        <v>17.52</v>
      </c>
      <c r="H337">
        <f t="shared" si="5"/>
        <v>708.15</v>
      </c>
    </row>
    <row r="338" spans="1:8" x14ac:dyDescent="0.25">
      <c r="A338" s="1" t="s">
        <v>351</v>
      </c>
      <c r="B338" s="5">
        <v>45672</v>
      </c>
      <c r="C338" s="1" t="s">
        <v>13</v>
      </c>
      <c r="D338" s="1" t="s">
        <v>37</v>
      </c>
      <c r="E338" s="1">
        <v>10</v>
      </c>
      <c r="F338" s="1">
        <v>357.25</v>
      </c>
      <c r="G338" s="1">
        <v>26.28</v>
      </c>
      <c r="H338">
        <f t="shared" si="5"/>
        <v>3572.5</v>
      </c>
    </row>
    <row r="339" spans="1:8" x14ac:dyDescent="0.25">
      <c r="A339" s="1" t="s">
        <v>352</v>
      </c>
      <c r="B339" s="5">
        <v>45672.041666666664</v>
      </c>
      <c r="C339" s="1" t="s">
        <v>8</v>
      </c>
      <c r="D339" s="1" t="s">
        <v>9</v>
      </c>
      <c r="E339" s="1">
        <v>10</v>
      </c>
      <c r="F339" s="1">
        <v>84.76</v>
      </c>
      <c r="G339" s="1">
        <v>43.1</v>
      </c>
      <c r="H339">
        <f t="shared" si="5"/>
        <v>847.6</v>
      </c>
    </row>
    <row r="340" spans="1:8" x14ac:dyDescent="0.25">
      <c r="A340" s="1" t="s">
        <v>353</v>
      </c>
      <c r="B340" s="5">
        <v>45672.083333333336</v>
      </c>
      <c r="C340" s="1" t="s">
        <v>11</v>
      </c>
      <c r="D340" s="1" t="s">
        <v>16</v>
      </c>
      <c r="E340" s="1">
        <v>9</v>
      </c>
      <c r="F340" s="1">
        <v>34.659999999999997</v>
      </c>
      <c r="G340" s="1">
        <v>20.100000000000001</v>
      </c>
      <c r="H340">
        <f t="shared" si="5"/>
        <v>311.93999999999994</v>
      </c>
    </row>
    <row r="341" spans="1:8" x14ac:dyDescent="0.25">
      <c r="A341" s="1" t="s">
        <v>354</v>
      </c>
      <c r="B341" s="5">
        <v>45672.125</v>
      </c>
      <c r="C341" s="1" t="s">
        <v>11</v>
      </c>
      <c r="D341" s="1" t="s">
        <v>37</v>
      </c>
      <c r="E341" s="1">
        <v>13</v>
      </c>
      <c r="F341" s="1">
        <v>186.69</v>
      </c>
      <c r="G341" s="1">
        <v>28.64</v>
      </c>
      <c r="H341">
        <f t="shared" si="5"/>
        <v>2426.9699999999998</v>
      </c>
    </row>
    <row r="342" spans="1:8" x14ac:dyDescent="0.25">
      <c r="A342" s="1" t="s">
        <v>355</v>
      </c>
      <c r="B342" s="5">
        <v>45672.166666666664</v>
      </c>
      <c r="C342" s="1" t="s">
        <v>8</v>
      </c>
      <c r="D342" s="1" t="s">
        <v>16</v>
      </c>
      <c r="E342" s="1">
        <v>7</v>
      </c>
      <c r="F342" s="1">
        <v>196.42</v>
      </c>
      <c r="G342" s="1">
        <v>35.590000000000003</v>
      </c>
      <c r="H342">
        <f t="shared" si="5"/>
        <v>1374.9399999999998</v>
      </c>
    </row>
    <row r="343" spans="1:8" x14ac:dyDescent="0.25">
      <c r="A343" s="1" t="s">
        <v>356</v>
      </c>
      <c r="B343" s="5">
        <v>45672.208333333336</v>
      </c>
      <c r="C343" s="1" t="s">
        <v>11</v>
      </c>
      <c r="D343" s="1" t="s">
        <v>16</v>
      </c>
      <c r="E343" s="1">
        <v>5</v>
      </c>
      <c r="F343" s="1">
        <v>211.42</v>
      </c>
      <c r="G343" s="1">
        <v>38.950000000000003</v>
      </c>
      <c r="H343">
        <f t="shared" si="5"/>
        <v>1057.0999999999999</v>
      </c>
    </row>
    <row r="344" spans="1:8" x14ac:dyDescent="0.25">
      <c r="A344" s="1" t="s">
        <v>357</v>
      </c>
      <c r="B344" s="5">
        <v>45672.25</v>
      </c>
      <c r="C344" s="1" t="s">
        <v>8</v>
      </c>
      <c r="D344" s="1" t="s">
        <v>19</v>
      </c>
      <c r="E344" s="1">
        <v>10</v>
      </c>
      <c r="F344" s="1">
        <v>374.79</v>
      </c>
      <c r="G344" s="1">
        <v>12.83</v>
      </c>
      <c r="H344">
        <f t="shared" si="5"/>
        <v>3747.9</v>
      </c>
    </row>
    <row r="345" spans="1:8" x14ac:dyDescent="0.25">
      <c r="A345" s="1" t="s">
        <v>358</v>
      </c>
      <c r="B345" s="5">
        <v>45672.291666666664</v>
      </c>
      <c r="C345" s="1" t="s">
        <v>23</v>
      </c>
      <c r="D345" s="1" t="s">
        <v>16</v>
      </c>
      <c r="E345" s="1">
        <v>10</v>
      </c>
      <c r="F345" s="1">
        <v>58.08</v>
      </c>
      <c r="G345" s="1">
        <v>30.43</v>
      </c>
      <c r="H345">
        <f t="shared" si="5"/>
        <v>580.79999999999995</v>
      </c>
    </row>
    <row r="346" spans="1:8" x14ac:dyDescent="0.25">
      <c r="A346" s="1" t="s">
        <v>359</v>
      </c>
      <c r="B346" s="5">
        <v>45672.333333333336</v>
      </c>
      <c r="C346" s="1" t="s">
        <v>8</v>
      </c>
      <c r="D346" s="1" t="s">
        <v>16</v>
      </c>
      <c r="E346" s="1">
        <v>6</v>
      </c>
      <c r="F346" s="1">
        <v>321.36</v>
      </c>
      <c r="G346" s="1">
        <v>46.05</v>
      </c>
      <c r="H346">
        <f t="shared" si="5"/>
        <v>1928.16</v>
      </c>
    </row>
    <row r="347" spans="1:8" x14ac:dyDescent="0.25">
      <c r="A347" s="1" t="s">
        <v>360</v>
      </c>
      <c r="B347" s="5">
        <v>45672.375</v>
      </c>
      <c r="C347" s="1" t="s">
        <v>8</v>
      </c>
      <c r="D347" s="1" t="s">
        <v>37</v>
      </c>
      <c r="E347" s="1">
        <v>19</v>
      </c>
      <c r="F347" s="1">
        <v>162.34</v>
      </c>
      <c r="G347" s="1">
        <v>48.58</v>
      </c>
      <c r="H347">
        <f t="shared" si="5"/>
        <v>3084.46</v>
      </c>
    </row>
    <row r="348" spans="1:8" x14ac:dyDescent="0.25">
      <c r="A348" s="1" t="s">
        <v>361</v>
      </c>
      <c r="B348" s="5">
        <v>45672.416666666664</v>
      </c>
      <c r="C348" s="1" t="s">
        <v>8</v>
      </c>
      <c r="D348" s="1" t="s">
        <v>37</v>
      </c>
      <c r="E348" s="1">
        <v>8</v>
      </c>
      <c r="F348" s="1">
        <v>150.19</v>
      </c>
      <c r="G348" s="1">
        <v>34.53</v>
      </c>
      <c r="H348">
        <f t="shared" si="5"/>
        <v>1201.52</v>
      </c>
    </row>
    <row r="349" spans="1:8" x14ac:dyDescent="0.25">
      <c r="A349" s="1" t="s">
        <v>362</v>
      </c>
      <c r="B349" s="5">
        <v>45672.458333333336</v>
      </c>
      <c r="C349" s="1" t="s">
        <v>11</v>
      </c>
      <c r="D349" s="1" t="s">
        <v>19</v>
      </c>
      <c r="E349" s="1">
        <v>1</v>
      </c>
      <c r="F349" s="1">
        <v>420.69</v>
      </c>
      <c r="G349" s="1">
        <v>49.26</v>
      </c>
      <c r="H349">
        <f t="shared" si="5"/>
        <v>420.69</v>
      </c>
    </row>
    <row r="350" spans="1:8" x14ac:dyDescent="0.25">
      <c r="A350" s="1" t="s">
        <v>363</v>
      </c>
      <c r="B350" s="5">
        <v>45672.5</v>
      </c>
      <c r="C350" s="1" t="s">
        <v>11</v>
      </c>
      <c r="D350" s="1" t="s">
        <v>16</v>
      </c>
      <c r="E350" s="1">
        <v>17</v>
      </c>
      <c r="F350" s="1">
        <v>123.46</v>
      </c>
      <c r="G350" s="1">
        <v>30.68</v>
      </c>
      <c r="H350">
        <f t="shared" si="5"/>
        <v>2098.8199999999997</v>
      </c>
    </row>
    <row r="351" spans="1:8" x14ac:dyDescent="0.25">
      <c r="A351" s="1" t="s">
        <v>364</v>
      </c>
      <c r="B351" s="5">
        <v>45672.541666666664</v>
      </c>
      <c r="C351" s="1" t="s">
        <v>8</v>
      </c>
      <c r="D351" s="1" t="s">
        <v>19</v>
      </c>
      <c r="E351" s="1">
        <v>7</v>
      </c>
      <c r="F351" s="1">
        <v>294.68</v>
      </c>
      <c r="G351" s="1">
        <v>24.92</v>
      </c>
      <c r="H351">
        <f t="shared" si="5"/>
        <v>2062.7600000000002</v>
      </c>
    </row>
    <row r="352" spans="1:8" x14ac:dyDescent="0.25">
      <c r="A352" s="1" t="s">
        <v>365</v>
      </c>
      <c r="B352" s="5">
        <v>45672.583333333336</v>
      </c>
      <c r="C352" s="1" t="s">
        <v>11</v>
      </c>
      <c r="D352" s="1" t="s">
        <v>16</v>
      </c>
      <c r="E352" s="1">
        <v>14</v>
      </c>
      <c r="F352" s="1">
        <v>135.04</v>
      </c>
      <c r="G352" s="1">
        <v>29.82</v>
      </c>
      <c r="H352">
        <f t="shared" si="5"/>
        <v>1890.56</v>
      </c>
    </row>
    <row r="353" spans="1:8" x14ac:dyDescent="0.25">
      <c r="A353" s="1" t="s">
        <v>366</v>
      </c>
      <c r="B353" s="5">
        <v>45672.625</v>
      </c>
      <c r="C353" s="1" t="s">
        <v>13</v>
      </c>
      <c r="D353" s="1" t="s">
        <v>9</v>
      </c>
      <c r="E353" s="1">
        <v>17</v>
      </c>
      <c r="F353" s="1">
        <v>235.85</v>
      </c>
      <c r="G353" s="1">
        <v>10.210000000000001</v>
      </c>
      <c r="H353">
        <f t="shared" si="5"/>
        <v>4009.45</v>
      </c>
    </row>
    <row r="354" spans="1:8" x14ac:dyDescent="0.25">
      <c r="A354" s="1" t="s">
        <v>367</v>
      </c>
      <c r="B354" s="5">
        <v>45672.666666666664</v>
      </c>
      <c r="C354" s="1" t="s">
        <v>13</v>
      </c>
      <c r="D354" s="1" t="s">
        <v>9</v>
      </c>
      <c r="E354" s="1">
        <v>9</v>
      </c>
      <c r="F354" s="1">
        <v>357.14</v>
      </c>
      <c r="G354" s="1">
        <v>23.08</v>
      </c>
      <c r="H354">
        <f t="shared" si="5"/>
        <v>3214.2599999999998</v>
      </c>
    </row>
    <row r="355" spans="1:8" x14ac:dyDescent="0.25">
      <c r="A355" s="1" t="s">
        <v>368</v>
      </c>
      <c r="B355" s="5">
        <v>45672.708333333336</v>
      </c>
      <c r="C355" s="1" t="s">
        <v>11</v>
      </c>
      <c r="D355" s="1" t="s">
        <v>19</v>
      </c>
      <c r="E355" s="1">
        <v>17</v>
      </c>
      <c r="F355" s="1">
        <v>398.61</v>
      </c>
      <c r="G355" s="1">
        <v>25.63</v>
      </c>
      <c r="H355">
        <f t="shared" si="5"/>
        <v>6776.37</v>
      </c>
    </row>
    <row r="356" spans="1:8" x14ac:dyDescent="0.25">
      <c r="A356" s="1" t="s">
        <v>369</v>
      </c>
      <c r="B356" s="5">
        <v>45672.75</v>
      </c>
      <c r="C356" s="1" t="s">
        <v>11</v>
      </c>
      <c r="D356" s="1" t="s">
        <v>19</v>
      </c>
      <c r="E356" s="1">
        <v>5</v>
      </c>
      <c r="F356" s="1">
        <v>379.91</v>
      </c>
      <c r="G356" s="1">
        <v>43.19</v>
      </c>
      <c r="H356">
        <f t="shared" si="5"/>
        <v>1899.5500000000002</v>
      </c>
    </row>
    <row r="357" spans="1:8" x14ac:dyDescent="0.25">
      <c r="A357" s="1" t="s">
        <v>370</v>
      </c>
      <c r="B357" s="5">
        <v>45672.791666666664</v>
      </c>
      <c r="C357" s="1" t="s">
        <v>8</v>
      </c>
      <c r="D357" s="1" t="s">
        <v>19</v>
      </c>
      <c r="E357" s="1">
        <v>8</v>
      </c>
      <c r="F357" s="1">
        <v>268.45999999999998</v>
      </c>
      <c r="G357" s="1">
        <v>39.14</v>
      </c>
      <c r="H357">
        <f t="shared" si="5"/>
        <v>2147.6799999999998</v>
      </c>
    </row>
    <row r="358" spans="1:8" x14ac:dyDescent="0.25">
      <c r="A358" s="1" t="s">
        <v>371</v>
      </c>
      <c r="B358" s="5">
        <v>45672.833333333336</v>
      </c>
      <c r="C358" s="1" t="s">
        <v>23</v>
      </c>
      <c r="D358" s="1" t="s">
        <v>37</v>
      </c>
      <c r="E358" s="1">
        <v>6</v>
      </c>
      <c r="F358" s="1">
        <v>123.61</v>
      </c>
      <c r="G358" s="1">
        <v>32.06</v>
      </c>
      <c r="H358">
        <f t="shared" si="5"/>
        <v>741.66</v>
      </c>
    </row>
    <row r="359" spans="1:8" x14ac:dyDescent="0.25">
      <c r="A359" s="1" t="s">
        <v>372</v>
      </c>
      <c r="B359" s="5">
        <v>45672.875</v>
      </c>
      <c r="C359" s="1" t="s">
        <v>11</v>
      </c>
      <c r="D359" s="1" t="s">
        <v>37</v>
      </c>
      <c r="E359" s="1">
        <v>11</v>
      </c>
      <c r="F359" s="1">
        <v>302.81</v>
      </c>
      <c r="G359" s="1">
        <v>20.63</v>
      </c>
      <c r="H359">
        <f t="shared" si="5"/>
        <v>3330.91</v>
      </c>
    </row>
    <row r="360" spans="1:8" x14ac:dyDescent="0.25">
      <c r="A360" s="1" t="s">
        <v>373</v>
      </c>
      <c r="B360" s="5">
        <v>45672.916666666664</v>
      </c>
      <c r="C360" s="1" t="s">
        <v>13</v>
      </c>
      <c r="D360" s="1" t="s">
        <v>37</v>
      </c>
      <c r="E360" s="1">
        <v>19</v>
      </c>
      <c r="F360" s="1">
        <v>323.95</v>
      </c>
      <c r="G360" s="1">
        <v>13.42</v>
      </c>
      <c r="H360">
        <f t="shared" si="5"/>
        <v>6155.05</v>
      </c>
    </row>
    <row r="361" spans="1:8" x14ac:dyDescent="0.25">
      <c r="A361" s="1" t="s">
        <v>374</v>
      </c>
      <c r="B361" s="5">
        <v>45672.958333333336</v>
      </c>
      <c r="C361" s="1" t="s">
        <v>8</v>
      </c>
      <c r="D361" s="1" t="s">
        <v>19</v>
      </c>
      <c r="E361" s="1">
        <v>4</v>
      </c>
      <c r="F361" s="1">
        <v>20.149999999999999</v>
      </c>
      <c r="G361" s="1">
        <v>20.65</v>
      </c>
      <c r="H361">
        <f t="shared" si="5"/>
        <v>80.599999999999994</v>
      </c>
    </row>
    <row r="362" spans="1:8" x14ac:dyDescent="0.25">
      <c r="A362" s="1" t="s">
        <v>375</v>
      </c>
      <c r="B362" s="5">
        <v>45673</v>
      </c>
      <c r="C362" s="1" t="s">
        <v>11</v>
      </c>
      <c r="D362" s="1" t="s">
        <v>16</v>
      </c>
      <c r="E362" s="1">
        <v>18</v>
      </c>
      <c r="F362" s="1">
        <v>206.34</v>
      </c>
      <c r="G362" s="1">
        <v>35.590000000000003</v>
      </c>
      <c r="H362">
        <f t="shared" si="5"/>
        <v>3714.12</v>
      </c>
    </row>
    <row r="363" spans="1:8" x14ac:dyDescent="0.25">
      <c r="A363" s="1" t="s">
        <v>376</v>
      </c>
      <c r="B363" s="5">
        <v>45673.041666666664</v>
      </c>
      <c r="C363" s="1" t="s">
        <v>13</v>
      </c>
      <c r="D363" s="1" t="s">
        <v>9</v>
      </c>
      <c r="E363" s="1">
        <v>1</v>
      </c>
      <c r="F363" s="1">
        <v>381.9</v>
      </c>
      <c r="G363" s="1">
        <v>16.84</v>
      </c>
      <c r="H363">
        <f t="shared" si="5"/>
        <v>381.9</v>
      </c>
    </row>
    <row r="364" spans="1:8" x14ac:dyDescent="0.25">
      <c r="A364" s="1" t="s">
        <v>377</v>
      </c>
      <c r="B364" s="5">
        <v>45673.083333333336</v>
      </c>
      <c r="C364" s="1" t="s">
        <v>13</v>
      </c>
      <c r="D364" s="1" t="s">
        <v>19</v>
      </c>
      <c r="E364" s="1">
        <v>13</v>
      </c>
      <c r="F364" s="1">
        <v>228.23</v>
      </c>
      <c r="G364" s="1">
        <v>24.21</v>
      </c>
      <c r="H364">
        <f t="shared" si="5"/>
        <v>2966.99</v>
      </c>
    </row>
    <row r="365" spans="1:8" x14ac:dyDescent="0.25">
      <c r="A365" s="1" t="s">
        <v>378</v>
      </c>
      <c r="B365" s="5">
        <v>45673.125</v>
      </c>
      <c r="C365" s="1" t="s">
        <v>23</v>
      </c>
      <c r="D365" s="1" t="s">
        <v>37</v>
      </c>
      <c r="E365" s="1">
        <v>14</v>
      </c>
      <c r="F365" s="1">
        <v>150.79</v>
      </c>
      <c r="G365" s="1">
        <v>22.4</v>
      </c>
      <c r="H365">
        <f t="shared" si="5"/>
        <v>2111.06</v>
      </c>
    </row>
    <row r="366" spans="1:8" x14ac:dyDescent="0.25">
      <c r="A366" s="1" t="s">
        <v>379</v>
      </c>
      <c r="B366" s="5">
        <v>45673.166666666664</v>
      </c>
      <c r="C366" s="1" t="s">
        <v>8</v>
      </c>
      <c r="D366" s="1" t="s">
        <v>37</v>
      </c>
      <c r="E366" s="1">
        <v>1</v>
      </c>
      <c r="F366" s="1">
        <v>394.3</v>
      </c>
      <c r="G366" s="1">
        <v>39.450000000000003</v>
      </c>
      <c r="H366">
        <f t="shared" si="5"/>
        <v>394.3</v>
      </c>
    </row>
    <row r="367" spans="1:8" x14ac:dyDescent="0.25">
      <c r="A367" s="1" t="s">
        <v>380</v>
      </c>
      <c r="B367" s="5">
        <v>45673.208333333336</v>
      </c>
      <c r="C367" s="1" t="s">
        <v>8</v>
      </c>
      <c r="D367" s="1" t="s">
        <v>19</v>
      </c>
      <c r="E367" s="1">
        <v>11</v>
      </c>
      <c r="F367" s="1">
        <v>83.23</v>
      </c>
      <c r="G367" s="1">
        <v>44.77</v>
      </c>
      <c r="H367">
        <f t="shared" si="5"/>
        <v>915.53000000000009</v>
      </c>
    </row>
    <row r="368" spans="1:8" x14ac:dyDescent="0.25">
      <c r="A368" s="1" t="s">
        <v>381</v>
      </c>
      <c r="B368" s="5">
        <v>45673.25</v>
      </c>
      <c r="C368" s="1" t="s">
        <v>23</v>
      </c>
      <c r="D368" s="1" t="s">
        <v>19</v>
      </c>
      <c r="E368" s="1">
        <v>17</v>
      </c>
      <c r="F368" s="1">
        <v>105.2</v>
      </c>
      <c r="G368" s="1">
        <v>36.47</v>
      </c>
      <c r="H368">
        <f t="shared" si="5"/>
        <v>1788.4</v>
      </c>
    </row>
    <row r="369" spans="1:8" x14ac:dyDescent="0.25">
      <c r="A369" s="1" t="s">
        <v>382</v>
      </c>
      <c r="B369" s="5">
        <v>45673.291666666664</v>
      </c>
      <c r="C369" s="1" t="s">
        <v>23</v>
      </c>
      <c r="D369" s="1" t="s">
        <v>37</v>
      </c>
      <c r="E369" s="1">
        <v>4</v>
      </c>
      <c r="F369" s="1">
        <v>314.16000000000003</v>
      </c>
      <c r="G369" s="1">
        <v>20.37</v>
      </c>
      <c r="H369">
        <f t="shared" si="5"/>
        <v>1256.6400000000001</v>
      </c>
    </row>
    <row r="370" spans="1:8" x14ac:dyDescent="0.25">
      <c r="A370" s="1" t="s">
        <v>383</v>
      </c>
      <c r="B370" s="5">
        <v>45673.333333333336</v>
      </c>
      <c r="C370" s="1" t="s">
        <v>8</v>
      </c>
      <c r="D370" s="1" t="s">
        <v>16</v>
      </c>
      <c r="E370" s="1">
        <v>12</v>
      </c>
      <c r="F370" s="1">
        <v>168.63</v>
      </c>
      <c r="G370" s="1">
        <v>24.49</v>
      </c>
      <c r="H370">
        <f t="shared" si="5"/>
        <v>2023.56</v>
      </c>
    </row>
    <row r="371" spans="1:8" x14ac:dyDescent="0.25">
      <c r="A371" s="1" t="s">
        <v>384</v>
      </c>
      <c r="B371" s="5">
        <v>45673.375</v>
      </c>
      <c r="C371" s="1" t="s">
        <v>8</v>
      </c>
      <c r="D371" s="1" t="s">
        <v>37</v>
      </c>
      <c r="E371" s="1">
        <v>10</v>
      </c>
      <c r="F371" s="1">
        <v>325.31</v>
      </c>
      <c r="G371" s="1">
        <v>11.45</v>
      </c>
      <c r="H371">
        <f t="shared" si="5"/>
        <v>3253.1</v>
      </c>
    </row>
    <row r="372" spans="1:8" x14ac:dyDescent="0.25">
      <c r="A372" s="1" t="s">
        <v>385</v>
      </c>
      <c r="B372" s="5">
        <v>45673.416666666664</v>
      </c>
      <c r="C372" s="1" t="s">
        <v>11</v>
      </c>
      <c r="D372" s="1" t="s">
        <v>37</v>
      </c>
      <c r="E372" s="1">
        <v>6</v>
      </c>
      <c r="F372" s="1">
        <v>84.02</v>
      </c>
      <c r="G372" s="1">
        <v>12.56</v>
      </c>
      <c r="H372">
        <f t="shared" si="5"/>
        <v>504.12</v>
      </c>
    </row>
    <row r="373" spans="1:8" x14ac:dyDescent="0.25">
      <c r="A373" s="1" t="s">
        <v>386</v>
      </c>
      <c r="B373" s="5">
        <v>45673.458333333336</v>
      </c>
      <c r="C373" s="1" t="s">
        <v>11</v>
      </c>
      <c r="D373" s="1" t="s">
        <v>19</v>
      </c>
      <c r="E373" s="1">
        <v>1</v>
      </c>
      <c r="F373" s="1">
        <v>125.11</v>
      </c>
      <c r="G373" s="1">
        <v>12.39</v>
      </c>
      <c r="H373">
        <f t="shared" si="5"/>
        <v>125.11</v>
      </c>
    </row>
    <row r="374" spans="1:8" x14ac:dyDescent="0.25">
      <c r="A374" s="1" t="s">
        <v>387</v>
      </c>
      <c r="B374" s="5">
        <v>45673.5</v>
      </c>
      <c r="C374" s="1" t="s">
        <v>23</v>
      </c>
      <c r="D374" s="1" t="s">
        <v>16</v>
      </c>
      <c r="E374" s="1">
        <v>7</v>
      </c>
      <c r="F374" s="1">
        <v>83.56</v>
      </c>
      <c r="G374" s="1">
        <v>10.88</v>
      </c>
      <c r="H374">
        <f t="shared" si="5"/>
        <v>584.92000000000007</v>
      </c>
    </row>
    <row r="375" spans="1:8" x14ac:dyDescent="0.25">
      <c r="A375" s="1" t="s">
        <v>388</v>
      </c>
      <c r="B375" s="5">
        <v>45673.541666666664</v>
      </c>
      <c r="C375" s="1" t="s">
        <v>11</v>
      </c>
      <c r="D375" s="1" t="s">
        <v>37</v>
      </c>
      <c r="E375" s="1">
        <v>16</v>
      </c>
      <c r="F375" s="1">
        <v>429.54</v>
      </c>
      <c r="G375" s="1">
        <v>13.08</v>
      </c>
      <c r="H375">
        <f t="shared" si="5"/>
        <v>6872.64</v>
      </c>
    </row>
    <row r="376" spans="1:8" x14ac:dyDescent="0.25">
      <c r="A376" s="1" t="s">
        <v>389</v>
      </c>
      <c r="B376" s="5">
        <v>45673.583333333336</v>
      </c>
      <c r="C376" s="1" t="s">
        <v>13</v>
      </c>
      <c r="D376" s="1" t="s">
        <v>37</v>
      </c>
      <c r="E376" s="1">
        <v>14</v>
      </c>
      <c r="F376" s="1">
        <v>191.65</v>
      </c>
      <c r="G376" s="1">
        <v>14.12</v>
      </c>
      <c r="H376">
        <f t="shared" si="5"/>
        <v>2683.1</v>
      </c>
    </row>
    <row r="377" spans="1:8" x14ac:dyDescent="0.25">
      <c r="A377" s="1" t="s">
        <v>390</v>
      </c>
      <c r="B377" s="5">
        <v>45673.625</v>
      </c>
      <c r="C377" s="1" t="s">
        <v>11</v>
      </c>
      <c r="D377" s="1" t="s">
        <v>9</v>
      </c>
      <c r="E377" s="1">
        <v>6</v>
      </c>
      <c r="F377" s="1">
        <v>162.02000000000001</v>
      </c>
      <c r="G377" s="1">
        <v>10.029999999999999</v>
      </c>
      <c r="H377">
        <f t="shared" si="5"/>
        <v>972.12000000000012</v>
      </c>
    </row>
    <row r="378" spans="1:8" x14ac:dyDescent="0.25">
      <c r="A378" s="1" t="s">
        <v>391</v>
      </c>
      <c r="B378" s="5">
        <v>45673.666666666664</v>
      </c>
      <c r="C378" s="1" t="s">
        <v>11</v>
      </c>
      <c r="D378" s="1" t="s">
        <v>19</v>
      </c>
      <c r="E378" s="1">
        <v>5</v>
      </c>
      <c r="F378" s="1">
        <v>21.67</v>
      </c>
      <c r="G378" s="1">
        <v>33.81</v>
      </c>
      <c r="H378">
        <f t="shared" si="5"/>
        <v>108.35000000000001</v>
      </c>
    </row>
    <row r="379" spans="1:8" x14ac:dyDescent="0.25">
      <c r="A379" s="1" t="s">
        <v>392</v>
      </c>
      <c r="B379" s="5">
        <v>45673.708333333336</v>
      </c>
      <c r="C379" s="1" t="s">
        <v>13</v>
      </c>
      <c r="D379" s="1" t="s">
        <v>9</v>
      </c>
      <c r="E379" s="1">
        <v>18</v>
      </c>
      <c r="F379" s="1">
        <v>82.16</v>
      </c>
      <c r="G379" s="1">
        <v>49.57</v>
      </c>
      <c r="H379">
        <f t="shared" si="5"/>
        <v>1478.8799999999999</v>
      </c>
    </row>
    <row r="380" spans="1:8" x14ac:dyDescent="0.25">
      <c r="A380" s="1" t="s">
        <v>393</v>
      </c>
      <c r="B380" s="5">
        <v>45673.75</v>
      </c>
      <c r="C380" s="1" t="s">
        <v>23</v>
      </c>
      <c r="D380" s="1" t="s">
        <v>9</v>
      </c>
      <c r="E380" s="1">
        <v>15</v>
      </c>
      <c r="F380" s="1">
        <v>198.48</v>
      </c>
      <c r="G380" s="1">
        <v>44.56</v>
      </c>
      <c r="H380">
        <f t="shared" si="5"/>
        <v>2977.2</v>
      </c>
    </row>
    <row r="381" spans="1:8" x14ac:dyDescent="0.25">
      <c r="A381" s="1" t="s">
        <v>394</v>
      </c>
      <c r="B381" s="5">
        <v>45673.791666666664</v>
      </c>
      <c r="C381" s="1" t="s">
        <v>13</v>
      </c>
      <c r="D381" s="1" t="s">
        <v>37</v>
      </c>
      <c r="E381" s="1">
        <v>6</v>
      </c>
      <c r="F381" s="1">
        <v>45.26</v>
      </c>
      <c r="G381" s="1">
        <v>7.05</v>
      </c>
      <c r="H381">
        <f t="shared" si="5"/>
        <v>271.56</v>
      </c>
    </row>
    <row r="382" spans="1:8" x14ac:dyDescent="0.25">
      <c r="A382" s="1" t="s">
        <v>395</v>
      </c>
      <c r="B382" s="5">
        <v>45673.833333333336</v>
      </c>
      <c r="C382" s="1" t="s">
        <v>11</v>
      </c>
      <c r="D382" s="1" t="s">
        <v>19</v>
      </c>
      <c r="E382" s="1">
        <v>19</v>
      </c>
      <c r="F382" s="1">
        <v>237.42</v>
      </c>
      <c r="G382" s="1">
        <v>24.04</v>
      </c>
      <c r="H382">
        <f t="shared" si="5"/>
        <v>4510.9799999999996</v>
      </c>
    </row>
    <row r="383" spans="1:8" x14ac:dyDescent="0.25">
      <c r="A383" s="1" t="s">
        <v>396</v>
      </c>
      <c r="B383" s="5">
        <v>45673.875</v>
      </c>
      <c r="C383" s="1" t="s">
        <v>23</v>
      </c>
      <c r="D383" s="1" t="s">
        <v>16</v>
      </c>
      <c r="E383" s="1">
        <v>1</v>
      </c>
      <c r="F383" s="1">
        <v>213.2</v>
      </c>
      <c r="G383" s="1">
        <v>43.67</v>
      </c>
      <c r="H383">
        <f t="shared" si="5"/>
        <v>213.2</v>
      </c>
    </row>
    <row r="384" spans="1:8" x14ac:dyDescent="0.25">
      <c r="A384" s="1" t="s">
        <v>397</v>
      </c>
      <c r="B384" s="5">
        <v>45673.916666666664</v>
      </c>
      <c r="C384" s="1" t="s">
        <v>11</v>
      </c>
      <c r="D384" s="1" t="s">
        <v>37</v>
      </c>
      <c r="E384" s="1">
        <v>1</v>
      </c>
      <c r="F384" s="1">
        <v>348.83</v>
      </c>
      <c r="G384" s="1">
        <v>11.06</v>
      </c>
      <c r="H384">
        <f t="shared" si="5"/>
        <v>348.83</v>
      </c>
    </row>
    <row r="385" spans="1:8" x14ac:dyDescent="0.25">
      <c r="A385" s="1" t="s">
        <v>398</v>
      </c>
      <c r="B385" s="5">
        <v>45673.958333333336</v>
      </c>
      <c r="C385" s="1" t="s">
        <v>13</v>
      </c>
      <c r="D385" s="1" t="s">
        <v>16</v>
      </c>
      <c r="E385" s="1">
        <v>13</v>
      </c>
      <c r="F385" s="1">
        <v>302.18</v>
      </c>
      <c r="G385" s="1">
        <v>43.14</v>
      </c>
      <c r="H385">
        <f t="shared" si="5"/>
        <v>3928.34</v>
      </c>
    </row>
    <row r="386" spans="1:8" x14ac:dyDescent="0.25">
      <c r="A386" s="1" t="s">
        <v>399</v>
      </c>
      <c r="B386" s="5">
        <v>45674</v>
      </c>
      <c r="C386" s="1" t="s">
        <v>13</v>
      </c>
      <c r="D386" s="1" t="s">
        <v>16</v>
      </c>
      <c r="E386" s="1">
        <v>3</v>
      </c>
      <c r="F386" s="1">
        <v>209.26</v>
      </c>
      <c r="G386" s="1">
        <v>31.67</v>
      </c>
      <c r="H386">
        <f t="shared" ref="H386:H449" si="6">E386*F386</f>
        <v>627.78</v>
      </c>
    </row>
    <row r="387" spans="1:8" x14ac:dyDescent="0.25">
      <c r="A387" s="1" t="s">
        <v>400</v>
      </c>
      <c r="B387" s="5">
        <v>45674.041666666664</v>
      </c>
      <c r="C387" s="1" t="s">
        <v>11</v>
      </c>
      <c r="D387" s="1" t="s">
        <v>19</v>
      </c>
      <c r="E387" s="1">
        <v>10</v>
      </c>
      <c r="F387" s="1">
        <v>113.12</v>
      </c>
      <c r="G387" s="1">
        <v>46.91</v>
      </c>
      <c r="H387">
        <f t="shared" si="6"/>
        <v>1131.2</v>
      </c>
    </row>
    <row r="388" spans="1:8" x14ac:dyDescent="0.25">
      <c r="A388" s="1" t="s">
        <v>401</v>
      </c>
      <c r="B388" s="5">
        <v>45674.083333333336</v>
      </c>
      <c r="C388" s="1" t="s">
        <v>8</v>
      </c>
      <c r="D388" s="1" t="s">
        <v>9</v>
      </c>
      <c r="E388" s="1">
        <v>3</v>
      </c>
      <c r="F388" s="1">
        <v>331.32</v>
      </c>
      <c r="G388" s="1">
        <v>44.42</v>
      </c>
      <c r="H388">
        <f t="shared" si="6"/>
        <v>993.96</v>
      </c>
    </row>
    <row r="389" spans="1:8" x14ac:dyDescent="0.25">
      <c r="A389" s="1" t="s">
        <v>402</v>
      </c>
      <c r="B389" s="5">
        <v>45674.125</v>
      </c>
      <c r="C389" s="1" t="s">
        <v>8</v>
      </c>
      <c r="D389" s="1" t="s">
        <v>19</v>
      </c>
      <c r="E389" s="1">
        <v>9</v>
      </c>
      <c r="F389" s="1">
        <v>323.07</v>
      </c>
      <c r="G389" s="1">
        <v>35.47</v>
      </c>
      <c r="H389">
        <f t="shared" si="6"/>
        <v>2907.63</v>
      </c>
    </row>
    <row r="390" spans="1:8" x14ac:dyDescent="0.25">
      <c r="A390" s="1" t="s">
        <v>403</v>
      </c>
      <c r="B390" s="5">
        <v>45674.166666666664</v>
      </c>
      <c r="C390" s="1" t="s">
        <v>13</v>
      </c>
      <c r="D390" s="1" t="s">
        <v>16</v>
      </c>
      <c r="E390" s="1">
        <v>8</v>
      </c>
      <c r="F390" s="1">
        <v>82.11</v>
      </c>
      <c r="G390" s="1">
        <v>34.6</v>
      </c>
      <c r="H390">
        <f t="shared" si="6"/>
        <v>656.88</v>
      </c>
    </row>
    <row r="391" spans="1:8" x14ac:dyDescent="0.25">
      <c r="A391" s="1" t="s">
        <v>404</v>
      </c>
      <c r="B391" s="5">
        <v>45674.208333333336</v>
      </c>
      <c r="C391" s="1" t="s">
        <v>13</v>
      </c>
      <c r="D391" s="1" t="s">
        <v>37</v>
      </c>
      <c r="E391" s="1">
        <v>3</v>
      </c>
      <c r="F391" s="1">
        <v>412.96</v>
      </c>
      <c r="G391" s="1">
        <v>14.59</v>
      </c>
      <c r="H391">
        <f t="shared" si="6"/>
        <v>1238.8799999999999</v>
      </c>
    </row>
    <row r="392" spans="1:8" x14ac:dyDescent="0.25">
      <c r="A392" s="1" t="s">
        <v>405</v>
      </c>
      <c r="B392" s="5">
        <v>45674.25</v>
      </c>
      <c r="C392" s="1" t="s">
        <v>8</v>
      </c>
      <c r="D392" s="1" t="s">
        <v>16</v>
      </c>
      <c r="E392" s="1">
        <v>13</v>
      </c>
      <c r="F392" s="1">
        <v>43.48</v>
      </c>
      <c r="G392" s="1">
        <v>10.25</v>
      </c>
      <c r="H392">
        <f t="shared" si="6"/>
        <v>565.24</v>
      </c>
    </row>
    <row r="393" spans="1:8" x14ac:dyDescent="0.25">
      <c r="A393" s="1" t="s">
        <v>406</v>
      </c>
      <c r="B393" s="5">
        <v>45674.291666666664</v>
      </c>
      <c r="C393" s="1" t="s">
        <v>8</v>
      </c>
      <c r="D393" s="1" t="s">
        <v>37</v>
      </c>
      <c r="E393" s="1">
        <v>6</v>
      </c>
      <c r="F393" s="1">
        <v>39.409999999999997</v>
      </c>
      <c r="G393" s="1">
        <v>23.69</v>
      </c>
      <c r="H393">
        <f t="shared" si="6"/>
        <v>236.45999999999998</v>
      </c>
    </row>
    <row r="394" spans="1:8" x14ac:dyDescent="0.25">
      <c r="A394" s="1" t="s">
        <v>407</v>
      </c>
      <c r="B394" s="5">
        <v>45674.333333333336</v>
      </c>
      <c r="C394" s="1" t="s">
        <v>11</v>
      </c>
      <c r="D394" s="1" t="s">
        <v>37</v>
      </c>
      <c r="E394" s="1">
        <v>13</v>
      </c>
      <c r="F394" s="1">
        <v>96.9</v>
      </c>
      <c r="G394" s="1">
        <v>13.4</v>
      </c>
      <c r="H394">
        <f t="shared" si="6"/>
        <v>1259.7</v>
      </c>
    </row>
    <row r="395" spans="1:8" x14ac:dyDescent="0.25">
      <c r="A395" s="1" t="s">
        <v>408</v>
      </c>
      <c r="B395" s="5">
        <v>45674.375</v>
      </c>
      <c r="C395" s="1" t="s">
        <v>11</v>
      </c>
      <c r="D395" s="1" t="s">
        <v>19</v>
      </c>
      <c r="E395" s="1">
        <v>12</v>
      </c>
      <c r="F395" s="1">
        <v>410.66</v>
      </c>
      <c r="G395" s="1">
        <v>9.61</v>
      </c>
      <c r="H395">
        <f t="shared" si="6"/>
        <v>4927.92</v>
      </c>
    </row>
    <row r="396" spans="1:8" x14ac:dyDescent="0.25">
      <c r="A396" s="1" t="s">
        <v>409</v>
      </c>
      <c r="B396" s="5">
        <v>45674.416666666664</v>
      </c>
      <c r="C396" s="1" t="s">
        <v>8</v>
      </c>
      <c r="D396" s="1" t="s">
        <v>16</v>
      </c>
      <c r="E396" s="1">
        <v>13</v>
      </c>
      <c r="F396" s="1">
        <v>241.44</v>
      </c>
      <c r="G396" s="1">
        <v>18.600000000000001</v>
      </c>
      <c r="H396">
        <f t="shared" si="6"/>
        <v>3138.72</v>
      </c>
    </row>
    <row r="397" spans="1:8" x14ac:dyDescent="0.25">
      <c r="A397" s="1" t="s">
        <v>410</v>
      </c>
      <c r="B397" s="5">
        <v>45674.458333333336</v>
      </c>
      <c r="C397" s="1" t="s">
        <v>11</v>
      </c>
      <c r="D397" s="1" t="s">
        <v>9</v>
      </c>
      <c r="E397" s="1">
        <v>2</v>
      </c>
      <c r="F397" s="1">
        <v>357.86</v>
      </c>
      <c r="G397" s="1">
        <v>43.72</v>
      </c>
      <c r="H397">
        <f t="shared" si="6"/>
        <v>715.72</v>
      </c>
    </row>
    <row r="398" spans="1:8" x14ac:dyDescent="0.25">
      <c r="A398" s="1" t="s">
        <v>411</v>
      </c>
      <c r="B398" s="5">
        <v>45674.5</v>
      </c>
      <c r="C398" s="1" t="s">
        <v>11</v>
      </c>
      <c r="D398" s="1" t="s">
        <v>16</v>
      </c>
      <c r="E398" s="1">
        <v>16</v>
      </c>
      <c r="F398" s="1">
        <v>114.5</v>
      </c>
      <c r="G398" s="1">
        <v>5.77</v>
      </c>
      <c r="H398">
        <f t="shared" si="6"/>
        <v>1832</v>
      </c>
    </row>
    <row r="399" spans="1:8" x14ac:dyDescent="0.25">
      <c r="A399" s="1" t="s">
        <v>412</v>
      </c>
      <c r="B399" s="5">
        <v>45674.541666666664</v>
      </c>
      <c r="C399" s="1" t="s">
        <v>23</v>
      </c>
      <c r="D399" s="1" t="s">
        <v>16</v>
      </c>
      <c r="E399" s="1">
        <v>6</v>
      </c>
      <c r="F399" s="1">
        <v>228.5</v>
      </c>
      <c r="G399" s="1">
        <v>18.170000000000002</v>
      </c>
      <c r="H399">
        <f t="shared" si="6"/>
        <v>1371</v>
      </c>
    </row>
    <row r="400" spans="1:8" x14ac:dyDescent="0.25">
      <c r="A400" s="1" t="s">
        <v>413</v>
      </c>
      <c r="B400" s="5">
        <v>45674.583333333336</v>
      </c>
      <c r="C400" s="1" t="s">
        <v>11</v>
      </c>
      <c r="D400" s="1" t="s">
        <v>9</v>
      </c>
      <c r="E400" s="1">
        <v>19</v>
      </c>
      <c r="F400" s="1">
        <v>171.18</v>
      </c>
      <c r="G400" s="1">
        <v>24.08</v>
      </c>
      <c r="H400">
        <f t="shared" si="6"/>
        <v>3252.42</v>
      </c>
    </row>
    <row r="401" spans="1:8" x14ac:dyDescent="0.25">
      <c r="A401" s="1" t="s">
        <v>414</v>
      </c>
      <c r="B401" s="5">
        <v>45674.625</v>
      </c>
      <c r="C401" s="1" t="s">
        <v>13</v>
      </c>
      <c r="D401" s="1" t="s">
        <v>19</v>
      </c>
      <c r="E401" s="1">
        <v>13</v>
      </c>
      <c r="F401" s="1">
        <v>375.19</v>
      </c>
      <c r="G401" s="1">
        <v>27.98</v>
      </c>
      <c r="H401">
        <f t="shared" si="6"/>
        <v>4877.47</v>
      </c>
    </row>
    <row r="402" spans="1:8" x14ac:dyDescent="0.25">
      <c r="A402" s="1" t="s">
        <v>415</v>
      </c>
      <c r="B402" s="5">
        <v>45674.666666666664</v>
      </c>
      <c r="C402" s="1" t="s">
        <v>11</v>
      </c>
      <c r="D402" s="1" t="s">
        <v>16</v>
      </c>
      <c r="E402" s="1">
        <v>17</v>
      </c>
      <c r="F402" s="1">
        <v>25.32</v>
      </c>
      <c r="G402" s="1">
        <v>13.17</v>
      </c>
      <c r="H402">
        <f t="shared" si="6"/>
        <v>430.44</v>
      </c>
    </row>
    <row r="403" spans="1:8" x14ac:dyDescent="0.25">
      <c r="A403" s="1" t="s">
        <v>416</v>
      </c>
      <c r="B403" s="5">
        <v>45674.708333333336</v>
      </c>
      <c r="C403" s="1" t="s">
        <v>11</v>
      </c>
      <c r="D403" s="1" t="s">
        <v>16</v>
      </c>
      <c r="E403" s="1">
        <v>9</v>
      </c>
      <c r="F403" s="1">
        <v>121.45</v>
      </c>
      <c r="G403" s="1">
        <v>48.39</v>
      </c>
      <c r="H403">
        <f t="shared" si="6"/>
        <v>1093.05</v>
      </c>
    </row>
    <row r="404" spans="1:8" x14ac:dyDescent="0.25">
      <c r="A404" s="1" t="s">
        <v>417</v>
      </c>
      <c r="B404" s="5">
        <v>45674.75</v>
      </c>
      <c r="C404" s="1" t="s">
        <v>8</v>
      </c>
      <c r="D404" s="1" t="s">
        <v>37</v>
      </c>
      <c r="E404" s="1">
        <v>17</v>
      </c>
      <c r="F404" s="1">
        <v>81.790000000000006</v>
      </c>
      <c r="G404" s="1">
        <v>31.05</v>
      </c>
      <c r="H404">
        <f t="shared" si="6"/>
        <v>1390.43</v>
      </c>
    </row>
    <row r="405" spans="1:8" x14ac:dyDescent="0.25">
      <c r="A405" s="1" t="s">
        <v>418</v>
      </c>
      <c r="B405" s="5">
        <v>45674.791666666664</v>
      </c>
      <c r="C405" s="1" t="s">
        <v>13</v>
      </c>
      <c r="D405" s="1" t="s">
        <v>16</v>
      </c>
      <c r="E405" s="1">
        <v>2</v>
      </c>
      <c r="F405" s="1">
        <v>388.82</v>
      </c>
      <c r="G405" s="1">
        <v>28.49</v>
      </c>
      <c r="H405">
        <f t="shared" si="6"/>
        <v>777.64</v>
      </c>
    </row>
    <row r="406" spans="1:8" x14ac:dyDescent="0.25">
      <c r="A406" s="1" t="s">
        <v>419</v>
      </c>
      <c r="B406" s="5">
        <v>45674.833333333336</v>
      </c>
      <c r="C406" s="1" t="s">
        <v>11</v>
      </c>
      <c r="D406" s="1" t="s">
        <v>9</v>
      </c>
      <c r="E406" s="1">
        <v>19</v>
      </c>
      <c r="F406" s="1">
        <v>218.65</v>
      </c>
      <c r="G406" s="1">
        <v>5.4</v>
      </c>
      <c r="H406">
        <f t="shared" si="6"/>
        <v>4154.3500000000004</v>
      </c>
    </row>
    <row r="407" spans="1:8" x14ac:dyDescent="0.25">
      <c r="A407" s="1" t="s">
        <v>420</v>
      </c>
      <c r="B407" s="5">
        <v>45674.875</v>
      </c>
      <c r="C407" s="1" t="s">
        <v>11</v>
      </c>
      <c r="D407" s="1" t="s">
        <v>37</v>
      </c>
      <c r="E407" s="1">
        <v>19</v>
      </c>
      <c r="F407" s="1">
        <v>191.13</v>
      </c>
      <c r="G407" s="1">
        <v>26.86</v>
      </c>
      <c r="H407">
        <f t="shared" si="6"/>
        <v>3631.47</v>
      </c>
    </row>
    <row r="408" spans="1:8" x14ac:dyDescent="0.25">
      <c r="A408" s="1" t="s">
        <v>421</v>
      </c>
      <c r="B408" s="5">
        <v>45674.916666666664</v>
      </c>
      <c r="C408" s="1" t="s">
        <v>23</v>
      </c>
      <c r="D408" s="1" t="s">
        <v>19</v>
      </c>
      <c r="E408" s="1">
        <v>7</v>
      </c>
      <c r="F408" s="1">
        <v>210.8</v>
      </c>
      <c r="G408" s="1">
        <v>42.7</v>
      </c>
      <c r="H408">
        <f t="shared" si="6"/>
        <v>1475.6000000000001</v>
      </c>
    </row>
    <row r="409" spans="1:8" x14ac:dyDescent="0.25">
      <c r="A409" s="1" t="s">
        <v>422</v>
      </c>
      <c r="B409" s="5">
        <v>45674.958333333336</v>
      </c>
      <c r="C409" s="1" t="s">
        <v>11</v>
      </c>
      <c r="D409" s="1" t="s">
        <v>37</v>
      </c>
      <c r="E409" s="1">
        <v>10</v>
      </c>
      <c r="F409" s="1">
        <v>437.8</v>
      </c>
      <c r="G409" s="1">
        <v>14.88</v>
      </c>
      <c r="H409">
        <f t="shared" si="6"/>
        <v>4378</v>
      </c>
    </row>
    <row r="410" spans="1:8" x14ac:dyDescent="0.25">
      <c r="A410" s="1" t="s">
        <v>423</v>
      </c>
      <c r="B410" s="5">
        <v>45675</v>
      </c>
      <c r="C410" s="1" t="s">
        <v>11</v>
      </c>
      <c r="D410" s="1" t="s">
        <v>9</v>
      </c>
      <c r="E410" s="1">
        <v>10</v>
      </c>
      <c r="F410" s="1">
        <v>384.94</v>
      </c>
      <c r="G410" s="1">
        <v>20.8</v>
      </c>
      <c r="H410">
        <f t="shared" si="6"/>
        <v>3849.4</v>
      </c>
    </row>
    <row r="411" spans="1:8" x14ac:dyDescent="0.25">
      <c r="A411" s="1" t="s">
        <v>424</v>
      </c>
      <c r="B411" s="5">
        <v>45675.041666666664</v>
      </c>
      <c r="C411" s="1" t="s">
        <v>23</v>
      </c>
      <c r="D411" s="1" t="s">
        <v>9</v>
      </c>
      <c r="E411" s="1">
        <v>9</v>
      </c>
      <c r="F411" s="1">
        <v>322.42</v>
      </c>
      <c r="G411" s="1">
        <v>5.93</v>
      </c>
      <c r="H411">
        <f t="shared" si="6"/>
        <v>2901.78</v>
      </c>
    </row>
    <row r="412" spans="1:8" x14ac:dyDescent="0.25">
      <c r="A412" s="1" t="s">
        <v>425</v>
      </c>
      <c r="B412" s="5">
        <v>45675.083333333336</v>
      </c>
      <c r="C412" s="1" t="s">
        <v>8</v>
      </c>
      <c r="D412" s="1" t="s">
        <v>37</v>
      </c>
      <c r="E412" s="1">
        <v>17</v>
      </c>
      <c r="F412" s="1">
        <v>141.71</v>
      </c>
      <c r="G412" s="1">
        <v>48.96</v>
      </c>
      <c r="H412">
        <f t="shared" si="6"/>
        <v>2409.0700000000002</v>
      </c>
    </row>
    <row r="413" spans="1:8" x14ac:dyDescent="0.25">
      <c r="A413" s="1" t="s">
        <v>426</v>
      </c>
      <c r="B413" s="5">
        <v>45675.125</v>
      </c>
      <c r="C413" s="1" t="s">
        <v>11</v>
      </c>
      <c r="D413" s="1" t="s">
        <v>19</v>
      </c>
      <c r="E413" s="1">
        <v>15</v>
      </c>
      <c r="F413" s="1">
        <v>87.27</v>
      </c>
      <c r="G413" s="1">
        <v>8</v>
      </c>
      <c r="H413">
        <f t="shared" si="6"/>
        <v>1309.05</v>
      </c>
    </row>
    <row r="414" spans="1:8" x14ac:dyDescent="0.25">
      <c r="A414" s="1" t="s">
        <v>427</v>
      </c>
      <c r="B414" s="5">
        <v>45675.166666666664</v>
      </c>
      <c r="C414" s="1" t="s">
        <v>23</v>
      </c>
      <c r="D414" s="1" t="s">
        <v>37</v>
      </c>
      <c r="E414" s="1">
        <v>2</v>
      </c>
      <c r="F414" s="1">
        <v>415.86</v>
      </c>
      <c r="G414" s="1">
        <v>45.42</v>
      </c>
      <c r="H414">
        <f t="shared" si="6"/>
        <v>831.72</v>
      </c>
    </row>
    <row r="415" spans="1:8" x14ac:dyDescent="0.25">
      <c r="A415" s="1" t="s">
        <v>428</v>
      </c>
      <c r="B415" s="5">
        <v>45675.208333333336</v>
      </c>
      <c r="C415" s="1" t="s">
        <v>13</v>
      </c>
      <c r="D415" s="1" t="s">
        <v>19</v>
      </c>
      <c r="E415" s="1">
        <v>4</v>
      </c>
      <c r="F415" s="1">
        <v>199.33</v>
      </c>
      <c r="G415" s="1">
        <v>19.079999999999998</v>
      </c>
      <c r="H415">
        <f t="shared" si="6"/>
        <v>797.32</v>
      </c>
    </row>
    <row r="416" spans="1:8" x14ac:dyDescent="0.25">
      <c r="A416" s="1" t="s">
        <v>429</v>
      </c>
      <c r="B416" s="5">
        <v>45675.25</v>
      </c>
      <c r="C416" s="1" t="s">
        <v>8</v>
      </c>
      <c r="D416" s="1" t="s">
        <v>37</v>
      </c>
      <c r="E416" s="1">
        <v>19</v>
      </c>
      <c r="F416" s="1">
        <v>136.62</v>
      </c>
      <c r="G416" s="1">
        <v>31.44</v>
      </c>
      <c r="H416">
        <f t="shared" si="6"/>
        <v>2595.7800000000002</v>
      </c>
    </row>
    <row r="417" spans="1:8" x14ac:dyDescent="0.25">
      <c r="A417" s="1" t="s">
        <v>430</v>
      </c>
      <c r="B417" s="5">
        <v>45675.291666666664</v>
      </c>
      <c r="C417" s="1" t="s">
        <v>13</v>
      </c>
      <c r="D417" s="1" t="s">
        <v>9</v>
      </c>
      <c r="E417" s="1">
        <v>17</v>
      </c>
      <c r="F417" s="1">
        <v>220.12</v>
      </c>
      <c r="G417" s="1">
        <v>35.57</v>
      </c>
      <c r="H417">
        <f t="shared" si="6"/>
        <v>3742.04</v>
      </c>
    </row>
    <row r="418" spans="1:8" x14ac:dyDescent="0.25">
      <c r="A418" s="1" t="s">
        <v>431</v>
      </c>
      <c r="B418" s="5">
        <v>45675.333333333336</v>
      </c>
      <c r="C418" s="1" t="s">
        <v>13</v>
      </c>
      <c r="D418" s="1" t="s">
        <v>16</v>
      </c>
      <c r="E418" s="1">
        <v>5</v>
      </c>
      <c r="F418" s="1">
        <v>414.3</v>
      </c>
      <c r="G418" s="1">
        <v>11.34</v>
      </c>
      <c r="H418">
        <f t="shared" si="6"/>
        <v>2071.5</v>
      </c>
    </row>
    <row r="419" spans="1:8" x14ac:dyDescent="0.25">
      <c r="A419" s="1" t="s">
        <v>432</v>
      </c>
      <c r="B419" s="5">
        <v>45675.375</v>
      </c>
      <c r="C419" s="1" t="s">
        <v>23</v>
      </c>
      <c r="D419" s="1" t="s">
        <v>16</v>
      </c>
      <c r="E419" s="1">
        <v>7</v>
      </c>
      <c r="F419" s="1">
        <v>183.68</v>
      </c>
      <c r="G419" s="1">
        <v>24.97</v>
      </c>
      <c r="H419">
        <f t="shared" si="6"/>
        <v>1285.76</v>
      </c>
    </row>
    <row r="420" spans="1:8" x14ac:dyDescent="0.25">
      <c r="A420" s="1" t="s">
        <v>433</v>
      </c>
      <c r="B420" s="5">
        <v>45675.416666666664</v>
      </c>
      <c r="C420" s="1" t="s">
        <v>11</v>
      </c>
      <c r="D420" s="1" t="s">
        <v>19</v>
      </c>
      <c r="E420" s="1">
        <v>18</v>
      </c>
      <c r="F420" s="1">
        <v>259.97000000000003</v>
      </c>
      <c r="G420" s="1">
        <v>19.649999999999999</v>
      </c>
      <c r="H420">
        <f t="shared" si="6"/>
        <v>4679.4600000000009</v>
      </c>
    </row>
    <row r="421" spans="1:8" x14ac:dyDescent="0.25">
      <c r="A421" s="1" t="s">
        <v>434</v>
      </c>
      <c r="B421" s="5">
        <v>45675.458333333336</v>
      </c>
      <c r="C421" s="1" t="s">
        <v>23</v>
      </c>
      <c r="D421" s="1" t="s">
        <v>19</v>
      </c>
      <c r="E421" s="1">
        <v>7</v>
      </c>
      <c r="F421" s="1">
        <v>364.39</v>
      </c>
      <c r="G421" s="1">
        <v>7.55</v>
      </c>
      <c r="H421">
        <f t="shared" si="6"/>
        <v>2550.73</v>
      </c>
    </row>
    <row r="422" spans="1:8" x14ac:dyDescent="0.25">
      <c r="A422" s="1" t="s">
        <v>435</v>
      </c>
      <c r="B422" s="5">
        <v>45675.5</v>
      </c>
      <c r="C422" s="1" t="s">
        <v>23</v>
      </c>
      <c r="D422" s="1" t="s">
        <v>19</v>
      </c>
      <c r="E422" s="1">
        <v>17</v>
      </c>
      <c r="F422" s="1">
        <v>201.09</v>
      </c>
      <c r="G422" s="1">
        <v>42.49</v>
      </c>
      <c r="H422">
        <f t="shared" si="6"/>
        <v>3418.53</v>
      </c>
    </row>
    <row r="423" spans="1:8" x14ac:dyDescent="0.25">
      <c r="A423" s="1" t="s">
        <v>436</v>
      </c>
      <c r="B423" s="5">
        <v>45675.541666666664</v>
      </c>
      <c r="C423" s="1" t="s">
        <v>23</v>
      </c>
      <c r="D423" s="1" t="s">
        <v>9</v>
      </c>
      <c r="E423" s="1">
        <v>7</v>
      </c>
      <c r="F423" s="1">
        <v>116.97</v>
      </c>
      <c r="G423" s="1">
        <v>7.03</v>
      </c>
      <c r="H423">
        <f t="shared" si="6"/>
        <v>818.79</v>
      </c>
    </row>
    <row r="424" spans="1:8" x14ac:dyDescent="0.25">
      <c r="A424" s="1" t="s">
        <v>437</v>
      </c>
      <c r="B424" s="5">
        <v>45675.583333333336</v>
      </c>
      <c r="C424" s="1" t="s">
        <v>23</v>
      </c>
      <c r="D424" s="1" t="s">
        <v>37</v>
      </c>
      <c r="E424" s="1">
        <v>4</v>
      </c>
      <c r="F424" s="1">
        <v>447.62</v>
      </c>
      <c r="G424" s="1">
        <v>34.4</v>
      </c>
      <c r="H424">
        <f t="shared" si="6"/>
        <v>1790.48</v>
      </c>
    </row>
    <row r="425" spans="1:8" x14ac:dyDescent="0.25">
      <c r="A425" s="1" t="s">
        <v>438</v>
      </c>
      <c r="B425" s="5">
        <v>45675.625</v>
      </c>
      <c r="C425" s="1" t="s">
        <v>8</v>
      </c>
      <c r="D425" s="1" t="s">
        <v>9</v>
      </c>
      <c r="E425" s="1">
        <v>8</v>
      </c>
      <c r="F425" s="1">
        <v>431.13</v>
      </c>
      <c r="G425" s="1">
        <v>19.13</v>
      </c>
      <c r="H425">
        <f t="shared" si="6"/>
        <v>3449.04</v>
      </c>
    </row>
    <row r="426" spans="1:8" x14ac:dyDescent="0.25">
      <c r="A426" s="1" t="s">
        <v>439</v>
      </c>
      <c r="B426" s="5">
        <v>45675.666666666664</v>
      </c>
      <c r="C426" s="1" t="s">
        <v>11</v>
      </c>
      <c r="D426" s="1" t="s">
        <v>16</v>
      </c>
      <c r="E426" s="1">
        <v>13</v>
      </c>
      <c r="F426" s="1">
        <v>381.99</v>
      </c>
      <c r="G426" s="1">
        <v>13.65</v>
      </c>
      <c r="H426">
        <f t="shared" si="6"/>
        <v>4965.87</v>
      </c>
    </row>
    <row r="427" spans="1:8" x14ac:dyDescent="0.25">
      <c r="A427" s="1" t="s">
        <v>440</v>
      </c>
      <c r="B427" s="5">
        <v>45675.708333333336</v>
      </c>
      <c r="C427" s="1" t="s">
        <v>13</v>
      </c>
      <c r="D427" s="1" t="s">
        <v>19</v>
      </c>
      <c r="E427" s="1">
        <v>4</v>
      </c>
      <c r="F427" s="1">
        <v>314.60000000000002</v>
      </c>
      <c r="G427" s="1">
        <v>35.020000000000003</v>
      </c>
      <c r="H427">
        <f t="shared" si="6"/>
        <v>1258.4000000000001</v>
      </c>
    </row>
    <row r="428" spans="1:8" x14ac:dyDescent="0.25">
      <c r="A428" s="1" t="s">
        <v>441</v>
      </c>
      <c r="B428" s="5">
        <v>45675.75</v>
      </c>
      <c r="C428" s="1" t="s">
        <v>13</v>
      </c>
      <c r="D428" s="1" t="s">
        <v>37</v>
      </c>
      <c r="E428" s="1">
        <v>6</v>
      </c>
      <c r="F428" s="1">
        <v>143.62</v>
      </c>
      <c r="G428" s="1">
        <v>30.85</v>
      </c>
      <c r="H428">
        <f t="shared" si="6"/>
        <v>861.72</v>
      </c>
    </row>
    <row r="429" spans="1:8" x14ac:dyDescent="0.25">
      <c r="A429" s="1" t="s">
        <v>442</v>
      </c>
      <c r="B429" s="5">
        <v>45675.791666666664</v>
      </c>
      <c r="C429" s="1" t="s">
        <v>11</v>
      </c>
      <c r="D429" s="1" t="s">
        <v>16</v>
      </c>
      <c r="E429" s="1">
        <v>5</v>
      </c>
      <c r="F429" s="1">
        <v>412.38</v>
      </c>
      <c r="G429" s="1">
        <v>19.190000000000001</v>
      </c>
      <c r="H429">
        <f t="shared" si="6"/>
        <v>2061.9</v>
      </c>
    </row>
    <row r="430" spans="1:8" x14ac:dyDescent="0.25">
      <c r="A430" s="1" t="s">
        <v>443</v>
      </c>
      <c r="B430" s="5">
        <v>45675.833333333336</v>
      </c>
      <c r="C430" s="1" t="s">
        <v>13</v>
      </c>
      <c r="D430" s="1" t="s">
        <v>16</v>
      </c>
      <c r="E430" s="1">
        <v>12</v>
      </c>
      <c r="F430" s="1">
        <v>135.22999999999999</v>
      </c>
      <c r="G430" s="1">
        <v>28.08</v>
      </c>
      <c r="H430">
        <f t="shared" si="6"/>
        <v>1622.7599999999998</v>
      </c>
    </row>
    <row r="431" spans="1:8" x14ac:dyDescent="0.25">
      <c r="A431" s="1" t="s">
        <v>444</v>
      </c>
      <c r="B431" s="5">
        <v>45675.875</v>
      </c>
      <c r="C431" s="1" t="s">
        <v>11</v>
      </c>
      <c r="D431" s="1" t="s">
        <v>16</v>
      </c>
      <c r="E431" s="1">
        <v>4</v>
      </c>
      <c r="F431" s="1">
        <v>363.45</v>
      </c>
      <c r="G431" s="1">
        <v>16.079999999999998</v>
      </c>
      <c r="H431">
        <f t="shared" si="6"/>
        <v>1453.8</v>
      </c>
    </row>
    <row r="432" spans="1:8" x14ac:dyDescent="0.25">
      <c r="A432" s="1" t="s">
        <v>445</v>
      </c>
      <c r="B432" s="5">
        <v>45675.916666666664</v>
      </c>
      <c r="C432" s="1" t="s">
        <v>13</v>
      </c>
      <c r="D432" s="1" t="s">
        <v>9</v>
      </c>
      <c r="E432" s="1">
        <v>9</v>
      </c>
      <c r="F432" s="1">
        <v>414.48</v>
      </c>
      <c r="G432" s="1">
        <v>43.87</v>
      </c>
      <c r="H432">
        <f t="shared" si="6"/>
        <v>3730.32</v>
      </c>
    </row>
    <row r="433" spans="1:8" x14ac:dyDescent="0.25">
      <c r="A433" s="1" t="s">
        <v>446</v>
      </c>
      <c r="B433" s="5">
        <v>45675.958333333336</v>
      </c>
      <c r="C433" s="1" t="s">
        <v>23</v>
      </c>
      <c r="D433" s="1" t="s">
        <v>19</v>
      </c>
      <c r="E433" s="1">
        <v>4</v>
      </c>
      <c r="F433" s="1">
        <v>277.51</v>
      </c>
      <c r="G433" s="1">
        <v>19.12</v>
      </c>
      <c r="H433">
        <f t="shared" si="6"/>
        <v>1110.04</v>
      </c>
    </row>
    <row r="434" spans="1:8" x14ac:dyDescent="0.25">
      <c r="A434" s="1" t="s">
        <v>447</v>
      </c>
      <c r="B434" s="5">
        <v>45676</v>
      </c>
      <c r="C434" s="1" t="s">
        <v>13</v>
      </c>
      <c r="D434" s="1" t="s">
        <v>16</v>
      </c>
      <c r="E434" s="1">
        <v>19</v>
      </c>
      <c r="F434" s="1">
        <v>364.43</v>
      </c>
      <c r="G434" s="1">
        <v>16.03</v>
      </c>
      <c r="H434">
        <f t="shared" si="6"/>
        <v>6924.17</v>
      </c>
    </row>
    <row r="435" spans="1:8" x14ac:dyDescent="0.25">
      <c r="A435" s="1" t="s">
        <v>448</v>
      </c>
      <c r="B435" s="5">
        <v>45676.041666666664</v>
      </c>
      <c r="C435" s="1" t="s">
        <v>11</v>
      </c>
      <c r="D435" s="1" t="s">
        <v>19</v>
      </c>
      <c r="E435" s="1">
        <v>14</v>
      </c>
      <c r="F435" s="1">
        <v>359.49</v>
      </c>
      <c r="G435" s="1">
        <v>38.83</v>
      </c>
      <c r="H435">
        <f t="shared" si="6"/>
        <v>5032.8600000000006</v>
      </c>
    </row>
    <row r="436" spans="1:8" x14ac:dyDescent="0.25">
      <c r="A436" s="1" t="s">
        <v>449</v>
      </c>
      <c r="B436" s="5">
        <v>45676.083333333336</v>
      </c>
      <c r="C436" s="1" t="s">
        <v>11</v>
      </c>
      <c r="D436" s="1" t="s">
        <v>9</v>
      </c>
      <c r="E436" s="1">
        <v>5</v>
      </c>
      <c r="F436" s="1">
        <v>99.43</v>
      </c>
      <c r="G436" s="1">
        <v>5.79</v>
      </c>
      <c r="H436">
        <f t="shared" si="6"/>
        <v>497.15000000000003</v>
      </c>
    </row>
    <row r="437" spans="1:8" x14ac:dyDescent="0.25">
      <c r="A437" s="1" t="s">
        <v>450</v>
      </c>
      <c r="B437" s="5">
        <v>45676.125</v>
      </c>
      <c r="C437" s="1" t="s">
        <v>11</v>
      </c>
      <c r="D437" s="1" t="s">
        <v>16</v>
      </c>
      <c r="E437" s="1">
        <v>18</v>
      </c>
      <c r="F437" s="1">
        <v>305.70999999999998</v>
      </c>
      <c r="G437" s="1">
        <v>17.059999999999999</v>
      </c>
      <c r="H437">
        <f t="shared" si="6"/>
        <v>5502.78</v>
      </c>
    </row>
    <row r="438" spans="1:8" x14ac:dyDescent="0.25">
      <c r="A438" s="1" t="s">
        <v>451</v>
      </c>
      <c r="B438" s="5">
        <v>45676.166666666664</v>
      </c>
      <c r="C438" s="1" t="s">
        <v>11</v>
      </c>
      <c r="D438" s="1" t="s">
        <v>9</v>
      </c>
      <c r="E438" s="1">
        <v>10</v>
      </c>
      <c r="F438" s="1">
        <v>56.11</v>
      </c>
      <c r="G438" s="1">
        <v>21.89</v>
      </c>
      <c r="H438">
        <f t="shared" si="6"/>
        <v>561.1</v>
      </c>
    </row>
    <row r="439" spans="1:8" x14ac:dyDescent="0.25">
      <c r="A439" s="1" t="s">
        <v>452</v>
      </c>
      <c r="B439" s="5">
        <v>45676.208333333336</v>
      </c>
      <c r="C439" s="1" t="s">
        <v>11</v>
      </c>
      <c r="D439" s="1" t="s">
        <v>9</v>
      </c>
      <c r="E439" s="1">
        <v>19</v>
      </c>
      <c r="F439" s="1">
        <v>236.16</v>
      </c>
      <c r="G439" s="1">
        <v>44.7</v>
      </c>
      <c r="H439">
        <f t="shared" si="6"/>
        <v>4487.04</v>
      </c>
    </row>
    <row r="440" spans="1:8" x14ac:dyDescent="0.25">
      <c r="A440" s="1" t="s">
        <v>453</v>
      </c>
      <c r="B440" s="5">
        <v>45676.25</v>
      </c>
      <c r="C440" s="1" t="s">
        <v>8</v>
      </c>
      <c r="D440" s="1" t="s">
        <v>19</v>
      </c>
      <c r="E440" s="1">
        <v>12</v>
      </c>
      <c r="F440" s="1">
        <v>85.99</v>
      </c>
      <c r="G440" s="1">
        <v>47.77</v>
      </c>
      <c r="H440">
        <f t="shared" si="6"/>
        <v>1031.8799999999999</v>
      </c>
    </row>
    <row r="441" spans="1:8" x14ac:dyDescent="0.25">
      <c r="A441" s="1" t="s">
        <v>454</v>
      </c>
      <c r="B441" s="5">
        <v>45676.291666666664</v>
      </c>
      <c r="C441" s="1" t="s">
        <v>8</v>
      </c>
      <c r="D441" s="1" t="s">
        <v>16</v>
      </c>
      <c r="E441" s="1">
        <v>18</v>
      </c>
      <c r="F441" s="1">
        <v>196.4</v>
      </c>
      <c r="G441" s="1">
        <v>37.24</v>
      </c>
      <c r="H441">
        <f t="shared" si="6"/>
        <v>3535.2000000000003</v>
      </c>
    </row>
    <row r="442" spans="1:8" x14ac:dyDescent="0.25">
      <c r="A442" s="1" t="s">
        <v>455</v>
      </c>
      <c r="B442" s="5">
        <v>45676.333333333336</v>
      </c>
      <c r="C442" s="1" t="s">
        <v>13</v>
      </c>
      <c r="D442" s="1" t="s">
        <v>9</v>
      </c>
      <c r="E442" s="1">
        <v>17</v>
      </c>
      <c r="F442" s="1">
        <v>377.43</v>
      </c>
      <c r="G442" s="1">
        <v>27.16</v>
      </c>
      <c r="H442">
        <f t="shared" si="6"/>
        <v>6416.31</v>
      </c>
    </row>
    <row r="443" spans="1:8" x14ac:dyDescent="0.25">
      <c r="A443" s="1" t="s">
        <v>456</v>
      </c>
      <c r="B443" s="5">
        <v>45676.375</v>
      </c>
      <c r="C443" s="1" t="s">
        <v>11</v>
      </c>
      <c r="D443" s="1" t="s">
        <v>16</v>
      </c>
      <c r="E443" s="1">
        <v>11</v>
      </c>
      <c r="F443" s="1">
        <v>444.42</v>
      </c>
      <c r="G443" s="1">
        <v>33.83</v>
      </c>
      <c r="H443">
        <f t="shared" si="6"/>
        <v>4888.62</v>
      </c>
    </row>
    <row r="444" spans="1:8" x14ac:dyDescent="0.25">
      <c r="A444" s="1" t="s">
        <v>457</v>
      </c>
      <c r="B444" s="5">
        <v>45676.416666666664</v>
      </c>
      <c r="C444" s="1" t="s">
        <v>13</v>
      </c>
      <c r="D444" s="1" t="s">
        <v>19</v>
      </c>
      <c r="E444" s="1">
        <v>3</v>
      </c>
      <c r="F444" s="1">
        <v>153.65</v>
      </c>
      <c r="G444" s="1">
        <v>23.63</v>
      </c>
      <c r="H444">
        <f t="shared" si="6"/>
        <v>460.95000000000005</v>
      </c>
    </row>
    <row r="445" spans="1:8" x14ac:dyDescent="0.25">
      <c r="A445" s="1" t="s">
        <v>458</v>
      </c>
      <c r="B445" s="5">
        <v>45676.458333333336</v>
      </c>
      <c r="C445" s="1" t="s">
        <v>11</v>
      </c>
      <c r="D445" s="1" t="s">
        <v>9</v>
      </c>
      <c r="E445" s="1">
        <v>17</v>
      </c>
      <c r="F445" s="1">
        <v>246.63</v>
      </c>
      <c r="G445" s="1">
        <v>18.45</v>
      </c>
      <c r="H445">
        <f t="shared" si="6"/>
        <v>4192.71</v>
      </c>
    </row>
    <row r="446" spans="1:8" x14ac:dyDescent="0.25">
      <c r="A446" s="1" t="s">
        <v>459</v>
      </c>
      <c r="B446" s="5">
        <v>45676.5</v>
      </c>
      <c r="C446" s="1" t="s">
        <v>11</v>
      </c>
      <c r="D446" s="1" t="s">
        <v>19</v>
      </c>
      <c r="E446" s="1">
        <v>1</v>
      </c>
      <c r="F446" s="1">
        <v>237.66</v>
      </c>
      <c r="G446" s="1">
        <v>47.78</v>
      </c>
      <c r="H446">
        <f t="shared" si="6"/>
        <v>237.66</v>
      </c>
    </row>
    <row r="447" spans="1:8" x14ac:dyDescent="0.25">
      <c r="A447" s="1" t="s">
        <v>460</v>
      </c>
      <c r="B447" s="5">
        <v>45676.541666666664</v>
      </c>
      <c r="C447" s="1" t="s">
        <v>8</v>
      </c>
      <c r="D447" s="1" t="s">
        <v>16</v>
      </c>
      <c r="E447" s="1">
        <v>15</v>
      </c>
      <c r="F447" s="1">
        <v>430.19</v>
      </c>
      <c r="G447" s="1">
        <v>10.19</v>
      </c>
      <c r="H447">
        <f t="shared" si="6"/>
        <v>6452.85</v>
      </c>
    </row>
    <row r="448" spans="1:8" x14ac:dyDescent="0.25">
      <c r="A448" s="1" t="s">
        <v>461</v>
      </c>
      <c r="B448" s="5">
        <v>45676.583333333336</v>
      </c>
      <c r="C448" s="1" t="s">
        <v>8</v>
      </c>
      <c r="D448" s="1" t="s">
        <v>16</v>
      </c>
      <c r="E448" s="1">
        <v>9</v>
      </c>
      <c r="F448" s="1">
        <v>223.44</v>
      </c>
      <c r="G448" s="1">
        <v>20.59</v>
      </c>
      <c r="H448">
        <f t="shared" si="6"/>
        <v>2010.96</v>
      </c>
    </row>
    <row r="449" spans="1:8" x14ac:dyDescent="0.25">
      <c r="A449" s="1" t="s">
        <v>462</v>
      </c>
      <c r="B449" s="5">
        <v>45676.625</v>
      </c>
      <c r="C449" s="1" t="s">
        <v>23</v>
      </c>
      <c r="D449" s="1" t="s">
        <v>19</v>
      </c>
      <c r="E449" s="1">
        <v>15</v>
      </c>
      <c r="F449" s="1">
        <v>319.26</v>
      </c>
      <c r="G449" s="1">
        <v>45.46</v>
      </c>
      <c r="H449">
        <f t="shared" si="6"/>
        <v>4788.8999999999996</v>
      </c>
    </row>
    <row r="450" spans="1:8" x14ac:dyDescent="0.25">
      <c r="A450" s="1" t="s">
        <v>463</v>
      </c>
      <c r="B450" s="5">
        <v>45676.666666666664</v>
      </c>
      <c r="C450" s="1" t="s">
        <v>8</v>
      </c>
      <c r="D450" s="1" t="s">
        <v>37</v>
      </c>
      <c r="E450" s="1">
        <v>3</v>
      </c>
      <c r="F450" s="1">
        <v>416.02</v>
      </c>
      <c r="G450" s="1">
        <v>37.54</v>
      </c>
      <c r="H450">
        <f t="shared" ref="H450:H513" si="7">E450*F450</f>
        <v>1248.06</v>
      </c>
    </row>
    <row r="451" spans="1:8" x14ac:dyDescent="0.25">
      <c r="A451" s="1" t="s">
        <v>464</v>
      </c>
      <c r="B451" s="5">
        <v>45676.708333333336</v>
      </c>
      <c r="C451" s="1" t="s">
        <v>23</v>
      </c>
      <c r="D451" s="1" t="s">
        <v>9</v>
      </c>
      <c r="E451" s="1">
        <v>19</v>
      </c>
      <c r="F451" s="1">
        <v>177.73</v>
      </c>
      <c r="G451" s="1">
        <v>6.31</v>
      </c>
      <c r="H451">
        <f t="shared" si="7"/>
        <v>3376.87</v>
      </c>
    </row>
    <row r="452" spans="1:8" x14ac:dyDescent="0.25">
      <c r="A452" s="1" t="s">
        <v>465</v>
      </c>
      <c r="B452" s="5">
        <v>45676.75</v>
      </c>
      <c r="C452" s="1" t="s">
        <v>23</v>
      </c>
      <c r="D452" s="1" t="s">
        <v>16</v>
      </c>
      <c r="E452" s="1">
        <v>13</v>
      </c>
      <c r="F452" s="1">
        <v>407.47</v>
      </c>
      <c r="G452" s="1">
        <v>6.04</v>
      </c>
      <c r="H452">
        <f t="shared" si="7"/>
        <v>5297.1100000000006</v>
      </c>
    </row>
    <row r="453" spans="1:8" x14ac:dyDescent="0.25">
      <c r="A453" s="1" t="s">
        <v>466</v>
      </c>
      <c r="B453" s="5">
        <v>45676.791666666664</v>
      </c>
      <c r="C453" s="1" t="s">
        <v>23</v>
      </c>
      <c r="D453" s="1" t="s">
        <v>16</v>
      </c>
      <c r="E453" s="1">
        <v>12</v>
      </c>
      <c r="F453" s="1">
        <v>414.13</v>
      </c>
      <c r="G453" s="1">
        <v>28.24</v>
      </c>
      <c r="H453">
        <f t="shared" si="7"/>
        <v>4969.5599999999995</v>
      </c>
    </row>
    <row r="454" spans="1:8" x14ac:dyDescent="0.25">
      <c r="A454" s="1" t="s">
        <v>467</v>
      </c>
      <c r="B454" s="5">
        <v>45676.833333333336</v>
      </c>
      <c r="C454" s="1" t="s">
        <v>23</v>
      </c>
      <c r="D454" s="1" t="s">
        <v>9</v>
      </c>
      <c r="E454" s="1">
        <v>1</v>
      </c>
      <c r="F454" s="1">
        <v>419.87</v>
      </c>
      <c r="G454" s="1">
        <v>26.79</v>
      </c>
      <c r="H454">
        <f t="shared" si="7"/>
        <v>419.87</v>
      </c>
    </row>
    <row r="455" spans="1:8" x14ac:dyDescent="0.25">
      <c r="A455" s="1" t="s">
        <v>468</v>
      </c>
      <c r="B455" s="5">
        <v>45676.875</v>
      </c>
      <c r="C455" s="1" t="s">
        <v>23</v>
      </c>
      <c r="D455" s="1" t="s">
        <v>19</v>
      </c>
      <c r="E455" s="1">
        <v>17</v>
      </c>
      <c r="F455" s="1">
        <v>133.01</v>
      </c>
      <c r="G455" s="1">
        <v>24.93</v>
      </c>
      <c r="H455">
        <f t="shared" si="7"/>
        <v>2261.17</v>
      </c>
    </row>
    <row r="456" spans="1:8" x14ac:dyDescent="0.25">
      <c r="A456" s="1" t="s">
        <v>469</v>
      </c>
      <c r="B456" s="5">
        <v>45676.916666666664</v>
      </c>
      <c r="C456" s="1" t="s">
        <v>13</v>
      </c>
      <c r="D456" s="1" t="s">
        <v>19</v>
      </c>
      <c r="E456" s="1">
        <v>13</v>
      </c>
      <c r="F456" s="1">
        <v>189.45</v>
      </c>
      <c r="G456" s="1">
        <v>18.61</v>
      </c>
      <c r="H456">
        <f t="shared" si="7"/>
        <v>2462.85</v>
      </c>
    </row>
    <row r="457" spans="1:8" x14ac:dyDescent="0.25">
      <c r="A457" s="1" t="s">
        <v>470</v>
      </c>
      <c r="B457" s="5">
        <v>45676.958333333336</v>
      </c>
      <c r="C457" s="1" t="s">
        <v>8</v>
      </c>
      <c r="D457" s="1" t="s">
        <v>19</v>
      </c>
      <c r="E457" s="1">
        <v>1</v>
      </c>
      <c r="F457" s="1">
        <v>393.69</v>
      </c>
      <c r="G457" s="1">
        <v>49.4</v>
      </c>
      <c r="H457">
        <f t="shared" si="7"/>
        <v>393.69</v>
      </c>
    </row>
    <row r="458" spans="1:8" x14ac:dyDescent="0.25">
      <c r="A458" s="1" t="s">
        <v>471</v>
      </c>
      <c r="B458" s="5">
        <v>45677</v>
      </c>
      <c r="C458" s="1" t="s">
        <v>23</v>
      </c>
      <c r="D458" s="1" t="s">
        <v>37</v>
      </c>
      <c r="E458" s="1">
        <v>10</v>
      </c>
      <c r="F458" s="1">
        <v>171.56</v>
      </c>
      <c r="G458" s="1">
        <v>17.239999999999998</v>
      </c>
      <c r="H458">
        <f t="shared" si="7"/>
        <v>1715.6</v>
      </c>
    </row>
    <row r="459" spans="1:8" x14ac:dyDescent="0.25">
      <c r="A459" s="1" t="s">
        <v>472</v>
      </c>
      <c r="B459" s="5">
        <v>45677.041666666664</v>
      </c>
      <c r="C459" s="1" t="s">
        <v>11</v>
      </c>
      <c r="D459" s="1" t="s">
        <v>37</v>
      </c>
      <c r="E459" s="1">
        <v>15</v>
      </c>
      <c r="F459" s="1">
        <v>276.31</v>
      </c>
      <c r="G459" s="1">
        <v>27.05</v>
      </c>
      <c r="H459">
        <f t="shared" si="7"/>
        <v>4144.6499999999996</v>
      </c>
    </row>
    <row r="460" spans="1:8" x14ac:dyDescent="0.25">
      <c r="A460" s="1" t="s">
        <v>473</v>
      </c>
      <c r="B460" s="5">
        <v>45677.083333333336</v>
      </c>
      <c r="C460" s="1" t="s">
        <v>8</v>
      </c>
      <c r="D460" s="1" t="s">
        <v>16</v>
      </c>
      <c r="E460" s="1">
        <v>7</v>
      </c>
      <c r="F460" s="1">
        <v>66.790000000000006</v>
      </c>
      <c r="G460" s="1">
        <v>23.22</v>
      </c>
      <c r="H460">
        <f t="shared" si="7"/>
        <v>467.53000000000003</v>
      </c>
    </row>
    <row r="461" spans="1:8" x14ac:dyDescent="0.25">
      <c r="A461" s="1" t="s">
        <v>474</v>
      </c>
      <c r="B461" s="5">
        <v>45677.125</v>
      </c>
      <c r="C461" s="1" t="s">
        <v>8</v>
      </c>
      <c r="D461" s="1" t="s">
        <v>19</v>
      </c>
      <c r="E461" s="1">
        <v>18</v>
      </c>
      <c r="F461" s="1">
        <v>39.950000000000003</v>
      </c>
      <c r="G461" s="1">
        <v>12.66</v>
      </c>
      <c r="H461">
        <f t="shared" si="7"/>
        <v>719.1</v>
      </c>
    </row>
    <row r="462" spans="1:8" x14ac:dyDescent="0.25">
      <c r="A462" s="1" t="s">
        <v>475</v>
      </c>
      <c r="B462" s="5">
        <v>45677.166666666664</v>
      </c>
      <c r="C462" s="1" t="s">
        <v>23</v>
      </c>
      <c r="D462" s="1" t="s">
        <v>9</v>
      </c>
      <c r="E462" s="1">
        <v>16</v>
      </c>
      <c r="F462" s="1">
        <v>194.51</v>
      </c>
      <c r="G462" s="1">
        <v>14.12</v>
      </c>
      <c r="H462">
        <f t="shared" si="7"/>
        <v>3112.16</v>
      </c>
    </row>
    <row r="463" spans="1:8" x14ac:dyDescent="0.25">
      <c r="A463" s="1" t="s">
        <v>476</v>
      </c>
      <c r="B463" s="5">
        <v>45677.208333333336</v>
      </c>
      <c r="C463" s="1" t="s">
        <v>13</v>
      </c>
      <c r="D463" s="1" t="s">
        <v>16</v>
      </c>
      <c r="E463" s="1">
        <v>14</v>
      </c>
      <c r="F463" s="1">
        <v>267.04000000000002</v>
      </c>
      <c r="G463" s="1">
        <v>46.32</v>
      </c>
      <c r="H463">
        <f t="shared" si="7"/>
        <v>3738.5600000000004</v>
      </c>
    </row>
    <row r="464" spans="1:8" x14ac:dyDescent="0.25">
      <c r="A464" s="1" t="s">
        <v>477</v>
      </c>
      <c r="B464" s="5">
        <v>45677.25</v>
      </c>
      <c r="C464" s="1" t="s">
        <v>23</v>
      </c>
      <c r="D464" s="1" t="s">
        <v>9</v>
      </c>
      <c r="E464" s="1">
        <v>18</v>
      </c>
      <c r="F464" s="1">
        <v>186.13</v>
      </c>
      <c r="G464" s="1">
        <v>43.62</v>
      </c>
      <c r="H464">
        <f t="shared" si="7"/>
        <v>3350.34</v>
      </c>
    </row>
    <row r="465" spans="1:8" x14ac:dyDescent="0.25">
      <c r="A465" s="1" t="s">
        <v>478</v>
      </c>
      <c r="B465" s="5">
        <v>45677.291666666664</v>
      </c>
      <c r="C465" s="1" t="s">
        <v>13</v>
      </c>
      <c r="D465" s="1" t="s">
        <v>16</v>
      </c>
      <c r="E465" s="1">
        <v>7</v>
      </c>
      <c r="F465" s="1">
        <v>266.52999999999997</v>
      </c>
      <c r="G465" s="1">
        <v>13.96</v>
      </c>
      <c r="H465">
        <f t="shared" si="7"/>
        <v>1865.7099999999998</v>
      </c>
    </row>
    <row r="466" spans="1:8" x14ac:dyDescent="0.25">
      <c r="A466" s="1" t="s">
        <v>479</v>
      </c>
      <c r="B466" s="5">
        <v>45677.333333333336</v>
      </c>
      <c r="C466" s="1" t="s">
        <v>11</v>
      </c>
      <c r="D466" s="1" t="s">
        <v>37</v>
      </c>
      <c r="E466" s="1">
        <v>17</v>
      </c>
      <c r="F466" s="1">
        <v>239.3</v>
      </c>
      <c r="G466" s="1">
        <v>44.4</v>
      </c>
      <c r="H466">
        <f t="shared" si="7"/>
        <v>4068.1000000000004</v>
      </c>
    </row>
    <row r="467" spans="1:8" x14ac:dyDescent="0.25">
      <c r="A467" s="1" t="s">
        <v>480</v>
      </c>
      <c r="B467" s="5">
        <v>45677.375</v>
      </c>
      <c r="C467" s="1" t="s">
        <v>8</v>
      </c>
      <c r="D467" s="1" t="s">
        <v>16</v>
      </c>
      <c r="E467" s="1">
        <v>18</v>
      </c>
      <c r="F467" s="1">
        <v>313.44</v>
      </c>
      <c r="G467" s="1">
        <v>14.41</v>
      </c>
      <c r="H467">
        <f t="shared" si="7"/>
        <v>5641.92</v>
      </c>
    </row>
    <row r="468" spans="1:8" x14ac:dyDescent="0.25">
      <c r="A468" s="1" t="s">
        <v>481</v>
      </c>
      <c r="B468" s="5">
        <v>45677.416666666664</v>
      </c>
      <c r="C468" s="1" t="s">
        <v>11</v>
      </c>
      <c r="D468" s="1" t="s">
        <v>37</v>
      </c>
      <c r="E468" s="1">
        <v>12</v>
      </c>
      <c r="F468" s="1">
        <v>297.72000000000003</v>
      </c>
      <c r="G468" s="1">
        <v>33.19</v>
      </c>
      <c r="H468">
        <f t="shared" si="7"/>
        <v>3572.6400000000003</v>
      </c>
    </row>
    <row r="469" spans="1:8" x14ac:dyDescent="0.25">
      <c r="A469" s="1" t="s">
        <v>482</v>
      </c>
      <c r="B469" s="5">
        <v>45677.458333333336</v>
      </c>
      <c r="C469" s="1" t="s">
        <v>13</v>
      </c>
      <c r="D469" s="1" t="s">
        <v>16</v>
      </c>
      <c r="E469" s="1">
        <v>8</v>
      </c>
      <c r="F469" s="1">
        <v>199.83</v>
      </c>
      <c r="G469" s="1">
        <v>8.66</v>
      </c>
      <c r="H469">
        <f t="shared" si="7"/>
        <v>1598.64</v>
      </c>
    </row>
    <row r="470" spans="1:8" x14ac:dyDescent="0.25">
      <c r="A470" s="1" t="s">
        <v>483</v>
      </c>
      <c r="B470" s="5">
        <v>45677.5</v>
      </c>
      <c r="C470" s="1" t="s">
        <v>13</v>
      </c>
      <c r="D470" s="1" t="s">
        <v>19</v>
      </c>
      <c r="E470" s="1">
        <v>2</v>
      </c>
      <c r="F470" s="1">
        <v>200.16</v>
      </c>
      <c r="G470" s="1">
        <v>44.62</v>
      </c>
      <c r="H470">
        <f t="shared" si="7"/>
        <v>400.32</v>
      </c>
    </row>
    <row r="471" spans="1:8" x14ac:dyDescent="0.25">
      <c r="A471" s="1" t="s">
        <v>484</v>
      </c>
      <c r="B471" s="5">
        <v>45677.541666666664</v>
      </c>
      <c r="C471" s="1" t="s">
        <v>11</v>
      </c>
      <c r="D471" s="1" t="s">
        <v>9</v>
      </c>
      <c r="E471" s="1">
        <v>7</v>
      </c>
      <c r="F471" s="1">
        <v>76.67</v>
      </c>
      <c r="G471" s="1">
        <v>7.32</v>
      </c>
      <c r="H471">
        <f t="shared" si="7"/>
        <v>536.69000000000005</v>
      </c>
    </row>
    <row r="472" spans="1:8" x14ac:dyDescent="0.25">
      <c r="A472" s="1" t="s">
        <v>485</v>
      </c>
      <c r="B472" s="5">
        <v>45677.583333333336</v>
      </c>
      <c r="C472" s="1" t="s">
        <v>13</v>
      </c>
      <c r="D472" s="1" t="s">
        <v>19</v>
      </c>
      <c r="E472" s="1">
        <v>4</v>
      </c>
      <c r="F472" s="1">
        <v>238.5</v>
      </c>
      <c r="G472" s="1">
        <v>29.97</v>
      </c>
      <c r="H472">
        <f t="shared" si="7"/>
        <v>954</v>
      </c>
    </row>
    <row r="473" spans="1:8" x14ac:dyDescent="0.25">
      <c r="A473" s="1" t="s">
        <v>486</v>
      </c>
      <c r="B473" s="5">
        <v>45677.625</v>
      </c>
      <c r="C473" s="1" t="s">
        <v>11</v>
      </c>
      <c r="D473" s="1" t="s">
        <v>16</v>
      </c>
      <c r="E473" s="1">
        <v>18</v>
      </c>
      <c r="F473" s="1">
        <v>270.63</v>
      </c>
      <c r="G473" s="1">
        <v>40.090000000000003</v>
      </c>
      <c r="H473">
        <f t="shared" si="7"/>
        <v>4871.34</v>
      </c>
    </row>
    <row r="474" spans="1:8" x14ac:dyDescent="0.25">
      <c r="A474" s="1" t="s">
        <v>487</v>
      </c>
      <c r="B474" s="5">
        <v>45677.666666666664</v>
      </c>
      <c r="C474" s="1" t="s">
        <v>8</v>
      </c>
      <c r="D474" s="1" t="s">
        <v>16</v>
      </c>
      <c r="E474" s="1">
        <v>6</v>
      </c>
      <c r="F474" s="1">
        <v>222.53</v>
      </c>
      <c r="G474" s="1">
        <v>10.26</v>
      </c>
      <c r="H474">
        <f t="shared" si="7"/>
        <v>1335.18</v>
      </c>
    </row>
    <row r="475" spans="1:8" x14ac:dyDescent="0.25">
      <c r="A475" s="1" t="s">
        <v>488</v>
      </c>
      <c r="B475" s="5">
        <v>45677.708333333336</v>
      </c>
      <c r="C475" s="1" t="s">
        <v>11</v>
      </c>
      <c r="D475" s="1" t="s">
        <v>16</v>
      </c>
      <c r="E475" s="1">
        <v>9</v>
      </c>
      <c r="F475" s="1">
        <v>157.02000000000001</v>
      </c>
      <c r="G475" s="1">
        <v>23.2</v>
      </c>
      <c r="H475">
        <f t="shared" si="7"/>
        <v>1413.18</v>
      </c>
    </row>
    <row r="476" spans="1:8" x14ac:dyDescent="0.25">
      <c r="A476" s="1" t="s">
        <v>489</v>
      </c>
      <c r="B476" s="5">
        <v>45677.75</v>
      </c>
      <c r="C476" s="1" t="s">
        <v>8</v>
      </c>
      <c r="D476" s="1" t="s">
        <v>37</v>
      </c>
      <c r="E476" s="1">
        <v>9</v>
      </c>
      <c r="F476" s="1">
        <v>329.06</v>
      </c>
      <c r="G476" s="1">
        <v>6.89</v>
      </c>
      <c r="H476">
        <f t="shared" si="7"/>
        <v>2961.54</v>
      </c>
    </row>
    <row r="477" spans="1:8" x14ac:dyDescent="0.25">
      <c r="A477" s="1" t="s">
        <v>490</v>
      </c>
      <c r="B477" s="5">
        <v>45677.791666666664</v>
      </c>
      <c r="C477" s="1" t="s">
        <v>11</v>
      </c>
      <c r="D477" s="1" t="s">
        <v>9</v>
      </c>
      <c r="E477" s="1">
        <v>14</v>
      </c>
      <c r="F477" s="1">
        <v>47.94</v>
      </c>
      <c r="G477" s="1">
        <v>35.72</v>
      </c>
      <c r="H477">
        <f t="shared" si="7"/>
        <v>671.16</v>
      </c>
    </row>
    <row r="478" spans="1:8" x14ac:dyDescent="0.25">
      <c r="A478" s="1" t="s">
        <v>491</v>
      </c>
      <c r="B478" s="5">
        <v>45677.833333333336</v>
      </c>
      <c r="C478" s="1" t="s">
        <v>13</v>
      </c>
      <c r="D478" s="1" t="s">
        <v>9</v>
      </c>
      <c r="E478" s="1">
        <v>8</v>
      </c>
      <c r="F478" s="1">
        <v>412.82</v>
      </c>
      <c r="G478" s="1">
        <v>18.84</v>
      </c>
      <c r="H478">
        <f t="shared" si="7"/>
        <v>3302.56</v>
      </c>
    </row>
    <row r="479" spans="1:8" x14ac:dyDescent="0.25">
      <c r="A479" s="1" t="s">
        <v>492</v>
      </c>
      <c r="B479" s="5">
        <v>45677.875</v>
      </c>
      <c r="C479" s="1" t="s">
        <v>11</v>
      </c>
      <c r="D479" s="1" t="s">
        <v>16</v>
      </c>
      <c r="E479" s="1">
        <v>19</v>
      </c>
      <c r="F479" s="1">
        <v>24.47</v>
      </c>
      <c r="G479" s="1">
        <v>30.17</v>
      </c>
      <c r="H479">
        <f t="shared" si="7"/>
        <v>464.92999999999995</v>
      </c>
    </row>
    <row r="480" spans="1:8" x14ac:dyDescent="0.25">
      <c r="A480" s="1" t="s">
        <v>493</v>
      </c>
      <c r="B480" s="5">
        <v>45677.916666666664</v>
      </c>
      <c r="C480" s="1" t="s">
        <v>13</v>
      </c>
      <c r="D480" s="1" t="s">
        <v>16</v>
      </c>
      <c r="E480" s="1">
        <v>3</v>
      </c>
      <c r="F480" s="1">
        <v>433.64</v>
      </c>
      <c r="G480" s="1">
        <v>46.97</v>
      </c>
      <c r="H480">
        <f t="shared" si="7"/>
        <v>1300.92</v>
      </c>
    </row>
    <row r="481" spans="1:8" x14ac:dyDescent="0.25">
      <c r="A481" s="1" t="s">
        <v>494</v>
      </c>
      <c r="B481" s="5">
        <v>45677.958333333336</v>
      </c>
      <c r="C481" s="1" t="s">
        <v>11</v>
      </c>
      <c r="D481" s="1" t="s">
        <v>37</v>
      </c>
      <c r="E481" s="1">
        <v>18</v>
      </c>
      <c r="F481" s="1">
        <v>216.39</v>
      </c>
      <c r="G481" s="1">
        <v>18.760000000000002</v>
      </c>
      <c r="H481">
        <f t="shared" si="7"/>
        <v>3895.0199999999995</v>
      </c>
    </row>
    <row r="482" spans="1:8" x14ac:dyDescent="0.25">
      <c r="A482" s="1" t="s">
        <v>495</v>
      </c>
      <c r="B482" s="5">
        <v>45678</v>
      </c>
      <c r="C482" s="1" t="s">
        <v>11</v>
      </c>
      <c r="D482" s="1" t="s">
        <v>19</v>
      </c>
      <c r="E482" s="1">
        <v>5</v>
      </c>
      <c r="F482" s="1">
        <v>194.81</v>
      </c>
      <c r="G482" s="1">
        <v>7.19</v>
      </c>
      <c r="H482">
        <f t="shared" si="7"/>
        <v>974.05</v>
      </c>
    </row>
    <row r="483" spans="1:8" x14ac:dyDescent="0.25">
      <c r="A483" s="1" t="s">
        <v>496</v>
      </c>
      <c r="B483" s="5">
        <v>45678.041666666664</v>
      </c>
      <c r="C483" s="1" t="s">
        <v>23</v>
      </c>
      <c r="D483" s="1" t="s">
        <v>19</v>
      </c>
      <c r="E483" s="1">
        <v>14</v>
      </c>
      <c r="F483" s="1">
        <v>126.92</v>
      </c>
      <c r="G483" s="1">
        <v>35.4</v>
      </c>
      <c r="H483">
        <f t="shared" si="7"/>
        <v>1776.88</v>
      </c>
    </row>
    <row r="484" spans="1:8" x14ac:dyDescent="0.25">
      <c r="A484" s="1" t="s">
        <v>497</v>
      </c>
      <c r="B484" s="5">
        <v>45678.083333333336</v>
      </c>
      <c r="C484" s="1" t="s">
        <v>13</v>
      </c>
      <c r="D484" s="1" t="s">
        <v>9</v>
      </c>
      <c r="E484" s="1">
        <v>4</v>
      </c>
      <c r="F484" s="1">
        <v>19.88</v>
      </c>
      <c r="G484" s="1">
        <v>40.409999999999997</v>
      </c>
      <c r="H484">
        <f t="shared" si="7"/>
        <v>79.52</v>
      </c>
    </row>
    <row r="485" spans="1:8" x14ac:dyDescent="0.25">
      <c r="A485" s="1" t="s">
        <v>498</v>
      </c>
      <c r="B485" s="5">
        <v>45678.125</v>
      </c>
      <c r="C485" s="1" t="s">
        <v>23</v>
      </c>
      <c r="D485" s="1" t="s">
        <v>37</v>
      </c>
      <c r="E485" s="1">
        <v>7</v>
      </c>
      <c r="F485" s="1">
        <v>134.9</v>
      </c>
      <c r="G485" s="1">
        <v>48.1</v>
      </c>
      <c r="H485">
        <f t="shared" si="7"/>
        <v>944.30000000000007</v>
      </c>
    </row>
    <row r="486" spans="1:8" x14ac:dyDescent="0.25">
      <c r="A486" s="1" t="s">
        <v>499</v>
      </c>
      <c r="B486" s="5">
        <v>45678.166666666664</v>
      </c>
      <c r="C486" s="1" t="s">
        <v>13</v>
      </c>
      <c r="D486" s="1" t="s">
        <v>16</v>
      </c>
      <c r="E486" s="1">
        <v>12</v>
      </c>
      <c r="F486" s="1">
        <v>63.03</v>
      </c>
      <c r="G486" s="1">
        <v>12.1</v>
      </c>
      <c r="H486">
        <f t="shared" si="7"/>
        <v>756.36</v>
      </c>
    </row>
    <row r="487" spans="1:8" x14ac:dyDescent="0.25">
      <c r="A487" s="1" t="s">
        <v>500</v>
      </c>
      <c r="B487" s="5">
        <v>45678.208333333336</v>
      </c>
      <c r="C487" s="1" t="s">
        <v>23</v>
      </c>
      <c r="D487" s="1" t="s">
        <v>9</v>
      </c>
      <c r="E487" s="1">
        <v>2</v>
      </c>
      <c r="F487" s="1">
        <v>302.19</v>
      </c>
      <c r="G487" s="1">
        <v>22.65</v>
      </c>
      <c r="H487">
        <f t="shared" si="7"/>
        <v>604.38</v>
      </c>
    </row>
    <row r="488" spans="1:8" x14ac:dyDescent="0.25">
      <c r="A488" s="1" t="s">
        <v>501</v>
      </c>
      <c r="B488" s="5">
        <v>45678.25</v>
      </c>
      <c r="C488" s="1" t="s">
        <v>8</v>
      </c>
      <c r="D488" s="1" t="s">
        <v>37</v>
      </c>
      <c r="E488" s="1">
        <v>11</v>
      </c>
      <c r="F488" s="1">
        <v>154.13999999999999</v>
      </c>
      <c r="G488" s="1">
        <v>42.99</v>
      </c>
      <c r="H488">
        <f t="shared" si="7"/>
        <v>1695.54</v>
      </c>
    </row>
    <row r="489" spans="1:8" x14ac:dyDescent="0.25">
      <c r="A489" s="1" t="s">
        <v>502</v>
      </c>
      <c r="B489" s="5">
        <v>45678.291666666664</v>
      </c>
      <c r="C489" s="1" t="s">
        <v>11</v>
      </c>
      <c r="D489" s="1" t="s">
        <v>19</v>
      </c>
      <c r="E489" s="1">
        <v>14</v>
      </c>
      <c r="F489" s="1">
        <v>348.84</v>
      </c>
      <c r="G489" s="1">
        <v>41.31</v>
      </c>
      <c r="H489">
        <f t="shared" si="7"/>
        <v>4883.7599999999993</v>
      </c>
    </row>
    <row r="490" spans="1:8" x14ac:dyDescent="0.25">
      <c r="A490" s="1" t="s">
        <v>503</v>
      </c>
      <c r="B490" s="5">
        <v>45678.333333333336</v>
      </c>
      <c r="C490" s="1" t="s">
        <v>13</v>
      </c>
      <c r="D490" s="1" t="s">
        <v>37</v>
      </c>
      <c r="E490" s="1">
        <v>16</v>
      </c>
      <c r="F490" s="1">
        <v>105.41</v>
      </c>
      <c r="G490" s="1">
        <v>33.119999999999997</v>
      </c>
      <c r="H490">
        <f t="shared" si="7"/>
        <v>1686.56</v>
      </c>
    </row>
    <row r="491" spans="1:8" x14ac:dyDescent="0.25">
      <c r="A491" s="1" t="s">
        <v>504</v>
      </c>
      <c r="B491" s="5">
        <v>45678.375</v>
      </c>
      <c r="C491" s="1" t="s">
        <v>13</v>
      </c>
      <c r="D491" s="1" t="s">
        <v>19</v>
      </c>
      <c r="E491" s="1">
        <v>6</v>
      </c>
      <c r="F491" s="1">
        <v>406.65</v>
      </c>
      <c r="G491" s="1">
        <v>17.12</v>
      </c>
      <c r="H491">
        <f t="shared" si="7"/>
        <v>2439.8999999999996</v>
      </c>
    </row>
    <row r="492" spans="1:8" x14ac:dyDescent="0.25">
      <c r="A492" s="1" t="s">
        <v>505</v>
      </c>
      <c r="B492" s="5">
        <v>45678.416666666664</v>
      </c>
      <c r="C492" s="1" t="s">
        <v>11</v>
      </c>
      <c r="D492" s="1" t="s">
        <v>37</v>
      </c>
      <c r="E492" s="1">
        <v>4</v>
      </c>
      <c r="F492" s="1">
        <v>242.74</v>
      </c>
      <c r="G492" s="1">
        <v>17.78</v>
      </c>
      <c r="H492">
        <f t="shared" si="7"/>
        <v>970.96</v>
      </c>
    </row>
    <row r="493" spans="1:8" x14ac:dyDescent="0.25">
      <c r="A493" s="1" t="s">
        <v>506</v>
      </c>
      <c r="B493" s="5">
        <v>45678.458333333336</v>
      </c>
      <c r="C493" s="1" t="s">
        <v>13</v>
      </c>
      <c r="D493" s="1" t="s">
        <v>9</v>
      </c>
      <c r="E493" s="1">
        <v>15</v>
      </c>
      <c r="F493" s="1">
        <v>65.25</v>
      </c>
      <c r="G493" s="1">
        <v>10.58</v>
      </c>
      <c r="H493">
        <f t="shared" si="7"/>
        <v>978.75</v>
      </c>
    </row>
    <row r="494" spans="1:8" x14ac:dyDescent="0.25">
      <c r="A494" s="1" t="s">
        <v>507</v>
      </c>
      <c r="B494" s="5">
        <v>45678.5</v>
      </c>
      <c r="C494" s="1" t="s">
        <v>13</v>
      </c>
      <c r="D494" s="1" t="s">
        <v>19</v>
      </c>
      <c r="E494" s="1">
        <v>1</v>
      </c>
      <c r="F494" s="1">
        <v>189.67</v>
      </c>
      <c r="G494" s="1">
        <v>46.48</v>
      </c>
      <c r="H494">
        <f t="shared" si="7"/>
        <v>189.67</v>
      </c>
    </row>
    <row r="495" spans="1:8" x14ac:dyDescent="0.25">
      <c r="A495" s="1" t="s">
        <v>508</v>
      </c>
      <c r="B495" s="5">
        <v>45678.541666666664</v>
      </c>
      <c r="C495" s="1" t="s">
        <v>23</v>
      </c>
      <c r="D495" s="1" t="s">
        <v>9</v>
      </c>
      <c r="E495" s="1">
        <v>7</v>
      </c>
      <c r="F495" s="1">
        <v>105.34</v>
      </c>
      <c r="G495" s="1">
        <v>12.78</v>
      </c>
      <c r="H495">
        <f t="shared" si="7"/>
        <v>737.38</v>
      </c>
    </row>
    <row r="496" spans="1:8" x14ac:dyDescent="0.25">
      <c r="A496" s="1" t="s">
        <v>509</v>
      </c>
      <c r="B496" s="5">
        <v>45678.583333333336</v>
      </c>
      <c r="C496" s="1" t="s">
        <v>13</v>
      </c>
      <c r="D496" s="1" t="s">
        <v>9</v>
      </c>
      <c r="E496" s="1">
        <v>12</v>
      </c>
      <c r="F496" s="1">
        <v>102.26</v>
      </c>
      <c r="G496" s="1">
        <v>30.78</v>
      </c>
      <c r="H496">
        <f t="shared" si="7"/>
        <v>1227.1200000000001</v>
      </c>
    </row>
    <row r="497" spans="1:8" x14ac:dyDescent="0.25">
      <c r="A497" s="1" t="s">
        <v>510</v>
      </c>
      <c r="B497" s="5">
        <v>45678.625</v>
      </c>
      <c r="C497" s="1" t="s">
        <v>8</v>
      </c>
      <c r="D497" s="1" t="s">
        <v>19</v>
      </c>
      <c r="E497" s="1">
        <v>10</v>
      </c>
      <c r="F497" s="1">
        <v>235.52</v>
      </c>
      <c r="G497" s="1">
        <v>31.3</v>
      </c>
      <c r="H497">
        <f t="shared" si="7"/>
        <v>2355.2000000000003</v>
      </c>
    </row>
    <row r="498" spans="1:8" x14ac:dyDescent="0.25">
      <c r="A498" s="1" t="s">
        <v>511</v>
      </c>
      <c r="B498" s="5">
        <v>45678.666666666664</v>
      </c>
      <c r="C498" s="1" t="s">
        <v>8</v>
      </c>
      <c r="D498" s="1" t="s">
        <v>19</v>
      </c>
      <c r="E498" s="1">
        <v>5</v>
      </c>
      <c r="F498" s="1">
        <v>307.44</v>
      </c>
      <c r="G498" s="1">
        <v>21.63</v>
      </c>
      <c r="H498">
        <f t="shared" si="7"/>
        <v>1537.2</v>
      </c>
    </row>
    <row r="499" spans="1:8" x14ac:dyDescent="0.25">
      <c r="A499" s="1" t="s">
        <v>512</v>
      </c>
      <c r="B499" s="5">
        <v>45678.708333333336</v>
      </c>
      <c r="C499" s="1" t="s">
        <v>11</v>
      </c>
      <c r="D499" s="1" t="s">
        <v>16</v>
      </c>
      <c r="E499" s="1">
        <v>12</v>
      </c>
      <c r="F499" s="1">
        <v>411.6</v>
      </c>
      <c r="G499" s="1">
        <v>20.86</v>
      </c>
      <c r="H499">
        <f t="shared" si="7"/>
        <v>4939.2000000000007</v>
      </c>
    </row>
    <row r="500" spans="1:8" x14ac:dyDescent="0.25">
      <c r="A500" s="1" t="s">
        <v>513</v>
      </c>
      <c r="B500" s="5">
        <v>45678.75</v>
      </c>
      <c r="C500" s="1" t="s">
        <v>13</v>
      </c>
      <c r="D500" s="1" t="s">
        <v>16</v>
      </c>
      <c r="E500" s="1">
        <v>18</v>
      </c>
      <c r="F500" s="1">
        <v>233.69</v>
      </c>
      <c r="G500" s="1">
        <v>35.090000000000003</v>
      </c>
      <c r="H500">
        <f t="shared" si="7"/>
        <v>4206.42</v>
      </c>
    </row>
    <row r="501" spans="1:8" x14ac:dyDescent="0.25">
      <c r="A501" s="1" t="s">
        <v>514</v>
      </c>
      <c r="B501" s="5">
        <v>45678.791666666664</v>
      </c>
      <c r="C501" s="1" t="s">
        <v>11</v>
      </c>
      <c r="D501" s="1" t="s">
        <v>16</v>
      </c>
      <c r="E501" s="1">
        <v>10</v>
      </c>
      <c r="F501" s="1">
        <v>435.16</v>
      </c>
      <c r="G501" s="1">
        <v>22.47</v>
      </c>
      <c r="H501">
        <f t="shared" si="7"/>
        <v>4351.6000000000004</v>
      </c>
    </row>
    <row r="502" spans="1:8" x14ac:dyDescent="0.25">
      <c r="A502" s="1" t="s">
        <v>515</v>
      </c>
      <c r="B502" s="5">
        <v>45678.833333333336</v>
      </c>
      <c r="C502" s="1" t="s">
        <v>8</v>
      </c>
      <c r="D502" s="1" t="s">
        <v>9</v>
      </c>
      <c r="E502" s="1">
        <v>6</v>
      </c>
      <c r="F502" s="1">
        <v>424.64</v>
      </c>
      <c r="G502" s="1">
        <v>16.48</v>
      </c>
      <c r="H502">
        <f t="shared" si="7"/>
        <v>2547.84</v>
      </c>
    </row>
    <row r="503" spans="1:8" x14ac:dyDescent="0.25">
      <c r="A503" s="1" t="s">
        <v>516</v>
      </c>
      <c r="B503" s="5">
        <v>45678.875</v>
      </c>
      <c r="C503" s="1" t="s">
        <v>13</v>
      </c>
      <c r="D503" s="1" t="s">
        <v>9</v>
      </c>
      <c r="E503" s="1">
        <v>12</v>
      </c>
      <c r="F503" s="1">
        <v>391.37</v>
      </c>
      <c r="G503" s="1">
        <v>22.96</v>
      </c>
      <c r="H503">
        <f t="shared" si="7"/>
        <v>4696.4400000000005</v>
      </c>
    </row>
    <row r="504" spans="1:8" x14ac:dyDescent="0.25">
      <c r="A504" s="1" t="s">
        <v>517</v>
      </c>
      <c r="B504" s="5">
        <v>45678.916666666664</v>
      </c>
      <c r="C504" s="1" t="s">
        <v>13</v>
      </c>
      <c r="D504" s="1" t="s">
        <v>16</v>
      </c>
      <c r="E504" s="1">
        <v>7</v>
      </c>
      <c r="F504" s="1">
        <v>232.74</v>
      </c>
      <c r="G504" s="1">
        <v>41.34</v>
      </c>
      <c r="H504">
        <f t="shared" si="7"/>
        <v>1629.18</v>
      </c>
    </row>
    <row r="505" spans="1:8" x14ac:dyDescent="0.25">
      <c r="A505" s="1" t="s">
        <v>518</v>
      </c>
      <c r="B505" s="5">
        <v>45678.958333333336</v>
      </c>
      <c r="C505" s="1" t="s">
        <v>11</v>
      </c>
      <c r="D505" s="1" t="s">
        <v>9</v>
      </c>
      <c r="E505" s="1">
        <v>18</v>
      </c>
      <c r="F505" s="1">
        <v>76.72</v>
      </c>
      <c r="G505" s="1">
        <v>48.49</v>
      </c>
      <c r="H505">
        <f t="shared" si="7"/>
        <v>1380.96</v>
      </c>
    </row>
    <row r="506" spans="1:8" x14ac:dyDescent="0.25">
      <c r="A506" s="1" t="s">
        <v>519</v>
      </c>
      <c r="B506" s="5">
        <v>45679</v>
      </c>
      <c r="C506" s="1" t="s">
        <v>8</v>
      </c>
      <c r="D506" s="1" t="s">
        <v>9</v>
      </c>
      <c r="E506" s="1">
        <v>2</v>
      </c>
      <c r="F506" s="1">
        <v>110.18</v>
      </c>
      <c r="G506" s="1">
        <v>33.619999999999997</v>
      </c>
      <c r="H506">
        <f t="shared" si="7"/>
        <v>220.36</v>
      </c>
    </row>
    <row r="507" spans="1:8" x14ac:dyDescent="0.25">
      <c r="A507" s="1" t="s">
        <v>520</v>
      </c>
      <c r="B507" s="5">
        <v>45679.041666666664</v>
      </c>
      <c r="C507" s="1" t="s">
        <v>13</v>
      </c>
      <c r="D507" s="1" t="s">
        <v>19</v>
      </c>
      <c r="E507" s="1">
        <v>10</v>
      </c>
      <c r="F507" s="1">
        <v>296.91000000000003</v>
      </c>
      <c r="G507" s="1">
        <v>40.19</v>
      </c>
      <c r="H507">
        <f t="shared" si="7"/>
        <v>2969.1000000000004</v>
      </c>
    </row>
    <row r="508" spans="1:8" x14ac:dyDescent="0.25">
      <c r="A508" s="1" t="s">
        <v>521</v>
      </c>
      <c r="B508" s="5">
        <v>45679.083333333336</v>
      </c>
      <c r="C508" s="1" t="s">
        <v>11</v>
      </c>
      <c r="D508" s="1" t="s">
        <v>19</v>
      </c>
      <c r="E508" s="1">
        <v>15</v>
      </c>
      <c r="F508" s="1">
        <v>198.75</v>
      </c>
      <c r="G508" s="1">
        <v>28.98</v>
      </c>
      <c r="H508">
        <f t="shared" si="7"/>
        <v>2981.25</v>
      </c>
    </row>
    <row r="509" spans="1:8" x14ac:dyDescent="0.25">
      <c r="A509" s="1" t="s">
        <v>522</v>
      </c>
      <c r="B509" s="5">
        <v>45679.125</v>
      </c>
      <c r="C509" s="1" t="s">
        <v>8</v>
      </c>
      <c r="D509" s="1" t="s">
        <v>9</v>
      </c>
      <c r="E509" s="1">
        <v>12</v>
      </c>
      <c r="F509" s="1">
        <v>79.290000000000006</v>
      </c>
      <c r="G509" s="1">
        <v>33.119999999999997</v>
      </c>
      <c r="H509">
        <f t="shared" si="7"/>
        <v>951.48</v>
      </c>
    </row>
    <row r="510" spans="1:8" x14ac:dyDescent="0.25">
      <c r="A510" s="1" t="s">
        <v>523</v>
      </c>
      <c r="B510" s="5">
        <v>45679.166666666664</v>
      </c>
      <c r="C510" s="1" t="s">
        <v>11</v>
      </c>
      <c r="D510" s="1" t="s">
        <v>16</v>
      </c>
      <c r="E510" s="1">
        <v>17</v>
      </c>
      <c r="F510" s="1">
        <v>223.62</v>
      </c>
      <c r="G510" s="1">
        <v>49.46</v>
      </c>
      <c r="H510">
        <f t="shared" si="7"/>
        <v>3801.54</v>
      </c>
    </row>
    <row r="511" spans="1:8" x14ac:dyDescent="0.25">
      <c r="A511" s="1" t="s">
        <v>524</v>
      </c>
      <c r="B511" s="5">
        <v>45679.208333333336</v>
      </c>
      <c r="C511" s="1" t="s">
        <v>23</v>
      </c>
      <c r="D511" s="1" t="s">
        <v>37</v>
      </c>
      <c r="E511" s="1">
        <v>4</v>
      </c>
      <c r="F511" s="1">
        <v>23.07</v>
      </c>
      <c r="G511" s="1">
        <v>24.73</v>
      </c>
      <c r="H511">
        <f t="shared" si="7"/>
        <v>92.28</v>
      </c>
    </row>
    <row r="512" spans="1:8" x14ac:dyDescent="0.25">
      <c r="A512" s="1" t="s">
        <v>525</v>
      </c>
      <c r="B512" s="5">
        <v>45679.25</v>
      </c>
      <c r="C512" s="1" t="s">
        <v>13</v>
      </c>
      <c r="D512" s="1" t="s">
        <v>16</v>
      </c>
      <c r="E512" s="1">
        <v>7</v>
      </c>
      <c r="F512" s="1">
        <v>334.38</v>
      </c>
      <c r="G512" s="1">
        <v>7.98</v>
      </c>
      <c r="H512">
        <f t="shared" si="7"/>
        <v>2340.66</v>
      </c>
    </row>
    <row r="513" spans="1:8" x14ac:dyDescent="0.25">
      <c r="A513" s="1" t="s">
        <v>526</v>
      </c>
      <c r="B513" s="5">
        <v>45679.291666666664</v>
      </c>
      <c r="C513" s="1" t="s">
        <v>23</v>
      </c>
      <c r="D513" s="1" t="s">
        <v>37</v>
      </c>
      <c r="E513" s="1">
        <v>9</v>
      </c>
      <c r="F513" s="1">
        <v>47.47</v>
      </c>
      <c r="G513" s="1">
        <v>48.07</v>
      </c>
      <c r="H513">
        <f t="shared" si="7"/>
        <v>427.23</v>
      </c>
    </row>
    <row r="514" spans="1:8" x14ac:dyDescent="0.25">
      <c r="A514" s="1" t="s">
        <v>527</v>
      </c>
      <c r="B514" s="5">
        <v>45679.333333333336</v>
      </c>
      <c r="C514" s="1" t="s">
        <v>8</v>
      </c>
      <c r="D514" s="1" t="s">
        <v>16</v>
      </c>
      <c r="E514" s="1">
        <v>19</v>
      </c>
      <c r="F514" s="1">
        <v>288.85000000000002</v>
      </c>
      <c r="G514" s="1">
        <v>40.69</v>
      </c>
      <c r="H514">
        <f t="shared" ref="H514:H577" si="8">E514*F514</f>
        <v>5488.1500000000005</v>
      </c>
    </row>
    <row r="515" spans="1:8" x14ac:dyDescent="0.25">
      <c r="A515" s="1" t="s">
        <v>528</v>
      </c>
      <c r="B515" s="5">
        <v>45679.375</v>
      </c>
      <c r="C515" s="1" t="s">
        <v>23</v>
      </c>
      <c r="D515" s="1" t="s">
        <v>19</v>
      </c>
      <c r="E515" s="1">
        <v>7</v>
      </c>
      <c r="F515" s="1">
        <v>360.06</v>
      </c>
      <c r="G515" s="1">
        <v>22.92</v>
      </c>
      <c r="H515">
        <f t="shared" si="8"/>
        <v>2520.42</v>
      </c>
    </row>
    <row r="516" spans="1:8" x14ac:dyDescent="0.25">
      <c r="A516" s="1" t="s">
        <v>529</v>
      </c>
      <c r="B516" s="5">
        <v>45679.416666666664</v>
      </c>
      <c r="C516" s="1" t="s">
        <v>23</v>
      </c>
      <c r="D516" s="1" t="s">
        <v>9</v>
      </c>
      <c r="E516" s="1">
        <v>2</v>
      </c>
      <c r="F516" s="1">
        <v>73.13</v>
      </c>
      <c r="G516" s="1">
        <v>49.21</v>
      </c>
      <c r="H516">
        <f t="shared" si="8"/>
        <v>146.26</v>
      </c>
    </row>
    <row r="517" spans="1:8" x14ac:dyDescent="0.25">
      <c r="A517" s="1" t="s">
        <v>530</v>
      </c>
      <c r="B517" s="5">
        <v>45679.458333333336</v>
      </c>
      <c r="C517" s="1" t="s">
        <v>8</v>
      </c>
      <c r="D517" s="1" t="s">
        <v>9</v>
      </c>
      <c r="E517" s="1">
        <v>6</v>
      </c>
      <c r="F517" s="1">
        <v>240.85</v>
      </c>
      <c r="G517" s="1">
        <v>20.55</v>
      </c>
      <c r="H517">
        <f t="shared" si="8"/>
        <v>1445.1</v>
      </c>
    </row>
    <row r="518" spans="1:8" x14ac:dyDescent="0.25">
      <c r="A518" s="1" t="s">
        <v>531</v>
      </c>
      <c r="B518" s="5">
        <v>45679.5</v>
      </c>
      <c r="C518" s="1" t="s">
        <v>11</v>
      </c>
      <c r="D518" s="1" t="s">
        <v>19</v>
      </c>
      <c r="E518" s="1">
        <v>18</v>
      </c>
      <c r="F518" s="1">
        <v>354</v>
      </c>
      <c r="G518" s="1">
        <v>21.75</v>
      </c>
      <c r="H518">
        <f t="shared" si="8"/>
        <v>6372</v>
      </c>
    </row>
    <row r="519" spans="1:8" x14ac:dyDescent="0.25">
      <c r="A519" s="1" t="s">
        <v>532</v>
      </c>
      <c r="B519" s="5">
        <v>45679.541666666664</v>
      </c>
      <c r="C519" s="1" t="s">
        <v>23</v>
      </c>
      <c r="D519" s="1" t="s">
        <v>37</v>
      </c>
      <c r="E519" s="1">
        <v>6</v>
      </c>
      <c r="F519" s="1">
        <v>128.75</v>
      </c>
      <c r="G519" s="1">
        <v>32.44</v>
      </c>
      <c r="H519">
        <f t="shared" si="8"/>
        <v>772.5</v>
      </c>
    </row>
    <row r="520" spans="1:8" x14ac:dyDescent="0.25">
      <c r="A520" s="1" t="s">
        <v>533</v>
      </c>
      <c r="B520" s="5">
        <v>45679.583333333336</v>
      </c>
      <c r="C520" s="1" t="s">
        <v>11</v>
      </c>
      <c r="D520" s="1" t="s">
        <v>37</v>
      </c>
      <c r="E520" s="1">
        <v>13</v>
      </c>
      <c r="F520" s="1">
        <v>86.29</v>
      </c>
      <c r="G520" s="1">
        <v>17.350000000000001</v>
      </c>
      <c r="H520">
        <f t="shared" si="8"/>
        <v>1121.77</v>
      </c>
    </row>
    <row r="521" spans="1:8" x14ac:dyDescent="0.25">
      <c r="A521" s="1" t="s">
        <v>534</v>
      </c>
      <c r="B521" s="5">
        <v>45679.625</v>
      </c>
      <c r="C521" s="1" t="s">
        <v>23</v>
      </c>
      <c r="D521" s="1" t="s">
        <v>37</v>
      </c>
      <c r="E521" s="1">
        <v>19</v>
      </c>
      <c r="F521" s="1">
        <v>161.85</v>
      </c>
      <c r="G521" s="1">
        <v>36.44</v>
      </c>
      <c r="H521">
        <f t="shared" si="8"/>
        <v>3075.15</v>
      </c>
    </row>
    <row r="522" spans="1:8" x14ac:dyDescent="0.25">
      <c r="A522" s="1" t="s">
        <v>535</v>
      </c>
      <c r="B522" s="5">
        <v>45679.666666666664</v>
      </c>
      <c r="C522" s="1" t="s">
        <v>11</v>
      </c>
      <c r="D522" s="1" t="s">
        <v>19</v>
      </c>
      <c r="E522" s="1">
        <v>2</v>
      </c>
      <c r="F522" s="1">
        <v>256.52</v>
      </c>
      <c r="G522" s="1">
        <v>11.88</v>
      </c>
      <c r="H522">
        <f t="shared" si="8"/>
        <v>513.04</v>
      </c>
    </row>
    <row r="523" spans="1:8" x14ac:dyDescent="0.25">
      <c r="A523" s="1" t="s">
        <v>536</v>
      </c>
      <c r="B523" s="5">
        <v>45679.708333333336</v>
      </c>
      <c r="C523" s="1" t="s">
        <v>8</v>
      </c>
      <c r="D523" s="1" t="s">
        <v>37</v>
      </c>
      <c r="E523" s="1">
        <v>12</v>
      </c>
      <c r="F523" s="1">
        <v>265.45999999999998</v>
      </c>
      <c r="G523" s="1">
        <v>9.86</v>
      </c>
      <c r="H523">
        <f t="shared" si="8"/>
        <v>3185.5199999999995</v>
      </c>
    </row>
    <row r="524" spans="1:8" x14ac:dyDescent="0.25">
      <c r="A524" s="1" t="s">
        <v>537</v>
      </c>
      <c r="B524" s="5">
        <v>45679.75</v>
      </c>
      <c r="C524" s="1" t="s">
        <v>23</v>
      </c>
      <c r="D524" s="1" t="s">
        <v>19</v>
      </c>
      <c r="E524" s="1">
        <v>15</v>
      </c>
      <c r="F524" s="1">
        <v>72.37</v>
      </c>
      <c r="G524" s="1">
        <v>29.07</v>
      </c>
      <c r="H524">
        <f t="shared" si="8"/>
        <v>1085.5500000000002</v>
      </c>
    </row>
    <row r="525" spans="1:8" x14ac:dyDescent="0.25">
      <c r="A525" s="1" t="s">
        <v>538</v>
      </c>
      <c r="B525" s="5">
        <v>45679.791666666664</v>
      </c>
      <c r="C525" s="1" t="s">
        <v>8</v>
      </c>
      <c r="D525" s="1" t="s">
        <v>16</v>
      </c>
      <c r="E525" s="1">
        <v>14</v>
      </c>
      <c r="F525" s="1">
        <v>214.31</v>
      </c>
      <c r="G525" s="1">
        <v>30</v>
      </c>
      <c r="H525">
        <f t="shared" si="8"/>
        <v>3000.34</v>
      </c>
    </row>
    <row r="526" spans="1:8" x14ac:dyDescent="0.25">
      <c r="A526" s="1" t="s">
        <v>539</v>
      </c>
      <c r="B526" s="5">
        <v>45679.833333333336</v>
      </c>
      <c r="C526" s="1" t="s">
        <v>23</v>
      </c>
      <c r="D526" s="1" t="s">
        <v>16</v>
      </c>
      <c r="E526" s="1">
        <v>6</v>
      </c>
      <c r="F526" s="1">
        <v>132.07</v>
      </c>
      <c r="G526" s="1">
        <v>9.8000000000000007</v>
      </c>
      <c r="H526">
        <f t="shared" si="8"/>
        <v>792.42</v>
      </c>
    </row>
    <row r="527" spans="1:8" x14ac:dyDescent="0.25">
      <c r="A527" s="1" t="s">
        <v>540</v>
      </c>
      <c r="B527" s="5">
        <v>45679.875</v>
      </c>
      <c r="C527" s="1" t="s">
        <v>8</v>
      </c>
      <c r="D527" s="1" t="s">
        <v>19</v>
      </c>
      <c r="E527" s="1">
        <v>18</v>
      </c>
      <c r="F527" s="1">
        <v>381.36</v>
      </c>
      <c r="G527" s="1">
        <v>48.39</v>
      </c>
      <c r="H527">
        <f t="shared" si="8"/>
        <v>6864.4800000000005</v>
      </c>
    </row>
    <row r="528" spans="1:8" x14ac:dyDescent="0.25">
      <c r="A528" s="1" t="s">
        <v>541</v>
      </c>
      <c r="B528" s="5">
        <v>45679.916666666664</v>
      </c>
      <c r="C528" s="1" t="s">
        <v>8</v>
      </c>
      <c r="D528" s="1" t="s">
        <v>9</v>
      </c>
      <c r="E528" s="1">
        <v>5</v>
      </c>
      <c r="F528" s="1">
        <v>151.75</v>
      </c>
      <c r="G528" s="1">
        <v>30.8</v>
      </c>
      <c r="H528">
        <f t="shared" si="8"/>
        <v>758.75</v>
      </c>
    </row>
    <row r="529" spans="1:8" x14ac:dyDescent="0.25">
      <c r="A529" s="1" t="s">
        <v>542</v>
      </c>
      <c r="B529" s="5">
        <v>45679.958333333336</v>
      </c>
      <c r="C529" s="1" t="s">
        <v>23</v>
      </c>
      <c r="D529" s="1" t="s">
        <v>16</v>
      </c>
      <c r="E529" s="1">
        <v>18</v>
      </c>
      <c r="F529" s="1">
        <v>379.92</v>
      </c>
      <c r="G529" s="1">
        <v>11.8</v>
      </c>
      <c r="H529">
        <f t="shared" si="8"/>
        <v>6838.56</v>
      </c>
    </row>
    <row r="530" spans="1:8" x14ac:dyDescent="0.25">
      <c r="A530" s="1" t="s">
        <v>543</v>
      </c>
      <c r="B530" s="5">
        <v>45680</v>
      </c>
      <c r="C530" s="1" t="s">
        <v>23</v>
      </c>
      <c r="D530" s="1" t="s">
        <v>37</v>
      </c>
      <c r="E530" s="1">
        <v>3</v>
      </c>
      <c r="F530" s="1">
        <v>201.71</v>
      </c>
      <c r="G530" s="1">
        <v>19.010000000000002</v>
      </c>
      <c r="H530">
        <f t="shared" si="8"/>
        <v>605.13</v>
      </c>
    </row>
    <row r="531" spans="1:8" x14ac:dyDescent="0.25">
      <c r="A531" s="1" t="s">
        <v>544</v>
      </c>
      <c r="B531" s="5">
        <v>45680.041666666664</v>
      </c>
      <c r="C531" s="1" t="s">
        <v>23</v>
      </c>
      <c r="D531" s="1" t="s">
        <v>19</v>
      </c>
      <c r="E531" s="1">
        <v>3</v>
      </c>
      <c r="F531" s="1">
        <v>331.2</v>
      </c>
      <c r="G531" s="1">
        <v>41.01</v>
      </c>
      <c r="H531">
        <f t="shared" si="8"/>
        <v>993.59999999999991</v>
      </c>
    </row>
    <row r="532" spans="1:8" x14ac:dyDescent="0.25">
      <c r="A532" s="1" t="s">
        <v>545</v>
      </c>
      <c r="B532" s="5">
        <v>45680.083333333336</v>
      </c>
      <c r="C532" s="1" t="s">
        <v>13</v>
      </c>
      <c r="D532" s="1" t="s">
        <v>37</v>
      </c>
      <c r="E532" s="1">
        <v>10</v>
      </c>
      <c r="F532" s="1">
        <v>237.12</v>
      </c>
      <c r="G532" s="1">
        <v>28.55</v>
      </c>
      <c r="H532">
        <f t="shared" si="8"/>
        <v>2371.1999999999998</v>
      </c>
    </row>
    <row r="533" spans="1:8" x14ac:dyDescent="0.25">
      <c r="A533" s="1" t="s">
        <v>546</v>
      </c>
      <c r="B533" s="5">
        <v>45680.125</v>
      </c>
      <c r="C533" s="1" t="s">
        <v>11</v>
      </c>
      <c r="D533" s="1" t="s">
        <v>37</v>
      </c>
      <c r="E533" s="1">
        <v>19</v>
      </c>
      <c r="F533" s="1">
        <v>285.74</v>
      </c>
      <c r="G533" s="1">
        <v>13.47</v>
      </c>
      <c r="H533">
        <f t="shared" si="8"/>
        <v>5429.06</v>
      </c>
    </row>
    <row r="534" spans="1:8" x14ac:dyDescent="0.25">
      <c r="A534" s="1" t="s">
        <v>547</v>
      </c>
      <c r="B534" s="5">
        <v>45680.166666666664</v>
      </c>
      <c r="C534" s="1" t="s">
        <v>13</v>
      </c>
      <c r="D534" s="1" t="s">
        <v>9</v>
      </c>
      <c r="E534" s="1">
        <v>3</v>
      </c>
      <c r="F534" s="1">
        <v>187.28</v>
      </c>
      <c r="G534" s="1">
        <v>9.6300000000000008</v>
      </c>
      <c r="H534">
        <f t="shared" si="8"/>
        <v>561.84</v>
      </c>
    </row>
    <row r="535" spans="1:8" x14ac:dyDescent="0.25">
      <c r="A535" s="1" t="s">
        <v>548</v>
      </c>
      <c r="B535" s="5">
        <v>45680.208333333336</v>
      </c>
      <c r="C535" s="1" t="s">
        <v>13</v>
      </c>
      <c r="D535" s="1" t="s">
        <v>37</v>
      </c>
      <c r="E535" s="1">
        <v>12</v>
      </c>
      <c r="F535" s="1">
        <v>349.29</v>
      </c>
      <c r="G535" s="1">
        <v>24.38</v>
      </c>
      <c r="H535">
        <f t="shared" si="8"/>
        <v>4191.4800000000005</v>
      </c>
    </row>
    <row r="536" spans="1:8" x14ac:dyDescent="0.25">
      <c r="A536" s="1" t="s">
        <v>549</v>
      </c>
      <c r="B536" s="5">
        <v>45680.25</v>
      </c>
      <c r="C536" s="1" t="s">
        <v>8</v>
      </c>
      <c r="D536" s="1" t="s">
        <v>9</v>
      </c>
      <c r="E536" s="1">
        <v>16</v>
      </c>
      <c r="F536" s="1">
        <v>200.24</v>
      </c>
      <c r="G536" s="1">
        <v>20.18</v>
      </c>
      <c r="H536">
        <f t="shared" si="8"/>
        <v>3203.84</v>
      </c>
    </row>
    <row r="537" spans="1:8" x14ac:dyDescent="0.25">
      <c r="A537" s="1" t="s">
        <v>550</v>
      </c>
      <c r="B537" s="5">
        <v>45680.291666666664</v>
      </c>
      <c r="C537" s="1" t="s">
        <v>23</v>
      </c>
      <c r="D537" s="1" t="s">
        <v>16</v>
      </c>
      <c r="E537" s="1">
        <v>17</v>
      </c>
      <c r="F537" s="1">
        <v>214.27</v>
      </c>
      <c r="G537" s="1">
        <v>34.520000000000003</v>
      </c>
      <c r="H537">
        <f t="shared" si="8"/>
        <v>3642.59</v>
      </c>
    </row>
    <row r="538" spans="1:8" x14ac:dyDescent="0.25">
      <c r="A538" s="1" t="s">
        <v>551</v>
      </c>
      <c r="B538" s="5">
        <v>45680.333333333336</v>
      </c>
      <c r="C538" s="1" t="s">
        <v>11</v>
      </c>
      <c r="D538" s="1" t="s">
        <v>19</v>
      </c>
      <c r="E538" s="1">
        <v>7</v>
      </c>
      <c r="F538" s="1">
        <v>240.43</v>
      </c>
      <c r="G538" s="1">
        <v>46.64</v>
      </c>
      <c r="H538">
        <f t="shared" si="8"/>
        <v>1683.01</v>
      </c>
    </row>
    <row r="539" spans="1:8" x14ac:dyDescent="0.25">
      <c r="A539" s="1" t="s">
        <v>552</v>
      </c>
      <c r="B539" s="5">
        <v>45680.375</v>
      </c>
      <c r="C539" s="1" t="s">
        <v>8</v>
      </c>
      <c r="D539" s="1" t="s">
        <v>37</v>
      </c>
      <c r="E539" s="1">
        <v>13</v>
      </c>
      <c r="F539" s="1">
        <v>376.93</v>
      </c>
      <c r="G539" s="1">
        <v>16.149999999999999</v>
      </c>
      <c r="H539">
        <f t="shared" si="8"/>
        <v>4900.09</v>
      </c>
    </row>
    <row r="540" spans="1:8" x14ac:dyDescent="0.25">
      <c r="A540" s="1" t="s">
        <v>553</v>
      </c>
      <c r="B540" s="5">
        <v>45680.416666666664</v>
      </c>
      <c r="C540" s="1" t="s">
        <v>13</v>
      </c>
      <c r="D540" s="1" t="s">
        <v>19</v>
      </c>
      <c r="E540" s="1">
        <v>2</v>
      </c>
      <c r="F540" s="1">
        <v>302</v>
      </c>
      <c r="G540" s="1">
        <v>43.49</v>
      </c>
      <c r="H540">
        <f t="shared" si="8"/>
        <v>604</v>
      </c>
    </row>
    <row r="541" spans="1:8" x14ac:dyDescent="0.25">
      <c r="A541" s="1" t="s">
        <v>554</v>
      </c>
      <c r="B541" s="5">
        <v>45680.458333333336</v>
      </c>
      <c r="C541" s="1" t="s">
        <v>23</v>
      </c>
      <c r="D541" s="1" t="s">
        <v>37</v>
      </c>
      <c r="E541" s="1">
        <v>4</v>
      </c>
      <c r="F541" s="1">
        <v>167.21</v>
      </c>
      <c r="G541" s="1">
        <v>46.42</v>
      </c>
      <c r="H541">
        <f t="shared" si="8"/>
        <v>668.84</v>
      </c>
    </row>
    <row r="542" spans="1:8" x14ac:dyDescent="0.25">
      <c r="A542" s="1" t="s">
        <v>555</v>
      </c>
      <c r="B542" s="5">
        <v>45680.5</v>
      </c>
      <c r="C542" s="1" t="s">
        <v>8</v>
      </c>
      <c r="D542" s="1" t="s">
        <v>19</v>
      </c>
      <c r="E542" s="1">
        <v>10</v>
      </c>
      <c r="F542" s="1">
        <v>306.75</v>
      </c>
      <c r="G542" s="1">
        <v>45.59</v>
      </c>
      <c r="H542">
        <f t="shared" si="8"/>
        <v>3067.5</v>
      </c>
    </row>
    <row r="543" spans="1:8" x14ac:dyDescent="0.25">
      <c r="A543" s="1" t="s">
        <v>556</v>
      </c>
      <c r="B543" s="5">
        <v>45680.541666666664</v>
      </c>
      <c r="C543" s="1" t="s">
        <v>23</v>
      </c>
      <c r="D543" s="1" t="s">
        <v>37</v>
      </c>
      <c r="E543" s="1">
        <v>7</v>
      </c>
      <c r="F543" s="1">
        <v>294.63</v>
      </c>
      <c r="G543" s="1">
        <v>47.84</v>
      </c>
      <c r="H543">
        <f t="shared" si="8"/>
        <v>2062.41</v>
      </c>
    </row>
    <row r="544" spans="1:8" x14ac:dyDescent="0.25">
      <c r="A544" s="1" t="s">
        <v>557</v>
      </c>
      <c r="B544" s="5">
        <v>45680.583333333336</v>
      </c>
      <c r="C544" s="1" t="s">
        <v>8</v>
      </c>
      <c r="D544" s="1" t="s">
        <v>37</v>
      </c>
      <c r="E544" s="1">
        <v>17</v>
      </c>
      <c r="F544" s="1">
        <v>420.03</v>
      </c>
      <c r="G544" s="1">
        <v>42.89</v>
      </c>
      <c r="H544">
        <f t="shared" si="8"/>
        <v>7140.5099999999993</v>
      </c>
    </row>
    <row r="545" spans="1:8" x14ac:dyDescent="0.25">
      <c r="A545" s="1" t="s">
        <v>558</v>
      </c>
      <c r="B545" s="5">
        <v>45680.625</v>
      </c>
      <c r="C545" s="1" t="s">
        <v>23</v>
      </c>
      <c r="D545" s="1" t="s">
        <v>37</v>
      </c>
      <c r="E545" s="1">
        <v>6</v>
      </c>
      <c r="F545" s="1">
        <v>381.1</v>
      </c>
      <c r="G545" s="1">
        <v>31.71</v>
      </c>
      <c r="H545">
        <f t="shared" si="8"/>
        <v>2286.6000000000004</v>
      </c>
    </row>
    <row r="546" spans="1:8" x14ac:dyDescent="0.25">
      <c r="A546" s="1" t="s">
        <v>559</v>
      </c>
      <c r="B546" s="5">
        <v>45680.666666666664</v>
      </c>
      <c r="C546" s="1" t="s">
        <v>13</v>
      </c>
      <c r="D546" s="1" t="s">
        <v>37</v>
      </c>
      <c r="E546" s="1">
        <v>19</v>
      </c>
      <c r="F546" s="1">
        <v>296.82</v>
      </c>
      <c r="G546" s="1">
        <v>23.44</v>
      </c>
      <c r="H546">
        <f t="shared" si="8"/>
        <v>5639.58</v>
      </c>
    </row>
    <row r="547" spans="1:8" x14ac:dyDescent="0.25">
      <c r="A547" s="1" t="s">
        <v>560</v>
      </c>
      <c r="B547" s="5">
        <v>45680.708333333336</v>
      </c>
      <c r="C547" s="1" t="s">
        <v>11</v>
      </c>
      <c r="D547" s="1" t="s">
        <v>37</v>
      </c>
      <c r="E547" s="1">
        <v>5</v>
      </c>
      <c r="F547" s="1">
        <v>163.88</v>
      </c>
      <c r="G547" s="1">
        <v>27.13</v>
      </c>
      <c r="H547">
        <f t="shared" si="8"/>
        <v>819.4</v>
      </c>
    </row>
    <row r="548" spans="1:8" x14ac:dyDescent="0.25">
      <c r="A548" s="1" t="s">
        <v>561</v>
      </c>
      <c r="B548" s="5">
        <v>45680.75</v>
      </c>
      <c r="C548" s="1" t="s">
        <v>13</v>
      </c>
      <c r="D548" s="1" t="s">
        <v>37</v>
      </c>
      <c r="E548" s="1">
        <v>10</v>
      </c>
      <c r="F548" s="1">
        <v>354.23</v>
      </c>
      <c r="G548" s="1">
        <v>44.27</v>
      </c>
      <c r="H548">
        <f t="shared" si="8"/>
        <v>3542.3</v>
      </c>
    </row>
    <row r="549" spans="1:8" x14ac:dyDescent="0.25">
      <c r="A549" s="1" t="s">
        <v>562</v>
      </c>
      <c r="B549" s="5">
        <v>45680.791666666664</v>
      </c>
      <c r="C549" s="1" t="s">
        <v>11</v>
      </c>
      <c r="D549" s="1" t="s">
        <v>37</v>
      </c>
      <c r="E549" s="1">
        <v>9</v>
      </c>
      <c r="F549" s="1">
        <v>265.43</v>
      </c>
      <c r="G549" s="1">
        <v>18.559999999999999</v>
      </c>
      <c r="H549">
        <f t="shared" si="8"/>
        <v>2388.87</v>
      </c>
    </row>
    <row r="550" spans="1:8" x14ac:dyDescent="0.25">
      <c r="A550" s="1" t="s">
        <v>563</v>
      </c>
      <c r="B550" s="5">
        <v>45680.833333333336</v>
      </c>
      <c r="C550" s="1" t="s">
        <v>23</v>
      </c>
      <c r="D550" s="1" t="s">
        <v>37</v>
      </c>
      <c r="E550" s="1">
        <v>13</v>
      </c>
      <c r="F550" s="1">
        <v>443.6</v>
      </c>
      <c r="G550" s="1">
        <v>12.17</v>
      </c>
      <c r="H550">
        <f t="shared" si="8"/>
        <v>5766.8</v>
      </c>
    </row>
    <row r="551" spans="1:8" x14ac:dyDescent="0.25">
      <c r="A551" s="1" t="s">
        <v>564</v>
      </c>
      <c r="B551" s="5">
        <v>45680.875</v>
      </c>
      <c r="C551" s="1" t="s">
        <v>8</v>
      </c>
      <c r="D551" s="1" t="s">
        <v>37</v>
      </c>
      <c r="E551" s="1">
        <v>19</v>
      </c>
      <c r="F551" s="1">
        <v>123.04</v>
      </c>
      <c r="G551" s="1">
        <v>11.34</v>
      </c>
      <c r="H551">
        <f t="shared" si="8"/>
        <v>2337.7600000000002</v>
      </c>
    </row>
    <row r="552" spans="1:8" x14ac:dyDescent="0.25">
      <c r="A552" s="1" t="s">
        <v>565</v>
      </c>
      <c r="B552" s="5">
        <v>45680.916666666664</v>
      </c>
      <c r="C552" s="1" t="s">
        <v>13</v>
      </c>
      <c r="D552" s="1" t="s">
        <v>19</v>
      </c>
      <c r="E552" s="1">
        <v>6</v>
      </c>
      <c r="F552" s="1">
        <v>50.11</v>
      </c>
      <c r="G552" s="1">
        <v>42.21</v>
      </c>
      <c r="H552">
        <f t="shared" si="8"/>
        <v>300.65999999999997</v>
      </c>
    </row>
    <row r="553" spans="1:8" x14ac:dyDescent="0.25">
      <c r="A553" s="1" t="s">
        <v>566</v>
      </c>
      <c r="B553" s="5">
        <v>45680.958333333336</v>
      </c>
      <c r="C553" s="1" t="s">
        <v>11</v>
      </c>
      <c r="D553" s="1" t="s">
        <v>9</v>
      </c>
      <c r="E553" s="1">
        <v>4</v>
      </c>
      <c r="F553" s="1">
        <v>45.87</v>
      </c>
      <c r="G553" s="1">
        <v>39.270000000000003</v>
      </c>
      <c r="H553">
        <f t="shared" si="8"/>
        <v>183.48</v>
      </c>
    </row>
    <row r="554" spans="1:8" x14ac:dyDescent="0.25">
      <c r="A554" s="1" t="s">
        <v>567</v>
      </c>
      <c r="B554" s="5">
        <v>45681</v>
      </c>
      <c r="C554" s="1" t="s">
        <v>13</v>
      </c>
      <c r="D554" s="1" t="s">
        <v>37</v>
      </c>
      <c r="E554" s="1">
        <v>3</v>
      </c>
      <c r="F554" s="1">
        <v>293.58999999999997</v>
      </c>
      <c r="G554" s="1">
        <v>27.39</v>
      </c>
      <c r="H554">
        <f t="shared" si="8"/>
        <v>880.77</v>
      </c>
    </row>
    <row r="555" spans="1:8" x14ac:dyDescent="0.25">
      <c r="A555" s="1" t="s">
        <v>568</v>
      </c>
      <c r="B555" s="5">
        <v>45681.041666666664</v>
      </c>
      <c r="C555" s="1" t="s">
        <v>11</v>
      </c>
      <c r="D555" s="1" t="s">
        <v>9</v>
      </c>
      <c r="E555" s="1">
        <v>3</v>
      </c>
      <c r="F555" s="1">
        <v>423.61</v>
      </c>
      <c r="G555" s="1">
        <v>17.37</v>
      </c>
      <c r="H555">
        <f t="shared" si="8"/>
        <v>1270.83</v>
      </c>
    </row>
    <row r="556" spans="1:8" x14ac:dyDescent="0.25">
      <c r="A556" s="1" t="s">
        <v>569</v>
      </c>
      <c r="B556" s="5">
        <v>45681.083333333336</v>
      </c>
      <c r="C556" s="1" t="s">
        <v>13</v>
      </c>
      <c r="D556" s="1" t="s">
        <v>37</v>
      </c>
      <c r="E556" s="1">
        <v>4</v>
      </c>
      <c r="F556" s="1">
        <v>16.34</v>
      </c>
      <c r="G556" s="1">
        <v>35.49</v>
      </c>
      <c r="H556">
        <f t="shared" si="8"/>
        <v>65.36</v>
      </c>
    </row>
    <row r="557" spans="1:8" x14ac:dyDescent="0.25">
      <c r="A557" s="1" t="s">
        <v>570</v>
      </c>
      <c r="B557" s="5">
        <v>45681.125</v>
      </c>
      <c r="C557" s="1" t="s">
        <v>11</v>
      </c>
      <c r="D557" s="1" t="s">
        <v>37</v>
      </c>
      <c r="E557" s="1">
        <v>5</v>
      </c>
      <c r="F557" s="1">
        <v>330.85</v>
      </c>
      <c r="G557" s="1">
        <v>6.73</v>
      </c>
      <c r="H557">
        <f t="shared" si="8"/>
        <v>1654.25</v>
      </c>
    </row>
    <row r="558" spans="1:8" x14ac:dyDescent="0.25">
      <c r="A558" s="1" t="s">
        <v>571</v>
      </c>
      <c r="B558" s="5">
        <v>45681.166666666664</v>
      </c>
      <c r="C558" s="1" t="s">
        <v>11</v>
      </c>
      <c r="D558" s="1" t="s">
        <v>19</v>
      </c>
      <c r="E558" s="1">
        <v>8</v>
      </c>
      <c r="F558" s="1">
        <v>300.99</v>
      </c>
      <c r="G558" s="1">
        <v>30.57</v>
      </c>
      <c r="H558">
        <f t="shared" si="8"/>
        <v>2407.92</v>
      </c>
    </row>
    <row r="559" spans="1:8" x14ac:dyDescent="0.25">
      <c r="A559" s="1" t="s">
        <v>572</v>
      </c>
      <c r="B559" s="5">
        <v>45681.208333333336</v>
      </c>
      <c r="C559" s="1" t="s">
        <v>23</v>
      </c>
      <c r="D559" s="1" t="s">
        <v>16</v>
      </c>
      <c r="E559" s="1">
        <v>16</v>
      </c>
      <c r="F559" s="1">
        <v>333.69</v>
      </c>
      <c r="G559" s="1">
        <v>22.93</v>
      </c>
      <c r="H559">
        <f t="shared" si="8"/>
        <v>5339.04</v>
      </c>
    </row>
    <row r="560" spans="1:8" x14ac:dyDescent="0.25">
      <c r="A560" s="1" t="s">
        <v>573</v>
      </c>
      <c r="B560" s="5">
        <v>45681.25</v>
      </c>
      <c r="C560" s="1" t="s">
        <v>11</v>
      </c>
      <c r="D560" s="1" t="s">
        <v>16</v>
      </c>
      <c r="E560" s="1">
        <v>3</v>
      </c>
      <c r="F560" s="1">
        <v>169.92</v>
      </c>
      <c r="G560" s="1">
        <v>49</v>
      </c>
      <c r="H560">
        <f t="shared" si="8"/>
        <v>509.76</v>
      </c>
    </row>
    <row r="561" spans="1:8" x14ac:dyDescent="0.25">
      <c r="A561" s="1" t="s">
        <v>574</v>
      </c>
      <c r="B561" s="5">
        <v>45681.291666666664</v>
      </c>
      <c r="C561" s="1" t="s">
        <v>23</v>
      </c>
      <c r="D561" s="1" t="s">
        <v>19</v>
      </c>
      <c r="E561" s="1">
        <v>12</v>
      </c>
      <c r="F561" s="1">
        <v>372.01</v>
      </c>
      <c r="G561" s="1">
        <v>27.84</v>
      </c>
      <c r="H561">
        <f t="shared" si="8"/>
        <v>4464.12</v>
      </c>
    </row>
    <row r="562" spans="1:8" x14ac:dyDescent="0.25">
      <c r="A562" s="1" t="s">
        <v>575</v>
      </c>
      <c r="B562" s="5">
        <v>45681.333333333336</v>
      </c>
      <c r="C562" s="1" t="s">
        <v>11</v>
      </c>
      <c r="D562" s="1" t="s">
        <v>9</v>
      </c>
      <c r="E562" s="1">
        <v>8</v>
      </c>
      <c r="F562" s="1">
        <v>34.93</v>
      </c>
      <c r="G562" s="1">
        <v>29.85</v>
      </c>
      <c r="H562">
        <f t="shared" si="8"/>
        <v>279.44</v>
      </c>
    </row>
    <row r="563" spans="1:8" x14ac:dyDescent="0.25">
      <c r="A563" s="1" t="s">
        <v>576</v>
      </c>
      <c r="B563" s="5">
        <v>45681.375</v>
      </c>
      <c r="C563" s="1" t="s">
        <v>8</v>
      </c>
      <c r="D563" s="1" t="s">
        <v>16</v>
      </c>
      <c r="E563" s="1">
        <v>13</v>
      </c>
      <c r="F563" s="1">
        <v>343.73</v>
      </c>
      <c r="G563" s="1">
        <v>37.06</v>
      </c>
      <c r="H563">
        <f t="shared" si="8"/>
        <v>4468.49</v>
      </c>
    </row>
    <row r="564" spans="1:8" x14ac:dyDescent="0.25">
      <c r="A564" s="1" t="s">
        <v>577</v>
      </c>
      <c r="B564" s="5">
        <v>45681.416666666664</v>
      </c>
      <c r="C564" s="1" t="s">
        <v>8</v>
      </c>
      <c r="D564" s="1" t="s">
        <v>19</v>
      </c>
      <c r="E564" s="1">
        <v>4</v>
      </c>
      <c r="F564" s="1">
        <v>131.54</v>
      </c>
      <c r="G564" s="1">
        <v>26.8</v>
      </c>
      <c r="H564">
        <f t="shared" si="8"/>
        <v>526.16</v>
      </c>
    </row>
    <row r="565" spans="1:8" x14ac:dyDescent="0.25">
      <c r="A565" s="1" t="s">
        <v>578</v>
      </c>
      <c r="B565" s="5">
        <v>45681.458333333336</v>
      </c>
      <c r="C565" s="1" t="s">
        <v>8</v>
      </c>
      <c r="D565" s="1" t="s">
        <v>19</v>
      </c>
      <c r="E565" s="1">
        <v>14</v>
      </c>
      <c r="F565" s="1">
        <v>222.69</v>
      </c>
      <c r="G565" s="1">
        <v>15.11</v>
      </c>
      <c r="H565">
        <f t="shared" si="8"/>
        <v>3117.66</v>
      </c>
    </row>
    <row r="566" spans="1:8" x14ac:dyDescent="0.25">
      <c r="A566" s="1" t="s">
        <v>579</v>
      </c>
      <c r="B566" s="5">
        <v>45681.5</v>
      </c>
      <c r="C566" s="1" t="s">
        <v>11</v>
      </c>
      <c r="D566" s="1" t="s">
        <v>16</v>
      </c>
      <c r="E566" s="1">
        <v>14</v>
      </c>
      <c r="F566" s="1">
        <v>372.94</v>
      </c>
      <c r="G566" s="1">
        <v>29.18</v>
      </c>
      <c r="H566">
        <f t="shared" si="8"/>
        <v>5221.16</v>
      </c>
    </row>
    <row r="567" spans="1:8" x14ac:dyDescent="0.25">
      <c r="A567" s="1" t="s">
        <v>580</v>
      </c>
      <c r="B567" s="5">
        <v>45681.541666666664</v>
      </c>
      <c r="C567" s="1" t="s">
        <v>23</v>
      </c>
      <c r="D567" s="1" t="s">
        <v>9</v>
      </c>
      <c r="E567" s="1">
        <v>13</v>
      </c>
      <c r="F567" s="1">
        <v>133.41</v>
      </c>
      <c r="G567" s="1">
        <v>47.49</v>
      </c>
      <c r="H567">
        <f t="shared" si="8"/>
        <v>1734.33</v>
      </c>
    </row>
    <row r="568" spans="1:8" x14ac:dyDescent="0.25">
      <c r="A568" s="1" t="s">
        <v>581</v>
      </c>
      <c r="B568" s="5">
        <v>45681.583333333336</v>
      </c>
      <c r="C568" s="1" t="s">
        <v>23</v>
      </c>
      <c r="D568" s="1" t="s">
        <v>19</v>
      </c>
      <c r="E568" s="1">
        <v>6</v>
      </c>
      <c r="F568" s="1">
        <v>95.97</v>
      </c>
      <c r="G568" s="1">
        <v>23.45</v>
      </c>
      <c r="H568">
        <f t="shared" si="8"/>
        <v>575.81999999999994</v>
      </c>
    </row>
    <row r="569" spans="1:8" x14ac:dyDescent="0.25">
      <c r="A569" s="1" t="s">
        <v>582</v>
      </c>
      <c r="B569" s="5">
        <v>45681.625</v>
      </c>
      <c r="C569" s="1" t="s">
        <v>11</v>
      </c>
      <c r="D569" s="1" t="s">
        <v>37</v>
      </c>
      <c r="E569" s="1">
        <v>17</v>
      </c>
      <c r="F569" s="1">
        <v>311.52999999999997</v>
      </c>
      <c r="G569" s="1">
        <v>35.58</v>
      </c>
      <c r="H569">
        <f t="shared" si="8"/>
        <v>5296.0099999999993</v>
      </c>
    </row>
    <row r="570" spans="1:8" x14ac:dyDescent="0.25">
      <c r="A570" s="1" t="s">
        <v>583</v>
      </c>
      <c r="B570" s="5">
        <v>45681.666666666664</v>
      </c>
      <c r="C570" s="1" t="s">
        <v>8</v>
      </c>
      <c r="D570" s="1" t="s">
        <v>9</v>
      </c>
      <c r="E570" s="1">
        <v>4</v>
      </c>
      <c r="F570" s="1">
        <v>247.26</v>
      </c>
      <c r="G570" s="1">
        <v>49.01</v>
      </c>
      <c r="H570">
        <f t="shared" si="8"/>
        <v>989.04</v>
      </c>
    </row>
    <row r="571" spans="1:8" x14ac:dyDescent="0.25">
      <c r="A571" s="1" t="s">
        <v>584</v>
      </c>
      <c r="B571" s="5">
        <v>45681.708333333336</v>
      </c>
      <c r="C571" s="1" t="s">
        <v>8</v>
      </c>
      <c r="D571" s="1" t="s">
        <v>9</v>
      </c>
      <c r="E571" s="1">
        <v>8</v>
      </c>
      <c r="F571" s="1">
        <v>239.01</v>
      </c>
      <c r="G571" s="1">
        <v>42.35</v>
      </c>
      <c r="H571">
        <f t="shared" si="8"/>
        <v>1912.08</v>
      </c>
    </row>
    <row r="572" spans="1:8" x14ac:dyDescent="0.25">
      <c r="A572" s="1" t="s">
        <v>585</v>
      </c>
      <c r="B572" s="5">
        <v>45681.75</v>
      </c>
      <c r="C572" s="1" t="s">
        <v>23</v>
      </c>
      <c r="D572" s="1" t="s">
        <v>16</v>
      </c>
      <c r="E572" s="1">
        <v>17</v>
      </c>
      <c r="F572" s="1">
        <v>127.07</v>
      </c>
      <c r="G572" s="1">
        <v>34.659999999999997</v>
      </c>
      <c r="H572">
        <f t="shared" si="8"/>
        <v>2160.19</v>
      </c>
    </row>
    <row r="573" spans="1:8" x14ac:dyDescent="0.25">
      <c r="A573" s="1" t="s">
        <v>586</v>
      </c>
      <c r="B573" s="5">
        <v>45681.791666666664</v>
      </c>
      <c r="C573" s="1" t="s">
        <v>8</v>
      </c>
      <c r="D573" s="1" t="s">
        <v>16</v>
      </c>
      <c r="E573" s="1">
        <v>3</v>
      </c>
      <c r="F573" s="1">
        <v>30.66</v>
      </c>
      <c r="G573" s="1">
        <v>38.119999999999997</v>
      </c>
      <c r="H573">
        <f t="shared" si="8"/>
        <v>91.98</v>
      </c>
    </row>
    <row r="574" spans="1:8" x14ac:dyDescent="0.25">
      <c r="A574" s="1" t="s">
        <v>587</v>
      </c>
      <c r="B574" s="5">
        <v>45681.833333333336</v>
      </c>
      <c r="C574" s="1" t="s">
        <v>13</v>
      </c>
      <c r="D574" s="1" t="s">
        <v>37</v>
      </c>
      <c r="E574" s="1">
        <v>17</v>
      </c>
      <c r="F574" s="1">
        <v>193.76</v>
      </c>
      <c r="G574" s="1">
        <v>47.14</v>
      </c>
      <c r="H574">
        <f t="shared" si="8"/>
        <v>3293.92</v>
      </c>
    </row>
    <row r="575" spans="1:8" x14ac:dyDescent="0.25">
      <c r="A575" s="1" t="s">
        <v>588</v>
      </c>
      <c r="B575" s="5">
        <v>45681.875</v>
      </c>
      <c r="C575" s="1" t="s">
        <v>23</v>
      </c>
      <c r="D575" s="1" t="s">
        <v>19</v>
      </c>
      <c r="E575" s="1">
        <v>9</v>
      </c>
      <c r="F575" s="1">
        <v>61.8</v>
      </c>
      <c r="G575" s="1">
        <v>48.19</v>
      </c>
      <c r="H575">
        <f t="shared" si="8"/>
        <v>556.19999999999993</v>
      </c>
    </row>
    <row r="576" spans="1:8" x14ac:dyDescent="0.25">
      <c r="A576" s="1" t="s">
        <v>589</v>
      </c>
      <c r="B576" s="5">
        <v>45681.916666666664</v>
      </c>
      <c r="C576" s="1" t="s">
        <v>8</v>
      </c>
      <c r="D576" s="1" t="s">
        <v>16</v>
      </c>
      <c r="E576" s="1">
        <v>2</v>
      </c>
      <c r="F576" s="1">
        <v>409.15</v>
      </c>
      <c r="G576" s="1">
        <v>48.6</v>
      </c>
      <c r="H576">
        <f t="shared" si="8"/>
        <v>818.3</v>
      </c>
    </row>
    <row r="577" spans="1:8" x14ac:dyDescent="0.25">
      <c r="A577" s="1" t="s">
        <v>590</v>
      </c>
      <c r="B577" s="5">
        <v>45681.958333333336</v>
      </c>
      <c r="C577" s="1" t="s">
        <v>23</v>
      </c>
      <c r="D577" s="1" t="s">
        <v>16</v>
      </c>
      <c r="E577" s="1">
        <v>13</v>
      </c>
      <c r="F577" s="1">
        <v>33.42</v>
      </c>
      <c r="G577" s="1">
        <v>33.15</v>
      </c>
      <c r="H577">
        <f t="shared" si="8"/>
        <v>434.46000000000004</v>
      </c>
    </row>
    <row r="578" spans="1:8" x14ac:dyDescent="0.25">
      <c r="A578" s="1" t="s">
        <v>591</v>
      </c>
      <c r="B578" s="5">
        <v>45682</v>
      </c>
      <c r="C578" s="1" t="s">
        <v>13</v>
      </c>
      <c r="D578" s="1" t="s">
        <v>9</v>
      </c>
      <c r="E578" s="1">
        <v>2</v>
      </c>
      <c r="F578" s="1">
        <v>203.05</v>
      </c>
      <c r="G578" s="1">
        <v>22.31</v>
      </c>
      <c r="H578">
        <f t="shared" ref="H578:H641" si="9">E578*F578</f>
        <v>406.1</v>
      </c>
    </row>
    <row r="579" spans="1:8" x14ac:dyDescent="0.25">
      <c r="A579" s="1" t="s">
        <v>592</v>
      </c>
      <c r="B579" s="5">
        <v>45682.041666666664</v>
      </c>
      <c r="C579" s="1" t="s">
        <v>23</v>
      </c>
      <c r="D579" s="1" t="s">
        <v>16</v>
      </c>
      <c r="E579" s="1">
        <v>11</v>
      </c>
      <c r="F579" s="1">
        <v>38.200000000000003</v>
      </c>
      <c r="G579" s="1">
        <v>10.99</v>
      </c>
      <c r="H579">
        <f t="shared" si="9"/>
        <v>420.20000000000005</v>
      </c>
    </row>
    <row r="580" spans="1:8" x14ac:dyDescent="0.25">
      <c r="A580" s="1" t="s">
        <v>593</v>
      </c>
      <c r="B580" s="5">
        <v>45682.083333333336</v>
      </c>
      <c r="C580" s="1" t="s">
        <v>23</v>
      </c>
      <c r="D580" s="1" t="s">
        <v>16</v>
      </c>
      <c r="E580" s="1">
        <v>15</v>
      </c>
      <c r="F580" s="1">
        <v>57.01</v>
      </c>
      <c r="G580" s="1">
        <v>22.35</v>
      </c>
      <c r="H580">
        <f t="shared" si="9"/>
        <v>855.15</v>
      </c>
    </row>
    <row r="581" spans="1:8" x14ac:dyDescent="0.25">
      <c r="A581" s="1" t="s">
        <v>594</v>
      </c>
      <c r="B581" s="5">
        <v>45682.125</v>
      </c>
      <c r="C581" s="1" t="s">
        <v>23</v>
      </c>
      <c r="D581" s="1" t="s">
        <v>16</v>
      </c>
      <c r="E581" s="1">
        <v>11</v>
      </c>
      <c r="F581" s="1">
        <v>301.77999999999997</v>
      </c>
      <c r="G581" s="1">
        <v>47.43</v>
      </c>
      <c r="H581">
        <f t="shared" si="9"/>
        <v>3319.58</v>
      </c>
    </row>
    <row r="582" spans="1:8" x14ac:dyDescent="0.25">
      <c r="A582" s="1" t="s">
        <v>595</v>
      </c>
      <c r="B582" s="5">
        <v>45682.166666666664</v>
      </c>
      <c r="C582" s="1" t="s">
        <v>23</v>
      </c>
      <c r="D582" s="1" t="s">
        <v>16</v>
      </c>
      <c r="E582" s="1">
        <v>3</v>
      </c>
      <c r="F582" s="1">
        <v>296.67</v>
      </c>
      <c r="G582" s="1">
        <v>45.04</v>
      </c>
      <c r="H582">
        <f t="shared" si="9"/>
        <v>890.01</v>
      </c>
    </row>
    <row r="583" spans="1:8" x14ac:dyDescent="0.25">
      <c r="A583" s="1" t="s">
        <v>596</v>
      </c>
      <c r="B583" s="5">
        <v>45682.208333333336</v>
      </c>
      <c r="C583" s="1" t="s">
        <v>13</v>
      </c>
      <c r="D583" s="1" t="s">
        <v>9</v>
      </c>
      <c r="E583" s="1">
        <v>3</v>
      </c>
      <c r="F583" s="1">
        <v>29.86</v>
      </c>
      <c r="G583" s="1">
        <v>28.56</v>
      </c>
      <c r="H583">
        <f t="shared" si="9"/>
        <v>89.58</v>
      </c>
    </row>
    <row r="584" spans="1:8" x14ac:dyDescent="0.25">
      <c r="A584" s="1" t="s">
        <v>597</v>
      </c>
      <c r="B584" s="5">
        <v>45682.25</v>
      </c>
      <c r="C584" s="1" t="s">
        <v>11</v>
      </c>
      <c r="D584" s="1" t="s">
        <v>37</v>
      </c>
      <c r="E584" s="1">
        <v>12</v>
      </c>
      <c r="F584" s="1">
        <v>15.99</v>
      </c>
      <c r="G584" s="1">
        <v>29.17</v>
      </c>
      <c r="H584">
        <f t="shared" si="9"/>
        <v>191.88</v>
      </c>
    </row>
    <row r="585" spans="1:8" x14ac:dyDescent="0.25">
      <c r="A585" s="1" t="s">
        <v>598</v>
      </c>
      <c r="B585" s="5">
        <v>45682.291666666664</v>
      </c>
      <c r="C585" s="1" t="s">
        <v>23</v>
      </c>
      <c r="D585" s="1" t="s">
        <v>37</v>
      </c>
      <c r="E585" s="1">
        <v>5</v>
      </c>
      <c r="F585" s="1">
        <v>49.75</v>
      </c>
      <c r="G585" s="1">
        <v>18.899999999999999</v>
      </c>
      <c r="H585">
        <f t="shared" si="9"/>
        <v>248.75</v>
      </c>
    </row>
    <row r="586" spans="1:8" x14ac:dyDescent="0.25">
      <c r="A586" s="1" t="s">
        <v>599</v>
      </c>
      <c r="B586" s="5">
        <v>45682.333333333336</v>
      </c>
      <c r="C586" s="1" t="s">
        <v>23</v>
      </c>
      <c r="D586" s="1" t="s">
        <v>19</v>
      </c>
      <c r="E586" s="1">
        <v>7</v>
      </c>
      <c r="F586" s="1">
        <v>347.02</v>
      </c>
      <c r="G586" s="1">
        <v>25.45</v>
      </c>
      <c r="H586">
        <f t="shared" si="9"/>
        <v>2429.14</v>
      </c>
    </row>
    <row r="587" spans="1:8" x14ac:dyDescent="0.25">
      <c r="A587" s="1" t="s">
        <v>600</v>
      </c>
      <c r="B587" s="5">
        <v>45682.375</v>
      </c>
      <c r="C587" s="1" t="s">
        <v>8</v>
      </c>
      <c r="D587" s="1" t="s">
        <v>16</v>
      </c>
      <c r="E587" s="1">
        <v>7</v>
      </c>
      <c r="F587" s="1">
        <v>269.5</v>
      </c>
      <c r="G587" s="1">
        <v>37.15</v>
      </c>
      <c r="H587">
        <f t="shared" si="9"/>
        <v>1886.5</v>
      </c>
    </row>
    <row r="588" spans="1:8" x14ac:dyDescent="0.25">
      <c r="A588" s="1" t="s">
        <v>601</v>
      </c>
      <c r="B588" s="5">
        <v>45682.416666666664</v>
      </c>
      <c r="C588" s="1" t="s">
        <v>23</v>
      </c>
      <c r="D588" s="1" t="s">
        <v>9</v>
      </c>
      <c r="E588" s="1">
        <v>13</v>
      </c>
      <c r="F588" s="1">
        <v>32.06</v>
      </c>
      <c r="G588" s="1">
        <v>23.11</v>
      </c>
      <c r="H588">
        <f t="shared" si="9"/>
        <v>416.78000000000003</v>
      </c>
    </row>
    <row r="589" spans="1:8" x14ac:dyDescent="0.25">
      <c r="A589" s="1" t="s">
        <v>602</v>
      </c>
      <c r="B589" s="5">
        <v>45682.458333333336</v>
      </c>
      <c r="C589" s="1" t="s">
        <v>8</v>
      </c>
      <c r="D589" s="1" t="s">
        <v>19</v>
      </c>
      <c r="E589" s="1">
        <v>9</v>
      </c>
      <c r="F589" s="1">
        <v>227.58</v>
      </c>
      <c r="G589" s="1">
        <v>13.46</v>
      </c>
      <c r="H589">
        <f t="shared" si="9"/>
        <v>2048.2200000000003</v>
      </c>
    </row>
    <row r="590" spans="1:8" x14ac:dyDescent="0.25">
      <c r="A590" s="1" t="s">
        <v>603</v>
      </c>
      <c r="B590" s="5">
        <v>45682.5</v>
      </c>
      <c r="C590" s="1" t="s">
        <v>11</v>
      </c>
      <c r="D590" s="1" t="s">
        <v>19</v>
      </c>
      <c r="E590" s="1">
        <v>13</v>
      </c>
      <c r="F590" s="1">
        <v>324.88</v>
      </c>
      <c r="G590" s="1">
        <v>29.34</v>
      </c>
      <c r="H590">
        <f t="shared" si="9"/>
        <v>4223.4399999999996</v>
      </c>
    </row>
    <row r="591" spans="1:8" x14ac:dyDescent="0.25">
      <c r="A591" s="1" t="s">
        <v>604</v>
      </c>
      <c r="B591" s="5">
        <v>45682.541666666664</v>
      </c>
      <c r="C591" s="1" t="s">
        <v>13</v>
      </c>
      <c r="D591" s="1" t="s">
        <v>37</v>
      </c>
      <c r="E591" s="1">
        <v>12</v>
      </c>
      <c r="F591" s="1">
        <v>393.06</v>
      </c>
      <c r="G591" s="1">
        <v>15.14</v>
      </c>
      <c r="H591">
        <f t="shared" si="9"/>
        <v>4716.72</v>
      </c>
    </row>
    <row r="592" spans="1:8" x14ac:dyDescent="0.25">
      <c r="A592" s="1" t="s">
        <v>605</v>
      </c>
      <c r="B592" s="5">
        <v>45682.583333333336</v>
      </c>
      <c r="C592" s="1" t="s">
        <v>13</v>
      </c>
      <c r="D592" s="1" t="s">
        <v>9</v>
      </c>
      <c r="E592" s="1">
        <v>13</v>
      </c>
      <c r="F592" s="1">
        <v>421.34</v>
      </c>
      <c r="G592" s="1">
        <v>48.84</v>
      </c>
      <c r="H592">
        <f t="shared" si="9"/>
        <v>5477.42</v>
      </c>
    </row>
    <row r="593" spans="1:8" x14ac:dyDescent="0.25">
      <c r="A593" s="1" t="s">
        <v>606</v>
      </c>
      <c r="B593" s="5">
        <v>45682.625</v>
      </c>
      <c r="C593" s="1" t="s">
        <v>11</v>
      </c>
      <c r="D593" s="1" t="s">
        <v>9</v>
      </c>
      <c r="E593" s="1">
        <v>10</v>
      </c>
      <c r="F593" s="1">
        <v>157.77000000000001</v>
      </c>
      <c r="G593" s="1">
        <v>22.57</v>
      </c>
      <c r="H593">
        <f t="shared" si="9"/>
        <v>1577.7</v>
      </c>
    </row>
    <row r="594" spans="1:8" x14ac:dyDescent="0.25">
      <c r="A594" s="1" t="s">
        <v>607</v>
      </c>
      <c r="B594" s="5">
        <v>45682.666666666664</v>
      </c>
      <c r="C594" s="1" t="s">
        <v>13</v>
      </c>
      <c r="D594" s="1" t="s">
        <v>9</v>
      </c>
      <c r="E594" s="1">
        <v>1</v>
      </c>
      <c r="F594" s="1">
        <v>74.52</v>
      </c>
      <c r="G594" s="1">
        <v>45.93</v>
      </c>
      <c r="H594">
        <f t="shared" si="9"/>
        <v>74.52</v>
      </c>
    </row>
    <row r="595" spans="1:8" x14ac:dyDescent="0.25">
      <c r="A595" s="1" t="s">
        <v>608</v>
      </c>
      <c r="B595" s="5">
        <v>45682.708333333336</v>
      </c>
      <c r="C595" s="1" t="s">
        <v>11</v>
      </c>
      <c r="D595" s="1" t="s">
        <v>37</v>
      </c>
      <c r="E595" s="1">
        <v>8</v>
      </c>
      <c r="F595" s="1">
        <v>118.44</v>
      </c>
      <c r="G595" s="1">
        <v>15.15</v>
      </c>
      <c r="H595">
        <f t="shared" si="9"/>
        <v>947.52</v>
      </c>
    </row>
    <row r="596" spans="1:8" x14ac:dyDescent="0.25">
      <c r="A596" s="1" t="s">
        <v>609</v>
      </c>
      <c r="B596" s="5">
        <v>45682.75</v>
      </c>
      <c r="C596" s="1" t="s">
        <v>11</v>
      </c>
      <c r="D596" s="1" t="s">
        <v>37</v>
      </c>
      <c r="E596" s="1">
        <v>16</v>
      </c>
      <c r="F596" s="1">
        <v>352.75</v>
      </c>
      <c r="G596" s="1">
        <v>13.51</v>
      </c>
      <c r="H596">
        <f t="shared" si="9"/>
        <v>5644</v>
      </c>
    </row>
    <row r="597" spans="1:8" x14ac:dyDescent="0.25">
      <c r="A597" s="1" t="s">
        <v>610</v>
      </c>
      <c r="B597" s="5">
        <v>45682.791666666664</v>
      </c>
      <c r="C597" s="1" t="s">
        <v>11</v>
      </c>
      <c r="D597" s="1" t="s">
        <v>37</v>
      </c>
      <c r="E597" s="1">
        <v>13</v>
      </c>
      <c r="F597" s="1">
        <v>437.61</v>
      </c>
      <c r="G597" s="1">
        <v>32.76</v>
      </c>
      <c r="H597">
        <f t="shared" si="9"/>
        <v>5688.93</v>
      </c>
    </row>
    <row r="598" spans="1:8" x14ac:dyDescent="0.25">
      <c r="A598" s="1" t="s">
        <v>611</v>
      </c>
      <c r="B598" s="5">
        <v>45682.833333333336</v>
      </c>
      <c r="C598" s="1" t="s">
        <v>13</v>
      </c>
      <c r="D598" s="1" t="s">
        <v>37</v>
      </c>
      <c r="E598" s="1">
        <v>3</v>
      </c>
      <c r="F598" s="1">
        <v>218.15</v>
      </c>
      <c r="G598" s="1">
        <v>40.07</v>
      </c>
      <c r="H598">
        <f t="shared" si="9"/>
        <v>654.45000000000005</v>
      </c>
    </row>
    <row r="599" spans="1:8" x14ac:dyDescent="0.25">
      <c r="A599" s="1" t="s">
        <v>612</v>
      </c>
      <c r="B599" s="5">
        <v>45682.875</v>
      </c>
      <c r="C599" s="1" t="s">
        <v>8</v>
      </c>
      <c r="D599" s="1" t="s">
        <v>37</v>
      </c>
      <c r="E599" s="1">
        <v>3</v>
      </c>
      <c r="F599" s="1">
        <v>148.18</v>
      </c>
      <c r="G599" s="1">
        <v>30.5</v>
      </c>
      <c r="H599">
        <f t="shared" si="9"/>
        <v>444.54</v>
      </c>
    </row>
    <row r="600" spans="1:8" x14ac:dyDescent="0.25">
      <c r="A600" s="1" t="s">
        <v>613</v>
      </c>
      <c r="B600" s="5">
        <v>45682.916666666664</v>
      </c>
      <c r="C600" s="1" t="s">
        <v>11</v>
      </c>
      <c r="D600" s="1" t="s">
        <v>16</v>
      </c>
      <c r="E600" s="1">
        <v>5</v>
      </c>
      <c r="F600" s="1">
        <v>201.98</v>
      </c>
      <c r="G600" s="1">
        <v>15.34</v>
      </c>
      <c r="H600">
        <f t="shared" si="9"/>
        <v>1009.9</v>
      </c>
    </row>
    <row r="601" spans="1:8" x14ac:dyDescent="0.25">
      <c r="A601" s="1" t="s">
        <v>614</v>
      </c>
      <c r="B601" s="5">
        <v>45682.958333333336</v>
      </c>
      <c r="C601" s="1" t="s">
        <v>23</v>
      </c>
      <c r="D601" s="1" t="s">
        <v>16</v>
      </c>
      <c r="E601" s="1">
        <v>11</v>
      </c>
      <c r="F601" s="1">
        <v>147.94</v>
      </c>
      <c r="G601" s="1">
        <v>6.71</v>
      </c>
      <c r="H601">
        <f t="shared" si="9"/>
        <v>1627.34</v>
      </c>
    </row>
    <row r="602" spans="1:8" x14ac:dyDescent="0.25">
      <c r="A602" s="1" t="s">
        <v>615</v>
      </c>
      <c r="B602" s="5">
        <v>45683</v>
      </c>
      <c r="C602" s="1" t="s">
        <v>13</v>
      </c>
      <c r="D602" s="1" t="s">
        <v>9</v>
      </c>
      <c r="E602" s="1">
        <v>7</v>
      </c>
      <c r="F602" s="1">
        <v>126.94</v>
      </c>
      <c r="G602" s="1">
        <v>32.82</v>
      </c>
      <c r="H602">
        <f t="shared" si="9"/>
        <v>888.57999999999993</v>
      </c>
    </row>
    <row r="603" spans="1:8" x14ac:dyDescent="0.25">
      <c r="A603" s="1" t="s">
        <v>616</v>
      </c>
      <c r="B603" s="5">
        <v>45683.041666666664</v>
      </c>
      <c r="C603" s="1" t="s">
        <v>11</v>
      </c>
      <c r="D603" s="1" t="s">
        <v>19</v>
      </c>
      <c r="E603" s="1">
        <v>10</v>
      </c>
      <c r="F603" s="1">
        <v>273.48</v>
      </c>
      <c r="G603" s="1">
        <v>10.9</v>
      </c>
      <c r="H603">
        <f t="shared" si="9"/>
        <v>2734.8</v>
      </c>
    </row>
    <row r="604" spans="1:8" x14ac:dyDescent="0.25">
      <c r="A604" s="1" t="s">
        <v>617</v>
      </c>
      <c r="B604" s="5">
        <v>45683.083333333336</v>
      </c>
      <c r="C604" s="1" t="s">
        <v>11</v>
      </c>
      <c r="D604" s="1" t="s">
        <v>9</v>
      </c>
      <c r="E604" s="1">
        <v>10</v>
      </c>
      <c r="F604" s="1">
        <v>22.34</v>
      </c>
      <c r="G604" s="1">
        <v>20.440000000000001</v>
      </c>
      <c r="H604">
        <f t="shared" si="9"/>
        <v>223.4</v>
      </c>
    </row>
    <row r="605" spans="1:8" x14ac:dyDescent="0.25">
      <c r="A605" s="1" t="s">
        <v>618</v>
      </c>
      <c r="B605" s="5">
        <v>45683.125</v>
      </c>
      <c r="C605" s="1" t="s">
        <v>23</v>
      </c>
      <c r="D605" s="1" t="s">
        <v>19</v>
      </c>
      <c r="E605" s="1">
        <v>2</v>
      </c>
      <c r="F605" s="1">
        <v>128.28</v>
      </c>
      <c r="G605" s="1">
        <v>35.409999999999997</v>
      </c>
      <c r="H605">
        <f t="shared" si="9"/>
        <v>256.56</v>
      </c>
    </row>
    <row r="606" spans="1:8" x14ac:dyDescent="0.25">
      <c r="A606" s="1" t="s">
        <v>619</v>
      </c>
      <c r="B606" s="5">
        <v>45683.166666666664</v>
      </c>
      <c r="C606" s="1" t="s">
        <v>8</v>
      </c>
      <c r="D606" s="1" t="s">
        <v>37</v>
      </c>
      <c r="E606" s="1">
        <v>3</v>
      </c>
      <c r="F606" s="1">
        <v>302.87</v>
      </c>
      <c r="G606" s="1">
        <v>9.41</v>
      </c>
      <c r="H606">
        <f t="shared" si="9"/>
        <v>908.61</v>
      </c>
    </row>
    <row r="607" spans="1:8" x14ac:dyDescent="0.25">
      <c r="A607" s="1" t="s">
        <v>620</v>
      </c>
      <c r="B607" s="5">
        <v>45683.208333333336</v>
      </c>
      <c r="C607" s="1" t="s">
        <v>8</v>
      </c>
      <c r="D607" s="1" t="s">
        <v>19</v>
      </c>
      <c r="E607" s="1">
        <v>8</v>
      </c>
      <c r="F607" s="1">
        <v>29.43</v>
      </c>
      <c r="G607" s="1">
        <v>10.73</v>
      </c>
      <c r="H607">
        <f t="shared" si="9"/>
        <v>235.44</v>
      </c>
    </row>
    <row r="608" spans="1:8" x14ac:dyDescent="0.25">
      <c r="A608" s="1" t="s">
        <v>621</v>
      </c>
      <c r="B608" s="5">
        <v>45683.25</v>
      </c>
      <c r="C608" s="1" t="s">
        <v>8</v>
      </c>
      <c r="D608" s="1" t="s">
        <v>9</v>
      </c>
      <c r="E608" s="1">
        <v>11</v>
      </c>
      <c r="F608" s="1">
        <v>51.65</v>
      </c>
      <c r="G608" s="1">
        <v>7.77</v>
      </c>
      <c r="H608">
        <f t="shared" si="9"/>
        <v>568.15</v>
      </c>
    </row>
    <row r="609" spans="1:8" x14ac:dyDescent="0.25">
      <c r="A609" s="1" t="s">
        <v>622</v>
      </c>
      <c r="B609" s="5">
        <v>45683.291666666664</v>
      </c>
      <c r="C609" s="1" t="s">
        <v>11</v>
      </c>
      <c r="D609" s="1" t="s">
        <v>9</v>
      </c>
      <c r="E609" s="1">
        <v>13</v>
      </c>
      <c r="F609" s="1">
        <v>142.97999999999999</v>
      </c>
      <c r="G609" s="1">
        <v>49.82</v>
      </c>
      <c r="H609">
        <f t="shared" si="9"/>
        <v>1858.7399999999998</v>
      </c>
    </row>
    <row r="610" spans="1:8" x14ac:dyDescent="0.25">
      <c r="A610" s="1" t="s">
        <v>623</v>
      </c>
      <c r="B610" s="5">
        <v>45683.333333333336</v>
      </c>
      <c r="C610" s="1" t="s">
        <v>11</v>
      </c>
      <c r="D610" s="1" t="s">
        <v>19</v>
      </c>
      <c r="E610" s="1">
        <v>7</v>
      </c>
      <c r="F610" s="1">
        <v>396.91</v>
      </c>
      <c r="G610" s="1">
        <v>22.42</v>
      </c>
      <c r="H610">
        <f t="shared" si="9"/>
        <v>2778.3700000000003</v>
      </c>
    </row>
    <row r="611" spans="1:8" x14ac:dyDescent="0.25">
      <c r="A611" s="1" t="s">
        <v>624</v>
      </c>
      <c r="B611" s="5">
        <v>45683.375</v>
      </c>
      <c r="C611" s="1" t="s">
        <v>11</v>
      </c>
      <c r="D611" s="1" t="s">
        <v>16</v>
      </c>
      <c r="E611" s="1">
        <v>13</v>
      </c>
      <c r="F611" s="1">
        <v>347.84</v>
      </c>
      <c r="G611" s="1">
        <v>45.76</v>
      </c>
      <c r="H611">
        <f t="shared" si="9"/>
        <v>4521.92</v>
      </c>
    </row>
    <row r="612" spans="1:8" x14ac:dyDescent="0.25">
      <c r="A612" s="1" t="s">
        <v>625</v>
      </c>
      <c r="B612" s="5">
        <v>45683.416666666664</v>
      </c>
      <c r="C612" s="1" t="s">
        <v>13</v>
      </c>
      <c r="D612" s="1" t="s">
        <v>37</v>
      </c>
      <c r="E612" s="1">
        <v>2</v>
      </c>
      <c r="F612" s="1">
        <v>25.13</v>
      </c>
      <c r="G612" s="1">
        <v>18.21</v>
      </c>
      <c r="H612">
        <f t="shared" si="9"/>
        <v>50.26</v>
      </c>
    </row>
    <row r="613" spans="1:8" x14ac:dyDescent="0.25">
      <c r="A613" s="1" t="s">
        <v>626</v>
      </c>
      <c r="B613" s="5">
        <v>45683.458333333336</v>
      </c>
      <c r="C613" s="1" t="s">
        <v>23</v>
      </c>
      <c r="D613" s="1" t="s">
        <v>37</v>
      </c>
      <c r="E613" s="1">
        <v>6</v>
      </c>
      <c r="F613" s="1">
        <v>233.49</v>
      </c>
      <c r="G613" s="1">
        <v>38.89</v>
      </c>
      <c r="H613">
        <f t="shared" si="9"/>
        <v>1400.94</v>
      </c>
    </row>
    <row r="614" spans="1:8" x14ac:dyDescent="0.25">
      <c r="A614" s="1" t="s">
        <v>627</v>
      </c>
      <c r="B614" s="5">
        <v>45683.5</v>
      </c>
      <c r="C614" s="1" t="s">
        <v>11</v>
      </c>
      <c r="D614" s="1" t="s">
        <v>9</v>
      </c>
      <c r="E614" s="1">
        <v>9</v>
      </c>
      <c r="F614" s="1">
        <v>134.85</v>
      </c>
      <c r="G614" s="1">
        <v>14.86</v>
      </c>
      <c r="H614">
        <f t="shared" si="9"/>
        <v>1213.6499999999999</v>
      </c>
    </row>
    <row r="615" spans="1:8" x14ac:dyDescent="0.25">
      <c r="A615" s="1" t="s">
        <v>628</v>
      </c>
      <c r="B615" s="5">
        <v>45683.541666666664</v>
      </c>
      <c r="C615" s="1" t="s">
        <v>23</v>
      </c>
      <c r="D615" s="1" t="s">
        <v>16</v>
      </c>
      <c r="E615" s="1">
        <v>2</v>
      </c>
      <c r="F615" s="1">
        <v>297.33999999999997</v>
      </c>
      <c r="G615" s="1">
        <v>27.42</v>
      </c>
      <c r="H615">
        <f t="shared" si="9"/>
        <v>594.67999999999995</v>
      </c>
    </row>
    <row r="616" spans="1:8" x14ac:dyDescent="0.25">
      <c r="A616" s="1" t="s">
        <v>629</v>
      </c>
      <c r="B616" s="5">
        <v>45683.583333333336</v>
      </c>
      <c r="C616" s="1" t="s">
        <v>23</v>
      </c>
      <c r="D616" s="1" t="s">
        <v>19</v>
      </c>
      <c r="E616" s="1">
        <v>18</v>
      </c>
      <c r="F616" s="1">
        <v>329.02</v>
      </c>
      <c r="G616" s="1">
        <v>42.11</v>
      </c>
      <c r="H616">
        <f t="shared" si="9"/>
        <v>5922.36</v>
      </c>
    </row>
    <row r="617" spans="1:8" x14ac:dyDescent="0.25">
      <c r="A617" s="1" t="s">
        <v>630</v>
      </c>
      <c r="B617" s="5">
        <v>45683.625</v>
      </c>
      <c r="C617" s="1" t="s">
        <v>8</v>
      </c>
      <c r="D617" s="1" t="s">
        <v>37</v>
      </c>
      <c r="E617" s="1">
        <v>16</v>
      </c>
      <c r="F617" s="1">
        <v>390.41</v>
      </c>
      <c r="G617" s="1">
        <v>41.74</v>
      </c>
      <c r="H617">
        <f t="shared" si="9"/>
        <v>6246.56</v>
      </c>
    </row>
    <row r="618" spans="1:8" x14ac:dyDescent="0.25">
      <c r="A618" s="1" t="s">
        <v>631</v>
      </c>
      <c r="B618" s="5">
        <v>45683.666666666664</v>
      </c>
      <c r="C618" s="1" t="s">
        <v>13</v>
      </c>
      <c r="D618" s="1" t="s">
        <v>16</v>
      </c>
      <c r="E618" s="1">
        <v>12</v>
      </c>
      <c r="F618" s="1">
        <v>222.07</v>
      </c>
      <c r="G618" s="1">
        <v>40.74</v>
      </c>
      <c r="H618">
        <f t="shared" si="9"/>
        <v>2664.84</v>
      </c>
    </row>
    <row r="619" spans="1:8" x14ac:dyDescent="0.25">
      <c r="A619" s="1" t="s">
        <v>632</v>
      </c>
      <c r="B619" s="5">
        <v>45683.708333333336</v>
      </c>
      <c r="C619" s="1" t="s">
        <v>11</v>
      </c>
      <c r="D619" s="1" t="s">
        <v>37</v>
      </c>
      <c r="E619" s="1">
        <v>7</v>
      </c>
      <c r="F619" s="1">
        <v>447.59</v>
      </c>
      <c r="G619" s="1">
        <v>42.07</v>
      </c>
      <c r="H619">
        <f t="shared" si="9"/>
        <v>3133.1299999999997</v>
      </c>
    </row>
    <row r="620" spans="1:8" x14ac:dyDescent="0.25">
      <c r="A620" s="1" t="s">
        <v>633</v>
      </c>
      <c r="B620" s="5">
        <v>45683.75</v>
      </c>
      <c r="C620" s="1" t="s">
        <v>8</v>
      </c>
      <c r="D620" s="1" t="s">
        <v>16</v>
      </c>
      <c r="E620" s="1">
        <v>7</v>
      </c>
      <c r="F620" s="1">
        <v>441.3</v>
      </c>
      <c r="G620" s="1">
        <v>14.52</v>
      </c>
      <c r="H620">
        <f t="shared" si="9"/>
        <v>3089.1</v>
      </c>
    </row>
    <row r="621" spans="1:8" x14ac:dyDescent="0.25">
      <c r="A621" s="1" t="s">
        <v>634</v>
      </c>
      <c r="B621" s="5">
        <v>45683.791666666664</v>
      </c>
      <c r="C621" s="1" t="s">
        <v>8</v>
      </c>
      <c r="D621" s="1" t="s">
        <v>16</v>
      </c>
      <c r="E621" s="1">
        <v>17</v>
      </c>
      <c r="F621" s="1">
        <v>398.8</v>
      </c>
      <c r="G621" s="1">
        <v>26.7</v>
      </c>
      <c r="H621">
        <f t="shared" si="9"/>
        <v>6779.6</v>
      </c>
    </row>
    <row r="622" spans="1:8" x14ac:dyDescent="0.25">
      <c r="A622" s="1" t="s">
        <v>635</v>
      </c>
      <c r="B622" s="5">
        <v>45683.833333333336</v>
      </c>
      <c r="C622" s="1" t="s">
        <v>11</v>
      </c>
      <c r="D622" s="1" t="s">
        <v>9</v>
      </c>
      <c r="E622" s="1">
        <v>13</v>
      </c>
      <c r="F622" s="1">
        <v>265.27999999999997</v>
      </c>
      <c r="G622" s="1">
        <v>26.82</v>
      </c>
      <c r="H622">
        <f t="shared" si="9"/>
        <v>3448.6399999999994</v>
      </c>
    </row>
    <row r="623" spans="1:8" x14ac:dyDescent="0.25">
      <c r="A623" s="1" t="s">
        <v>636</v>
      </c>
      <c r="B623" s="5">
        <v>45683.875</v>
      </c>
      <c r="C623" s="1" t="s">
        <v>23</v>
      </c>
      <c r="D623" s="1" t="s">
        <v>37</v>
      </c>
      <c r="E623" s="1">
        <v>11</v>
      </c>
      <c r="F623" s="1">
        <v>188.43</v>
      </c>
      <c r="G623" s="1">
        <v>45.07</v>
      </c>
      <c r="H623">
        <f t="shared" si="9"/>
        <v>2072.73</v>
      </c>
    </row>
    <row r="624" spans="1:8" x14ac:dyDescent="0.25">
      <c r="A624" s="1" t="s">
        <v>637</v>
      </c>
      <c r="B624" s="5">
        <v>45683.916666666664</v>
      </c>
      <c r="C624" s="1" t="s">
        <v>8</v>
      </c>
      <c r="D624" s="1" t="s">
        <v>19</v>
      </c>
      <c r="E624" s="1">
        <v>6</v>
      </c>
      <c r="F624" s="1">
        <v>173.83</v>
      </c>
      <c r="G624" s="1">
        <v>18.36</v>
      </c>
      <c r="H624">
        <f t="shared" si="9"/>
        <v>1042.98</v>
      </c>
    </row>
    <row r="625" spans="1:8" x14ac:dyDescent="0.25">
      <c r="A625" s="1" t="s">
        <v>638</v>
      </c>
      <c r="B625" s="5">
        <v>45683.958333333336</v>
      </c>
      <c r="C625" s="1" t="s">
        <v>23</v>
      </c>
      <c r="D625" s="1" t="s">
        <v>9</v>
      </c>
      <c r="E625" s="1">
        <v>14</v>
      </c>
      <c r="F625" s="1">
        <v>20.77</v>
      </c>
      <c r="G625" s="1">
        <v>46.92</v>
      </c>
      <c r="H625">
        <f t="shared" si="9"/>
        <v>290.77999999999997</v>
      </c>
    </row>
    <row r="626" spans="1:8" x14ac:dyDescent="0.25">
      <c r="A626" s="1" t="s">
        <v>639</v>
      </c>
      <c r="B626" s="5">
        <v>45684</v>
      </c>
      <c r="C626" s="1" t="s">
        <v>13</v>
      </c>
      <c r="D626" s="1" t="s">
        <v>9</v>
      </c>
      <c r="E626" s="1">
        <v>6</v>
      </c>
      <c r="F626" s="1">
        <v>123.77</v>
      </c>
      <c r="G626" s="1">
        <v>25.29</v>
      </c>
      <c r="H626">
        <f t="shared" si="9"/>
        <v>742.62</v>
      </c>
    </row>
    <row r="627" spans="1:8" x14ac:dyDescent="0.25">
      <c r="A627" s="1" t="s">
        <v>640</v>
      </c>
      <c r="B627" s="5">
        <v>45684.041666666664</v>
      </c>
      <c r="C627" s="1" t="s">
        <v>23</v>
      </c>
      <c r="D627" s="1" t="s">
        <v>19</v>
      </c>
      <c r="E627" s="1">
        <v>6</v>
      </c>
      <c r="F627" s="1">
        <v>327.82</v>
      </c>
      <c r="G627" s="1">
        <v>35.14</v>
      </c>
      <c r="H627">
        <f t="shared" si="9"/>
        <v>1966.92</v>
      </c>
    </row>
    <row r="628" spans="1:8" x14ac:dyDescent="0.25">
      <c r="A628" s="1" t="s">
        <v>641</v>
      </c>
      <c r="B628" s="5">
        <v>45684.083333333336</v>
      </c>
      <c r="C628" s="1" t="s">
        <v>13</v>
      </c>
      <c r="D628" s="1" t="s">
        <v>9</v>
      </c>
      <c r="E628" s="1">
        <v>2</v>
      </c>
      <c r="F628" s="1">
        <v>277.77999999999997</v>
      </c>
      <c r="G628" s="1">
        <v>17.100000000000001</v>
      </c>
      <c r="H628">
        <f t="shared" si="9"/>
        <v>555.55999999999995</v>
      </c>
    </row>
    <row r="629" spans="1:8" x14ac:dyDescent="0.25">
      <c r="A629" s="1" t="s">
        <v>642</v>
      </c>
      <c r="B629" s="5">
        <v>45684.125</v>
      </c>
      <c r="C629" s="1" t="s">
        <v>23</v>
      </c>
      <c r="D629" s="1" t="s">
        <v>16</v>
      </c>
      <c r="E629" s="1">
        <v>15</v>
      </c>
      <c r="F629" s="1">
        <v>413.69</v>
      </c>
      <c r="G629" s="1">
        <v>23.46</v>
      </c>
      <c r="H629">
        <f t="shared" si="9"/>
        <v>6205.35</v>
      </c>
    </row>
    <row r="630" spans="1:8" x14ac:dyDescent="0.25">
      <c r="A630" s="1" t="s">
        <v>643</v>
      </c>
      <c r="B630" s="5">
        <v>45684.166666666664</v>
      </c>
      <c r="C630" s="1" t="s">
        <v>8</v>
      </c>
      <c r="D630" s="1" t="s">
        <v>16</v>
      </c>
      <c r="E630" s="1">
        <v>17</v>
      </c>
      <c r="F630" s="1">
        <v>37.229999999999997</v>
      </c>
      <c r="G630" s="1">
        <v>36.94</v>
      </c>
      <c r="H630">
        <f t="shared" si="9"/>
        <v>632.91</v>
      </c>
    </row>
    <row r="631" spans="1:8" x14ac:dyDescent="0.25">
      <c r="A631" s="1" t="s">
        <v>644</v>
      </c>
      <c r="B631" s="5">
        <v>45684.208333333336</v>
      </c>
      <c r="C631" s="1" t="s">
        <v>8</v>
      </c>
      <c r="D631" s="1" t="s">
        <v>37</v>
      </c>
      <c r="E631" s="1">
        <v>8</v>
      </c>
      <c r="F631" s="1">
        <v>82.97</v>
      </c>
      <c r="G631" s="1">
        <v>28.07</v>
      </c>
      <c r="H631">
        <f t="shared" si="9"/>
        <v>663.76</v>
      </c>
    </row>
    <row r="632" spans="1:8" x14ac:dyDescent="0.25">
      <c r="A632" s="1" t="s">
        <v>645</v>
      </c>
      <c r="B632" s="5">
        <v>45684.25</v>
      </c>
      <c r="C632" s="1" t="s">
        <v>13</v>
      </c>
      <c r="D632" s="1" t="s">
        <v>37</v>
      </c>
      <c r="E632" s="1">
        <v>5</v>
      </c>
      <c r="F632" s="1">
        <v>358.43</v>
      </c>
      <c r="G632" s="1">
        <v>46.88</v>
      </c>
      <c r="H632">
        <f t="shared" si="9"/>
        <v>1792.15</v>
      </c>
    </row>
    <row r="633" spans="1:8" x14ac:dyDescent="0.25">
      <c r="A633" s="1" t="s">
        <v>646</v>
      </c>
      <c r="B633" s="5">
        <v>45684.291666666664</v>
      </c>
      <c r="C633" s="1" t="s">
        <v>11</v>
      </c>
      <c r="D633" s="1" t="s">
        <v>19</v>
      </c>
      <c r="E633" s="1">
        <v>17</v>
      </c>
      <c r="F633" s="1">
        <v>171.27</v>
      </c>
      <c r="G633" s="1">
        <v>38.17</v>
      </c>
      <c r="H633">
        <f t="shared" si="9"/>
        <v>2911.59</v>
      </c>
    </row>
    <row r="634" spans="1:8" x14ac:dyDescent="0.25">
      <c r="A634" s="1" t="s">
        <v>647</v>
      </c>
      <c r="B634" s="5">
        <v>45684.333333333336</v>
      </c>
      <c r="C634" s="1" t="s">
        <v>13</v>
      </c>
      <c r="D634" s="1" t="s">
        <v>37</v>
      </c>
      <c r="E634" s="1">
        <v>1</v>
      </c>
      <c r="F634" s="1">
        <v>66.92</v>
      </c>
      <c r="G634" s="1">
        <v>30.4</v>
      </c>
      <c r="H634">
        <f t="shared" si="9"/>
        <v>66.92</v>
      </c>
    </row>
    <row r="635" spans="1:8" x14ac:dyDescent="0.25">
      <c r="A635" s="1" t="s">
        <v>648</v>
      </c>
      <c r="B635" s="5">
        <v>45684.375</v>
      </c>
      <c r="C635" s="1" t="s">
        <v>13</v>
      </c>
      <c r="D635" s="1" t="s">
        <v>16</v>
      </c>
      <c r="E635" s="1">
        <v>18</v>
      </c>
      <c r="F635" s="1">
        <v>448.46</v>
      </c>
      <c r="G635" s="1">
        <v>44.9</v>
      </c>
      <c r="H635">
        <f t="shared" si="9"/>
        <v>8072.28</v>
      </c>
    </row>
    <row r="636" spans="1:8" x14ac:dyDescent="0.25">
      <c r="A636" s="1" t="s">
        <v>649</v>
      </c>
      <c r="B636" s="5">
        <v>45684.416666666664</v>
      </c>
      <c r="C636" s="1" t="s">
        <v>23</v>
      </c>
      <c r="D636" s="1" t="s">
        <v>19</v>
      </c>
      <c r="E636" s="1">
        <v>15</v>
      </c>
      <c r="F636" s="1">
        <v>357.56</v>
      </c>
      <c r="G636" s="1">
        <v>34.950000000000003</v>
      </c>
      <c r="H636">
        <f t="shared" si="9"/>
        <v>5363.4</v>
      </c>
    </row>
    <row r="637" spans="1:8" x14ac:dyDescent="0.25">
      <c r="A637" s="1" t="s">
        <v>650</v>
      </c>
      <c r="B637" s="5">
        <v>45684.458333333336</v>
      </c>
      <c r="C637" s="1" t="s">
        <v>23</v>
      </c>
      <c r="D637" s="1" t="s">
        <v>19</v>
      </c>
      <c r="E637" s="1">
        <v>5</v>
      </c>
      <c r="F637" s="1">
        <v>193.1</v>
      </c>
      <c r="G637" s="1">
        <v>34.130000000000003</v>
      </c>
      <c r="H637">
        <f t="shared" si="9"/>
        <v>965.5</v>
      </c>
    </row>
    <row r="638" spans="1:8" x14ac:dyDescent="0.25">
      <c r="A638" s="1" t="s">
        <v>651</v>
      </c>
      <c r="B638" s="5">
        <v>45684.5</v>
      </c>
      <c r="C638" s="1" t="s">
        <v>13</v>
      </c>
      <c r="D638" s="1" t="s">
        <v>37</v>
      </c>
      <c r="E638" s="1">
        <v>7</v>
      </c>
      <c r="F638" s="1">
        <v>373.24</v>
      </c>
      <c r="G638" s="1">
        <v>16.09</v>
      </c>
      <c r="H638">
        <f t="shared" si="9"/>
        <v>2612.6800000000003</v>
      </c>
    </row>
    <row r="639" spans="1:8" x14ac:dyDescent="0.25">
      <c r="A639" s="1" t="s">
        <v>652</v>
      </c>
      <c r="B639" s="5">
        <v>45684.541666666664</v>
      </c>
      <c r="C639" s="1" t="s">
        <v>8</v>
      </c>
      <c r="D639" s="1" t="s">
        <v>16</v>
      </c>
      <c r="E639" s="1">
        <v>18</v>
      </c>
      <c r="F639" s="1">
        <v>311.22000000000003</v>
      </c>
      <c r="G639" s="1">
        <v>22.77</v>
      </c>
      <c r="H639">
        <f t="shared" si="9"/>
        <v>5601.9600000000009</v>
      </c>
    </row>
    <row r="640" spans="1:8" x14ac:dyDescent="0.25">
      <c r="A640" s="1" t="s">
        <v>653</v>
      </c>
      <c r="B640" s="5">
        <v>45684.583333333336</v>
      </c>
      <c r="C640" s="1" t="s">
        <v>23</v>
      </c>
      <c r="D640" s="1" t="s">
        <v>19</v>
      </c>
      <c r="E640" s="1">
        <v>6</v>
      </c>
      <c r="F640" s="1">
        <v>358.74</v>
      </c>
      <c r="G640" s="1">
        <v>35.75</v>
      </c>
      <c r="H640">
        <f t="shared" si="9"/>
        <v>2152.44</v>
      </c>
    </row>
    <row r="641" spans="1:8" x14ac:dyDescent="0.25">
      <c r="A641" s="1" t="s">
        <v>654</v>
      </c>
      <c r="B641" s="5">
        <v>45684.625</v>
      </c>
      <c r="C641" s="1" t="s">
        <v>11</v>
      </c>
      <c r="D641" s="1" t="s">
        <v>16</v>
      </c>
      <c r="E641" s="1">
        <v>5</v>
      </c>
      <c r="F641" s="1">
        <v>369.71</v>
      </c>
      <c r="G641" s="1">
        <v>45.13</v>
      </c>
      <c r="H641">
        <f t="shared" si="9"/>
        <v>1848.55</v>
      </c>
    </row>
    <row r="642" spans="1:8" x14ac:dyDescent="0.25">
      <c r="A642" s="1" t="s">
        <v>655</v>
      </c>
      <c r="B642" s="5">
        <v>45684.666666666664</v>
      </c>
      <c r="C642" s="1" t="s">
        <v>23</v>
      </c>
      <c r="D642" s="1" t="s">
        <v>16</v>
      </c>
      <c r="E642" s="1">
        <v>19</v>
      </c>
      <c r="F642" s="1">
        <v>52.31</v>
      </c>
      <c r="G642" s="1">
        <v>19.2</v>
      </c>
      <c r="H642">
        <f t="shared" ref="H642:H705" si="10">E642*F642</f>
        <v>993.8900000000001</v>
      </c>
    </row>
    <row r="643" spans="1:8" x14ac:dyDescent="0.25">
      <c r="A643" s="1" t="s">
        <v>656</v>
      </c>
      <c r="B643" s="5">
        <v>45684.708333333336</v>
      </c>
      <c r="C643" s="1" t="s">
        <v>23</v>
      </c>
      <c r="D643" s="1" t="s">
        <v>16</v>
      </c>
      <c r="E643" s="1">
        <v>10</v>
      </c>
      <c r="F643" s="1">
        <v>286.18</v>
      </c>
      <c r="G643" s="1">
        <v>14.7</v>
      </c>
      <c r="H643">
        <f t="shared" si="10"/>
        <v>2861.8</v>
      </c>
    </row>
    <row r="644" spans="1:8" x14ac:dyDescent="0.25">
      <c r="A644" s="1" t="s">
        <v>657</v>
      </c>
      <c r="B644" s="5">
        <v>45684.75</v>
      </c>
      <c r="C644" s="1" t="s">
        <v>11</v>
      </c>
      <c r="D644" s="1" t="s">
        <v>37</v>
      </c>
      <c r="E644" s="1">
        <v>15</v>
      </c>
      <c r="F644" s="1">
        <v>18.45</v>
      </c>
      <c r="G644" s="1">
        <v>31.72</v>
      </c>
      <c r="H644">
        <f t="shared" si="10"/>
        <v>276.75</v>
      </c>
    </row>
    <row r="645" spans="1:8" x14ac:dyDescent="0.25">
      <c r="A645" s="1" t="s">
        <v>658</v>
      </c>
      <c r="B645" s="5">
        <v>45684.791666666664</v>
      </c>
      <c r="C645" s="1" t="s">
        <v>13</v>
      </c>
      <c r="D645" s="1" t="s">
        <v>9</v>
      </c>
      <c r="E645" s="1">
        <v>10</v>
      </c>
      <c r="F645" s="1">
        <v>34.380000000000003</v>
      </c>
      <c r="G645" s="1">
        <v>8.02</v>
      </c>
      <c r="H645">
        <f t="shared" si="10"/>
        <v>343.8</v>
      </c>
    </row>
    <row r="646" spans="1:8" x14ac:dyDescent="0.25">
      <c r="A646" s="1" t="s">
        <v>659</v>
      </c>
      <c r="B646" s="5">
        <v>45684.833333333336</v>
      </c>
      <c r="C646" s="1" t="s">
        <v>11</v>
      </c>
      <c r="D646" s="1" t="s">
        <v>9</v>
      </c>
      <c r="E646" s="1">
        <v>16</v>
      </c>
      <c r="F646" s="1">
        <v>408.28</v>
      </c>
      <c r="G646" s="1">
        <v>37.15</v>
      </c>
      <c r="H646">
        <f t="shared" si="10"/>
        <v>6532.48</v>
      </c>
    </row>
    <row r="647" spans="1:8" x14ac:dyDescent="0.25">
      <c r="A647" s="1" t="s">
        <v>660</v>
      </c>
      <c r="B647" s="5">
        <v>45684.875</v>
      </c>
      <c r="C647" s="1" t="s">
        <v>13</v>
      </c>
      <c r="D647" s="1" t="s">
        <v>19</v>
      </c>
      <c r="E647" s="1">
        <v>12</v>
      </c>
      <c r="F647" s="1">
        <v>244.73</v>
      </c>
      <c r="G647" s="1">
        <v>36.64</v>
      </c>
      <c r="H647">
        <f t="shared" si="10"/>
        <v>2936.7599999999998</v>
      </c>
    </row>
    <row r="648" spans="1:8" x14ac:dyDescent="0.25">
      <c r="A648" s="1" t="s">
        <v>661</v>
      </c>
      <c r="B648" s="5">
        <v>45684.916666666664</v>
      </c>
      <c r="C648" s="1" t="s">
        <v>13</v>
      </c>
      <c r="D648" s="1" t="s">
        <v>16</v>
      </c>
      <c r="E648" s="1">
        <v>18</v>
      </c>
      <c r="F648" s="1">
        <v>335.25</v>
      </c>
      <c r="G648" s="1">
        <v>20.97</v>
      </c>
      <c r="H648">
        <f t="shared" si="10"/>
        <v>6034.5</v>
      </c>
    </row>
    <row r="649" spans="1:8" x14ac:dyDescent="0.25">
      <c r="A649" s="1" t="s">
        <v>662</v>
      </c>
      <c r="B649" s="5">
        <v>45684.958333333336</v>
      </c>
      <c r="C649" s="1" t="s">
        <v>13</v>
      </c>
      <c r="D649" s="1" t="s">
        <v>37</v>
      </c>
      <c r="E649" s="1">
        <v>1</v>
      </c>
      <c r="F649" s="1">
        <v>379.83</v>
      </c>
      <c r="G649" s="1">
        <v>45.17</v>
      </c>
      <c r="H649">
        <f t="shared" si="10"/>
        <v>379.83</v>
      </c>
    </row>
    <row r="650" spans="1:8" x14ac:dyDescent="0.25">
      <c r="A650" s="1" t="s">
        <v>663</v>
      </c>
      <c r="B650" s="5">
        <v>45685</v>
      </c>
      <c r="C650" s="1" t="s">
        <v>11</v>
      </c>
      <c r="D650" s="1" t="s">
        <v>16</v>
      </c>
      <c r="E650" s="1">
        <v>16</v>
      </c>
      <c r="F650" s="1">
        <v>428.1</v>
      </c>
      <c r="G650" s="1">
        <v>27.6</v>
      </c>
      <c r="H650">
        <f t="shared" si="10"/>
        <v>6849.6</v>
      </c>
    </row>
    <row r="651" spans="1:8" x14ac:dyDescent="0.25">
      <c r="A651" s="1" t="s">
        <v>664</v>
      </c>
      <c r="B651" s="5">
        <v>45685.041666666664</v>
      </c>
      <c r="C651" s="1" t="s">
        <v>13</v>
      </c>
      <c r="D651" s="1" t="s">
        <v>16</v>
      </c>
      <c r="E651" s="1">
        <v>6</v>
      </c>
      <c r="F651" s="1">
        <v>393.23</v>
      </c>
      <c r="G651" s="1">
        <v>34.06</v>
      </c>
      <c r="H651">
        <f t="shared" si="10"/>
        <v>2359.38</v>
      </c>
    </row>
    <row r="652" spans="1:8" x14ac:dyDescent="0.25">
      <c r="A652" s="1" t="s">
        <v>665</v>
      </c>
      <c r="B652" s="5">
        <v>45685.083333333336</v>
      </c>
      <c r="C652" s="1" t="s">
        <v>8</v>
      </c>
      <c r="D652" s="1" t="s">
        <v>37</v>
      </c>
      <c r="E652" s="1">
        <v>3</v>
      </c>
      <c r="F652" s="1">
        <v>225.5</v>
      </c>
      <c r="G652" s="1">
        <v>14.43</v>
      </c>
      <c r="H652">
        <f t="shared" si="10"/>
        <v>676.5</v>
      </c>
    </row>
    <row r="653" spans="1:8" x14ac:dyDescent="0.25">
      <c r="A653" s="1" t="s">
        <v>666</v>
      </c>
      <c r="B653" s="5">
        <v>45685.125</v>
      </c>
      <c r="C653" s="1" t="s">
        <v>11</v>
      </c>
      <c r="D653" s="1" t="s">
        <v>9</v>
      </c>
      <c r="E653" s="1">
        <v>2</v>
      </c>
      <c r="F653" s="1">
        <v>161.47999999999999</v>
      </c>
      <c r="G653" s="1">
        <v>23.78</v>
      </c>
      <c r="H653">
        <f t="shared" si="10"/>
        <v>322.95999999999998</v>
      </c>
    </row>
    <row r="654" spans="1:8" x14ac:dyDescent="0.25">
      <c r="A654" s="1" t="s">
        <v>667</v>
      </c>
      <c r="B654" s="5">
        <v>45685.166666666664</v>
      </c>
      <c r="C654" s="1" t="s">
        <v>8</v>
      </c>
      <c r="D654" s="1" t="s">
        <v>16</v>
      </c>
      <c r="E654" s="1">
        <v>2</v>
      </c>
      <c r="F654" s="1">
        <v>82.63</v>
      </c>
      <c r="G654" s="1">
        <v>43.81</v>
      </c>
      <c r="H654">
        <f t="shared" si="10"/>
        <v>165.26</v>
      </c>
    </row>
    <row r="655" spans="1:8" x14ac:dyDescent="0.25">
      <c r="A655" s="1" t="s">
        <v>668</v>
      </c>
      <c r="B655" s="5">
        <v>45685.208333333336</v>
      </c>
      <c r="C655" s="1" t="s">
        <v>13</v>
      </c>
      <c r="D655" s="1" t="s">
        <v>16</v>
      </c>
      <c r="E655" s="1">
        <v>13</v>
      </c>
      <c r="F655" s="1">
        <v>189.44</v>
      </c>
      <c r="G655" s="1">
        <v>14.58</v>
      </c>
      <c r="H655">
        <f t="shared" si="10"/>
        <v>2462.7199999999998</v>
      </c>
    </row>
    <row r="656" spans="1:8" x14ac:dyDescent="0.25">
      <c r="A656" s="1" t="s">
        <v>669</v>
      </c>
      <c r="B656" s="5">
        <v>45685.25</v>
      </c>
      <c r="C656" s="1" t="s">
        <v>23</v>
      </c>
      <c r="D656" s="1" t="s">
        <v>9</v>
      </c>
      <c r="E656" s="1">
        <v>9</v>
      </c>
      <c r="F656" s="1">
        <v>174.74</v>
      </c>
      <c r="G656" s="1">
        <v>22.58</v>
      </c>
      <c r="H656">
        <f t="shared" si="10"/>
        <v>1572.66</v>
      </c>
    </row>
    <row r="657" spans="1:8" x14ac:dyDescent="0.25">
      <c r="A657" s="1" t="s">
        <v>670</v>
      </c>
      <c r="B657" s="5">
        <v>45685.291666666664</v>
      </c>
      <c r="C657" s="1" t="s">
        <v>13</v>
      </c>
      <c r="D657" s="1" t="s">
        <v>37</v>
      </c>
      <c r="E657" s="1">
        <v>16</v>
      </c>
      <c r="F657" s="1">
        <v>258.64</v>
      </c>
      <c r="G657" s="1">
        <v>19.309999999999999</v>
      </c>
      <c r="H657">
        <f t="shared" si="10"/>
        <v>4138.24</v>
      </c>
    </row>
    <row r="658" spans="1:8" x14ac:dyDescent="0.25">
      <c r="A658" s="1" t="s">
        <v>671</v>
      </c>
      <c r="B658" s="5">
        <v>45685.333333333336</v>
      </c>
      <c r="C658" s="1" t="s">
        <v>8</v>
      </c>
      <c r="D658" s="1" t="s">
        <v>19</v>
      </c>
      <c r="E658" s="1">
        <v>5</v>
      </c>
      <c r="F658" s="1">
        <v>304.66000000000003</v>
      </c>
      <c r="G658" s="1">
        <v>11.8</v>
      </c>
      <c r="H658">
        <f t="shared" si="10"/>
        <v>1523.3000000000002</v>
      </c>
    </row>
    <row r="659" spans="1:8" x14ac:dyDescent="0.25">
      <c r="A659" s="1" t="s">
        <v>672</v>
      </c>
      <c r="B659" s="5">
        <v>45685.375</v>
      </c>
      <c r="C659" s="1" t="s">
        <v>8</v>
      </c>
      <c r="D659" s="1" t="s">
        <v>9</v>
      </c>
      <c r="E659" s="1">
        <v>7</v>
      </c>
      <c r="F659" s="1">
        <v>440.58</v>
      </c>
      <c r="G659" s="1">
        <v>18.04</v>
      </c>
      <c r="H659">
        <f t="shared" si="10"/>
        <v>3084.06</v>
      </c>
    </row>
    <row r="660" spans="1:8" x14ac:dyDescent="0.25">
      <c r="A660" s="1" t="s">
        <v>673</v>
      </c>
      <c r="B660" s="5">
        <v>45685.416666666664</v>
      </c>
      <c r="C660" s="1" t="s">
        <v>11</v>
      </c>
      <c r="D660" s="1" t="s">
        <v>19</v>
      </c>
      <c r="E660" s="1">
        <v>13</v>
      </c>
      <c r="F660" s="1">
        <v>331.98</v>
      </c>
      <c r="G660" s="1">
        <v>15.47</v>
      </c>
      <c r="H660">
        <f t="shared" si="10"/>
        <v>4315.74</v>
      </c>
    </row>
    <row r="661" spans="1:8" x14ac:dyDescent="0.25">
      <c r="A661" s="1" t="s">
        <v>674</v>
      </c>
      <c r="B661" s="5">
        <v>45685.458333333336</v>
      </c>
      <c r="C661" s="1" t="s">
        <v>23</v>
      </c>
      <c r="D661" s="1" t="s">
        <v>19</v>
      </c>
      <c r="E661" s="1">
        <v>13</v>
      </c>
      <c r="F661" s="1">
        <v>295.20999999999998</v>
      </c>
      <c r="G661" s="1">
        <v>46.56</v>
      </c>
      <c r="H661">
        <f t="shared" si="10"/>
        <v>3837.7299999999996</v>
      </c>
    </row>
    <row r="662" spans="1:8" x14ac:dyDescent="0.25">
      <c r="A662" s="1" t="s">
        <v>675</v>
      </c>
      <c r="B662" s="5">
        <v>45685.5</v>
      </c>
      <c r="C662" s="1" t="s">
        <v>11</v>
      </c>
      <c r="D662" s="1" t="s">
        <v>9</v>
      </c>
      <c r="E662" s="1">
        <v>7</v>
      </c>
      <c r="F662" s="1">
        <v>161.1</v>
      </c>
      <c r="G662" s="1">
        <v>38.35</v>
      </c>
      <c r="H662">
        <f t="shared" si="10"/>
        <v>1127.7</v>
      </c>
    </row>
    <row r="663" spans="1:8" x14ac:dyDescent="0.25">
      <c r="A663" s="1" t="s">
        <v>676</v>
      </c>
      <c r="B663" s="5">
        <v>45685.541666666664</v>
      </c>
      <c r="C663" s="1" t="s">
        <v>8</v>
      </c>
      <c r="D663" s="1" t="s">
        <v>16</v>
      </c>
      <c r="E663" s="1">
        <v>10</v>
      </c>
      <c r="F663" s="1">
        <v>30.49</v>
      </c>
      <c r="G663" s="1">
        <v>19.22</v>
      </c>
      <c r="H663">
        <f t="shared" si="10"/>
        <v>304.89999999999998</v>
      </c>
    </row>
    <row r="664" spans="1:8" x14ac:dyDescent="0.25">
      <c r="A664" s="1" t="s">
        <v>677</v>
      </c>
      <c r="B664" s="5">
        <v>45685.583333333336</v>
      </c>
      <c r="C664" s="1" t="s">
        <v>13</v>
      </c>
      <c r="D664" s="1" t="s">
        <v>19</v>
      </c>
      <c r="E664" s="1">
        <v>15</v>
      </c>
      <c r="F664" s="1">
        <v>140.69</v>
      </c>
      <c r="G664" s="1">
        <v>39.35</v>
      </c>
      <c r="H664">
        <f t="shared" si="10"/>
        <v>2110.35</v>
      </c>
    </row>
    <row r="665" spans="1:8" x14ac:dyDescent="0.25">
      <c r="A665" s="1" t="s">
        <v>678</v>
      </c>
      <c r="B665" s="5">
        <v>45685.625</v>
      </c>
      <c r="C665" s="1" t="s">
        <v>23</v>
      </c>
      <c r="D665" s="1" t="s">
        <v>19</v>
      </c>
      <c r="E665" s="1">
        <v>6</v>
      </c>
      <c r="F665" s="1">
        <v>349.39</v>
      </c>
      <c r="G665" s="1">
        <v>6</v>
      </c>
      <c r="H665">
        <f t="shared" si="10"/>
        <v>2096.34</v>
      </c>
    </row>
    <row r="666" spans="1:8" x14ac:dyDescent="0.25">
      <c r="A666" s="1" t="s">
        <v>679</v>
      </c>
      <c r="B666" s="5">
        <v>45685.666666666664</v>
      </c>
      <c r="C666" s="1" t="s">
        <v>13</v>
      </c>
      <c r="D666" s="1" t="s">
        <v>37</v>
      </c>
      <c r="E666" s="1">
        <v>5</v>
      </c>
      <c r="F666" s="1">
        <v>104.69</v>
      </c>
      <c r="G666" s="1">
        <v>28.69</v>
      </c>
      <c r="H666">
        <f t="shared" si="10"/>
        <v>523.45000000000005</v>
      </c>
    </row>
    <row r="667" spans="1:8" x14ac:dyDescent="0.25">
      <c r="A667" s="1" t="s">
        <v>680</v>
      </c>
      <c r="B667" s="5">
        <v>45685.708333333336</v>
      </c>
      <c r="C667" s="1" t="s">
        <v>13</v>
      </c>
      <c r="D667" s="1" t="s">
        <v>16</v>
      </c>
      <c r="E667" s="1">
        <v>2</v>
      </c>
      <c r="F667" s="1">
        <v>324.95</v>
      </c>
      <c r="G667" s="1">
        <v>16.27</v>
      </c>
      <c r="H667">
        <f t="shared" si="10"/>
        <v>649.9</v>
      </c>
    </row>
    <row r="668" spans="1:8" x14ac:dyDescent="0.25">
      <c r="A668" s="1" t="s">
        <v>681</v>
      </c>
      <c r="B668" s="5">
        <v>45685.75</v>
      </c>
      <c r="C668" s="1" t="s">
        <v>23</v>
      </c>
      <c r="D668" s="1" t="s">
        <v>19</v>
      </c>
      <c r="E668" s="1">
        <v>15</v>
      </c>
      <c r="F668" s="1">
        <v>267.41000000000003</v>
      </c>
      <c r="G668" s="1">
        <v>10.14</v>
      </c>
      <c r="H668">
        <f t="shared" si="10"/>
        <v>4011.1500000000005</v>
      </c>
    </row>
    <row r="669" spans="1:8" x14ac:dyDescent="0.25">
      <c r="A669" s="1" t="s">
        <v>682</v>
      </c>
      <c r="B669" s="5">
        <v>45685.791666666664</v>
      </c>
      <c r="C669" s="1" t="s">
        <v>11</v>
      </c>
      <c r="D669" s="1" t="s">
        <v>37</v>
      </c>
      <c r="E669" s="1">
        <v>16</v>
      </c>
      <c r="F669" s="1">
        <v>90.17</v>
      </c>
      <c r="G669" s="1">
        <v>44.77</v>
      </c>
      <c r="H669">
        <f t="shared" si="10"/>
        <v>1442.72</v>
      </c>
    </row>
    <row r="670" spans="1:8" x14ac:dyDescent="0.25">
      <c r="A670" s="1" t="s">
        <v>683</v>
      </c>
      <c r="B670" s="5">
        <v>45685.833333333336</v>
      </c>
      <c r="C670" s="1" t="s">
        <v>13</v>
      </c>
      <c r="D670" s="1" t="s">
        <v>16</v>
      </c>
      <c r="E670" s="1">
        <v>19</v>
      </c>
      <c r="F670" s="1">
        <v>129.18</v>
      </c>
      <c r="G670" s="1">
        <v>13.97</v>
      </c>
      <c r="H670">
        <f t="shared" si="10"/>
        <v>2454.42</v>
      </c>
    </row>
    <row r="671" spans="1:8" x14ac:dyDescent="0.25">
      <c r="A671" s="1" t="s">
        <v>684</v>
      </c>
      <c r="B671" s="5">
        <v>45685.875</v>
      </c>
      <c r="C671" s="1" t="s">
        <v>8</v>
      </c>
      <c r="D671" s="1" t="s">
        <v>9</v>
      </c>
      <c r="E671" s="1">
        <v>9</v>
      </c>
      <c r="F671" s="1">
        <v>231.14</v>
      </c>
      <c r="G671" s="1">
        <v>42.01</v>
      </c>
      <c r="H671">
        <f t="shared" si="10"/>
        <v>2080.2599999999998</v>
      </c>
    </row>
    <row r="672" spans="1:8" x14ac:dyDescent="0.25">
      <c r="A672" s="1" t="s">
        <v>685</v>
      </c>
      <c r="B672" s="5">
        <v>45685.916666666664</v>
      </c>
      <c r="C672" s="1" t="s">
        <v>13</v>
      </c>
      <c r="D672" s="1" t="s">
        <v>9</v>
      </c>
      <c r="E672" s="1">
        <v>19</v>
      </c>
      <c r="F672" s="1">
        <v>197.28</v>
      </c>
      <c r="G672" s="1">
        <v>23.6</v>
      </c>
      <c r="H672">
        <f t="shared" si="10"/>
        <v>3748.32</v>
      </c>
    </row>
    <row r="673" spans="1:8" x14ac:dyDescent="0.25">
      <c r="A673" s="1" t="s">
        <v>686</v>
      </c>
      <c r="B673" s="5">
        <v>45685.958333333336</v>
      </c>
      <c r="C673" s="1" t="s">
        <v>23</v>
      </c>
      <c r="D673" s="1" t="s">
        <v>37</v>
      </c>
      <c r="E673" s="1">
        <v>7</v>
      </c>
      <c r="F673" s="1">
        <v>353.79</v>
      </c>
      <c r="G673" s="1">
        <v>5.64</v>
      </c>
      <c r="H673">
        <f t="shared" si="10"/>
        <v>2476.5300000000002</v>
      </c>
    </row>
    <row r="674" spans="1:8" x14ac:dyDescent="0.25">
      <c r="A674" s="1" t="s">
        <v>687</v>
      </c>
      <c r="B674" s="5">
        <v>45686</v>
      </c>
      <c r="C674" s="1" t="s">
        <v>23</v>
      </c>
      <c r="D674" s="1" t="s">
        <v>9</v>
      </c>
      <c r="E674" s="1">
        <v>4</v>
      </c>
      <c r="F674" s="1">
        <v>334.6</v>
      </c>
      <c r="G674" s="1">
        <v>37.96</v>
      </c>
      <c r="H674">
        <f t="shared" si="10"/>
        <v>1338.4</v>
      </c>
    </row>
    <row r="675" spans="1:8" x14ac:dyDescent="0.25">
      <c r="A675" s="1" t="s">
        <v>688</v>
      </c>
      <c r="B675" s="5">
        <v>45686.041666666664</v>
      </c>
      <c r="C675" s="1" t="s">
        <v>23</v>
      </c>
      <c r="D675" s="1" t="s">
        <v>19</v>
      </c>
      <c r="E675" s="1">
        <v>3</v>
      </c>
      <c r="F675" s="1">
        <v>265.14999999999998</v>
      </c>
      <c r="G675" s="1">
        <v>31.84</v>
      </c>
      <c r="H675">
        <f t="shared" si="10"/>
        <v>795.44999999999993</v>
      </c>
    </row>
    <row r="676" spans="1:8" x14ac:dyDescent="0.25">
      <c r="A676" s="1" t="s">
        <v>689</v>
      </c>
      <c r="B676" s="5">
        <v>45686.083333333336</v>
      </c>
      <c r="C676" s="1" t="s">
        <v>11</v>
      </c>
      <c r="D676" s="1" t="s">
        <v>16</v>
      </c>
      <c r="E676" s="1">
        <v>11</v>
      </c>
      <c r="F676" s="1">
        <v>372.78</v>
      </c>
      <c r="G676" s="1">
        <v>20.49</v>
      </c>
      <c r="H676">
        <f t="shared" si="10"/>
        <v>4100.58</v>
      </c>
    </row>
    <row r="677" spans="1:8" x14ac:dyDescent="0.25">
      <c r="A677" s="1" t="s">
        <v>690</v>
      </c>
      <c r="B677" s="5">
        <v>45686.125</v>
      </c>
      <c r="C677" s="1" t="s">
        <v>13</v>
      </c>
      <c r="D677" s="1" t="s">
        <v>19</v>
      </c>
      <c r="E677" s="1">
        <v>1</v>
      </c>
      <c r="F677" s="1">
        <v>259.98</v>
      </c>
      <c r="G677" s="1">
        <v>17.670000000000002</v>
      </c>
      <c r="H677">
        <f t="shared" si="10"/>
        <v>259.98</v>
      </c>
    </row>
    <row r="678" spans="1:8" x14ac:dyDescent="0.25">
      <c r="A678" s="1" t="s">
        <v>691</v>
      </c>
      <c r="B678" s="5">
        <v>45686.166666666664</v>
      </c>
      <c r="C678" s="1" t="s">
        <v>11</v>
      </c>
      <c r="D678" s="1" t="s">
        <v>19</v>
      </c>
      <c r="E678" s="1">
        <v>6</v>
      </c>
      <c r="F678" s="1">
        <v>434.53</v>
      </c>
      <c r="G678" s="1">
        <v>8.32</v>
      </c>
      <c r="H678">
        <f t="shared" si="10"/>
        <v>2607.1799999999998</v>
      </c>
    </row>
    <row r="679" spans="1:8" x14ac:dyDescent="0.25">
      <c r="A679" s="1" t="s">
        <v>692</v>
      </c>
      <c r="B679" s="5">
        <v>45686.208333333336</v>
      </c>
      <c r="C679" s="1" t="s">
        <v>11</v>
      </c>
      <c r="D679" s="1" t="s">
        <v>9</v>
      </c>
      <c r="E679" s="1">
        <v>11</v>
      </c>
      <c r="F679" s="1">
        <v>109.88</v>
      </c>
      <c r="G679" s="1">
        <v>47.36</v>
      </c>
      <c r="H679">
        <f t="shared" si="10"/>
        <v>1208.6799999999998</v>
      </c>
    </row>
    <row r="680" spans="1:8" x14ac:dyDescent="0.25">
      <c r="A680" s="1" t="s">
        <v>693</v>
      </c>
      <c r="B680" s="5">
        <v>45686.25</v>
      </c>
      <c r="C680" s="1" t="s">
        <v>23</v>
      </c>
      <c r="D680" s="1" t="s">
        <v>19</v>
      </c>
      <c r="E680" s="1">
        <v>1</v>
      </c>
      <c r="F680" s="1">
        <v>325.79000000000002</v>
      </c>
      <c r="G680" s="1">
        <v>27.23</v>
      </c>
      <c r="H680">
        <f t="shared" si="10"/>
        <v>325.79000000000002</v>
      </c>
    </row>
    <row r="681" spans="1:8" x14ac:dyDescent="0.25">
      <c r="A681" s="1" t="s">
        <v>694</v>
      </c>
      <c r="B681" s="5">
        <v>45686.291666666664</v>
      </c>
      <c r="C681" s="1" t="s">
        <v>23</v>
      </c>
      <c r="D681" s="1" t="s">
        <v>9</v>
      </c>
      <c r="E681" s="1">
        <v>7</v>
      </c>
      <c r="F681" s="1">
        <v>176.24</v>
      </c>
      <c r="G681" s="1">
        <v>8.85</v>
      </c>
      <c r="H681">
        <f t="shared" si="10"/>
        <v>1233.68</v>
      </c>
    </row>
    <row r="682" spans="1:8" x14ac:dyDescent="0.25">
      <c r="A682" s="1" t="s">
        <v>695</v>
      </c>
      <c r="B682" s="5">
        <v>45686.333333333336</v>
      </c>
      <c r="C682" s="1" t="s">
        <v>11</v>
      </c>
      <c r="D682" s="1" t="s">
        <v>16</v>
      </c>
      <c r="E682" s="1">
        <v>6</v>
      </c>
      <c r="F682" s="1">
        <v>136.71</v>
      </c>
      <c r="G682" s="1">
        <v>44.09</v>
      </c>
      <c r="H682">
        <f t="shared" si="10"/>
        <v>820.26</v>
      </c>
    </row>
    <row r="683" spans="1:8" x14ac:dyDescent="0.25">
      <c r="A683" s="1" t="s">
        <v>696</v>
      </c>
      <c r="B683" s="5">
        <v>45686.375</v>
      </c>
      <c r="C683" s="1" t="s">
        <v>13</v>
      </c>
      <c r="D683" s="1" t="s">
        <v>16</v>
      </c>
      <c r="E683" s="1">
        <v>14</v>
      </c>
      <c r="F683" s="1">
        <v>93.88</v>
      </c>
      <c r="G683" s="1">
        <v>17.55</v>
      </c>
      <c r="H683">
        <f t="shared" si="10"/>
        <v>1314.32</v>
      </c>
    </row>
    <row r="684" spans="1:8" x14ac:dyDescent="0.25">
      <c r="A684" s="1" t="s">
        <v>697</v>
      </c>
      <c r="B684" s="5">
        <v>45686.416666666664</v>
      </c>
      <c r="C684" s="1" t="s">
        <v>8</v>
      </c>
      <c r="D684" s="1" t="s">
        <v>19</v>
      </c>
      <c r="E684" s="1">
        <v>2</v>
      </c>
      <c r="F684" s="1">
        <v>255.56</v>
      </c>
      <c r="G684" s="1">
        <v>14.16</v>
      </c>
      <c r="H684">
        <f t="shared" si="10"/>
        <v>511.12</v>
      </c>
    </row>
    <row r="685" spans="1:8" x14ac:dyDescent="0.25">
      <c r="A685" s="1" t="s">
        <v>698</v>
      </c>
      <c r="B685" s="5">
        <v>45686.458333333336</v>
      </c>
      <c r="C685" s="1" t="s">
        <v>11</v>
      </c>
      <c r="D685" s="1" t="s">
        <v>37</v>
      </c>
      <c r="E685" s="1">
        <v>4</v>
      </c>
      <c r="F685" s="1">
        <v>109.12</v>
      </c>
      <c r="G685" s="1">
        <v>17.64</v>
      </c>
      <c r="H685">
        <f t="shared" si="10"/>
        <v>436.48</v>
      </c>
    </row>
    <row r="686" spans="1:8" x14ac:dyDescent="0.25">
      <c r="A686" s="1" t="s">
        <v>699</v>
      </c>
      <c r="B686" s="5">
        <v>45686.5</v>
      </c>
      <c r="C686" s="1" t="s">
        <v>13</v>
      </c>
      <c r="D686" s="1" t="s">
        <v>9</v>
      </c>
      <c r="E686" s="1">
        <v>11</v>
      </c>
      <c r="F686" s="1">
        <v>102.55</v>
      </c>
      <c r="G686" s="1">
        <v>30.41</v>
      </c>
      <c r="H686">
        <f t="shared" si="10"/>
        <v>1128.05</v>
      </c>
    </row>
    <row r="687" spans="1:8" x14ac:dyDescent="0.25">
      <c r="A687" s="1" t="s">
        <v>700</v>
      </c>
      <c r="B687" s="5">
        <v>45686.541666666664</v>
      </c>
      <c r="C687" s="1" t="s">
        <v>23</v>
      </c>
      <c r="D687" s="1" t="s">
        <v>9</v>
      </c>
      <c r="E687" s="1">
        <v>15</v>
      </c>
      <c r="F687" s="1">
        <v>445.89</v>
      </c>
      <c r="G687" s="1">
        <v>8.33</v>
      </c>
      <c r="H687">
        <f t="shared" si="10"/>
        <v>6688.3499999999995</v>
      </c>
    </row>
    <row r="688" spans="1:8" x14ac:dyDescent="0.25">
      <c r="A688" s="1" t="s">
        <v>701</v>
      </c>
      <c r="B688" s="5">
        <v>45686.583333333336</v>
      </c>
      <c r="C688" s="1" t="s">
        <v>23</v>
      </c>
      <c r="D688" s="1" t="s">
        <v>19</v>
      </c>
      <c r="E688" s="1">
        <v>18</v>
      </c>
      <c r="F688" s="1">
        <v>363.86</v>
      </c>
      <c r="G688" s="1">
        <v>26.68</v>
      </c>
      <c r="H688">
        <f t="shared" si="10"/>
        <v>6549.4800000000005</v>
      </c>
    </row>
    <row r="689" spans="1:8" x14ac:dyDescent="0.25">
      <c r="A689" s="1" t="s">
        <v>702</v>
      </c>
      <c r="B689" s="5">
        <v>45686.625</v>
      </c>
      <c r="C689" s="1" t="s">
        <v>13</v>
      </c>
      <c r="D689" s="1" t="s">
        <v>9</v>
      </c>
      <c r="E689" s="1">
        <v>1</v>
      </c>
      <c r="F689" s="1">
        <v>340.63</v>
      </c>
      <c r="G689" s="1">
        <v>45.31</v>
      </c>
      <c r="H689">
        <f t="shared" si="10"/>
        <v>340.63</v>
      </c>
    </row>
    <row r="690" spans="1:8" x14ac:dyDescent="0.25">
      <c r="A690" s="1" t="s">
        <v>703</v>
      </c>
      <c r="B690" s="5">
        <v>45686.666666666664</v>
      </c>
      <c r="C690" s="1" t="s">
        <v>8</v>
      </c>
      <c r="D690" s="1" t="s">
        <v>9</v>
      </c>
      <c r="E690" s="1">
        <v>3</v>
      </c>
      <c r="F690" s="1">
        <v>360.52</v>
      </c>
      <c r="G690" s="1">
        <v>13.47</v>
      </c>
      <c r="H690">
        <f t="shared" si="10"/>
        <v>1081.56</v>
      </c>
    </row>
    <row r="691" spans="1:8" x14ac:dyDescent="0.25">
      <c r="A691" s="1" t="s">
        <v>704</v>
      </c>
      <c r="B691" s="5">
        <v>45686.708333333336</v>
      </c>
      <c r="C691" s="1" t="s">
        <v>23</v>
      </c>
      <c r="D691" s="1" t="s">
        <v>37</v>
      </c>
      <c r="E691" s="1">
        <v>3</v>
      </c>
      <c r="F691" s="1">
        <v>436.5</v>
      </c>
      <c r="G691" s="1">
        <v>19.899999999999999</v>
      </c>
      <c r="H691">
        <f t="shared" si="10"/>
        <v>1309.5</v>
      </c>
    </row>
    <row r="692" spans="1:8" x14ac:dyDescent="0.25">
      <c r="A692" s="1" t="s">
        <v>705</v>
      </c>
      <c r="B692" s="5">
        <v>45686.75</v>
      </c>
      <c r="C692" s="1" t="s">
        <v>23</v>
      </c>
      <c r="D692" s="1" t="s">
        <v>37</v>
      </c>
      <c r="E692" s="1">
        <v>7</v>
      </c>
      <c r="F692" s="1">
        <v>264.58999999999997</v>
      </c>
      <c r="G692" s="1">
        <v>22.83</v>
      </c>
      <c r="H692">
        <f t="shared" si="10"/>
        <v>1852.1299999999999</v>
      </c>
    </row>
    <row r="693" spans="1:8" x14ac:dyDescent="0.25">
      <c r="A693" s="1" t="s">
        <v>706</v>
      </c>
      <c r="B693" s="5">
        <v>45686.791666666664</v>
      </c>
      <c r="C693" s="1" t="s">
        <v>23</v>
      </c>
      <c r="D693" s="1" t="s">
        <v>19</v>
      </c>
      <c r="E693" s="1">
        <v>1</v>
      </c>
      <c r="F693" s="1">
        <v>111.2</v>
      </c>
      <c r="G693" s="1">
        <v>31.38</v>
      </c>
      <c r="H693">
        <f t="shared" si="10"/>
        <v>111.2</v>
      </c>
    </row>
    <row r="694" spans="1:8" x14ac:dyDescent="0.25">
      <c r="A694" s="1" t="s">
        <v>707</v>
      </c>
      <c r="B694" s="5">
        <v>45686.833333333336</v>
      </c>
      <c r="C694" s="1" t="s">
        <v>13</v>
      </c>
      <c r="D694" s="1" t="s">
        <v>37</v>
      </c>
      <c r="E694" s="1">
        <v>11</v>
      </c>
      <c r="F694" s="1">
        <v>390.13</v>
      </c>
      <c r="G694" s="1">
        <v>46.37</v>
      </c>
      <c r="H694">
        <f t="shared" si="10"/>
        <v>4291.43</v>
      </c>
    </row>
    <row r="695" spans="1:8" x14ac:dyDescent="0.25">
      <c r="A695" s="1" t="s">
        <v>708</v>
      </c>
      <c r="B695" s="5">
        <v>45686.875</v>
      </c>
      <c r="C695" s="1" t="s">
        <v>11</v>
      </c>
      <c r="D695" s="1" t="s">
        <v>19</v>
      </c>
      <c r="E695" s="1">
        <v>6</v>
      </c>
      <c r="F695" s="1">
        <v>338.22</v>
      </c>
      <c r="G695" s="1">
        <v>22.75</v>
      </c>
      <c r="H695">
        <f t="shared" si="10"/>
        <v>2029.3200000000002</v>
      </c>
    </row>
    <row r="696" spans="1:8" x14ac:dyDescent="0.25">
      <c r="A696" s="1" t="s">
        <v>709</v>
      </c>
      <c r="B696" s="5">
        <v>45686.916666666664</v>
      </c>
      <c r="C696" s="1" t="s">
        <v>23</v>
      </c>
      <c r="D696" s="1" t="s">
        <v>16</v>
      </c>
      <c r="E696" s="1">
        <v>3</v>
      </c>
      <c r="F696" s="1">
        <v>195.52</v>
      </c>
      <c r="G696" s="1">
        <v>8.11</v>
      </c>
      <c r="H696">
        <f t="shared" si="10"/>
        <v>586.56000000000006</v>
      </c>
    </row>
    <row r="697" spans="1:8" x14ac:dyDescent="0.25">
      <c r="A697" s="1" t="s">
        <v>710</v>
      </c>
      <c r="B697" s="5">
        <v>45686.958333333336</v>
      </c>
      <c r="C697" s="1" t="s">
        <v>11</v>
      </c>
      <c r="D697" s="1" t="s">
        <v>19</v>
      </c>
      <c r="E697" s="1">
        <v>19</v>
      </c>
      <c r="F697" s="1">
        <v>221.27</v>
      </c>
      <c r="G697" s="1">
        <v>20.66</v>
      </c>
      <c r="H697">
        <f t="shared" si="10"/>
        <v>4204.13</v>
      </c>
    </row>
    <row r="698" spans="1:8" x14ac:dyDescent="0.25">
      <c r="A698" s="1" t="s">
        <v>711</v>
      </c>
      <c r="B698" s="5">
        <v>45687</v>
      </c>
      <c r="C698" s="1" t="s">
        <v>8</v>
      </c>
      <c r="D698" s="1" t="s">
        <v>16</v>
      </c>
      <c r="E698" s="1">
        <v>2</v>
      </c>
      <c r="F698" s="1">
        <v>194.19</v>
      </c>
      <c r="G698" s="1">
        <v>13.55</v>
      </c>
      <c r="H698">
        <f t="shared" si="10"/>
        <v>388.38</v>
      </c>
    </row>
    <row r="699" spans="1:8" x14ac:dyDescent="0.25">
      <c r="A699" s="1" t="s">
        <v>712</v>
      </c>
      <c r="B699" s="5">
        <v>45687.041666666664</v>
      </c>
      <c r="C699" s="1" t="s">
        <v>23</v>
      </c>
      <c r="D699" s="1" t="s">
        <v>19</v>
      </c>
      <c r="E699" s="1">
        <v>18</v>
      </c>
      <c r="F699" s="1">
        <v>419.56</v>
      </c>
      <c r="G699" s="1">
        <v>34.33</v>
      </c>
      <c r="H699">
        <f t="shared" si="10"/>
        <v>7552.08</v>
      </c>
    </row>
    <row r="700" spans="1:8" x14ac:dyDescent="0.25">
      <c r="A700" s="1" t="s">
        <v>713</v>
      </c>
      <c r="B700" s="5">
        <v>45687.083333333336</v>
      </c>
      <c r="C700" s="1" t="s">
        <v>23</v>
      </c>
      <c r="D700" s="1" t="s">
        <v>9</v>
      </c>
      <c r="E700" s="1">
        <v>12</v>
      </c>
      <c r="F700" s="1">
        <v>164.76</v>
      </c>
      <c r="G700" s="1">
        <v>6.32</v>
      </c>
      <c r="H700">
        <f t="shared" si="10"/>
        <v>1977.12</v>
      </c>
    </row>
    <row r="701" spans="1:8" x14ac:dyDescent="0.25">
      <c r="A701" s="1" t="s">
        <v>714</v>
      </c>
      <c r="B701" s="5">
        <v>45687.125</v>
      </c>
      <c r="C701" s="1" t="s">
        <v>8</v>
      </c>
      <c r="D701" s="1" t="s">
        <v>37</v>
      </c>
      <c r="E701" s="1">
        <v>10</v>
      </c>
      <c r="F701" s="1">
        <v>434.13</v>
      </c>
      <c r="G701" s="1">
        <v>18.14</v>
      </c>
      <c r="H701">
        <f t="shared" si="10"/>
        <v>4341.3</v>
      </c>
    </row>
    <row r="702" spans="1:8" x14ac:dyDescent="0.25">
      <c r="A702" s="1" t="s">
        <v>715</v>
      </c>
      <c r="B702" s="5">
        <v>45687.166666666664</v>
      </c>
      <c r="C702" s="1" t="s">
        <v>23</v>
      </c>
      <c r="D702" s="1" t="s">
        <v>16</v>
      </c>
      <c r="E702" s="1">
        <v>5</v>
      </c>
      <c r="F702" s="1">
        <v>411.01</v>
      </c>
      <c r="G702" s="1">
        <v>29.53</v>
      </c>
      <c r="H702">
        <f t="shared" si="10"/>
        <v>2055.0500000000002</v>
      </c>
    </row>
    <row r="703" spans="1:8" x14ac:dyDescent="0.25">
      <c r="A703" s="1" t="s">
        <v>716</v>
      </c>
      <c r="B703" s="5">
        <v>45687.208333333336</v>
      </c>
      <c r="C703" s="1" t="s">
        <v>11</v>
      </c>
      <c r="D703" s="1" t="s">
        <v>19</v>
      </c>
      <c r="E703" s="1">
        <v>9</v>
      </c>
      <c r="F703" s="1">
        <v>289.45999999999998</v>
      </c>
      <c r="G703" s="1">
        <v>17.48</v>
      </c>
      <c r="H703">
        <f t="shared" si="10"/>
        <v>2605.14</v>
      </c>
    </row>
    <row r="704" spans="1:8" x14ac:dyDescent="0.25">
      <c r="A704" s="1" t="s">
        <v>717</v>
      </c>
      <c r="B704" s="5">
        <v>45687.25</v>
      </c>
      <c r="C704" s="1" t="s">
        <v>13</v>
      </c>
      <c r="D704" s="1" t="s">
        <v>37</v>
      </c>
      <c r="E704" s="1">
        <v>2</v>
      </c>
      <c r="F704" s="1">
        <v>267.43</v>
      </c>
      <c r="G704" s="1">
        <v>29.79</v>
      </c>
      <c r="H704">
        <f t="shared" si="10"/>
        <v>534.86</v>
      </c>
    </row>
    <row r="705" spans="1:8" x14ac:dyDescent="0.25">
      <c r="A705" s="1" t="s">
        <v>718</v>
      </c>
      <c r="B705" s="5">
        <v>45687.291666666664</v>
      </c>
      <c r="C705" s="1" t="s">
        <v>11</v>
      </c>
      <c r="D705" s="1" t="s">
        <v>19</v>
      </c>
      <c r="E705" s="1">
        <v>2</v>
      </c>
      <c r="F705" s="1">
        <v>176.3</v>
      </c>
      <c r="G705" s="1">
        <v>10.16</v>
      </c>
      <c r="H705">
        <f t="shared" si="10"/>
        <v>352.6</v>
      </c>
    </row>
    <row r="706" spans="1:8" x14ac:dyDescent="0.25">
      <c r="A706" s="1" t="s">
        <v>719</v>
      </c>
      <c r="B706" s="5">
        <v>45687.333333333336</v>
      </c>
      <c r="C706" s="1" t="s">
        <v>13</v>
      </c>
      <c r="D706" s="1" t="s">
        <v>37</v>
      </c>
      <c r="E706" s="1">
        <v>6</v>
      </c>
      <c r="F706" s="1">
        <v>23.47</v>
      </c>
      <c r="G706" s="1">
        <v>47.43</v>
      </c>
      <c r="H706">
        <f t="shared" ref="H706:H769" si="11">E706*F706</f>
        <v>140.82</v>
      </c>
    </row>
    <row r="707" spans="1:8" x14ac:dyDescent="0.25">
      <c r="A707" s="1" t="s">
        <v>720</v>
      </c>
      <c r="B707" s="5">
        <v>45687.375</v>
      </c>
      <c r="C707" s="1" t="s">
        <v>13</v>
      </c>
      <c r="D707" s="1" t="s">
        <v>37</v>
      </c>
      <c r="E707" s="1">
        <v>10</v>
      </c>
      <c r="F707" s="1">
        <v>70.95</v>
      </c>
      <c r="G707" s="1">
        <v>18.09</v>
      </c>
      <c r="H707">
        <f t="shared" si="11"/>
        <v>709.5</v>
      </c>
    </row>
    <row r="708" spans="1:8" x14ac:dyDescent="0.25">
      <c r="A708" s="1" t="s">
        <v>721</v>
      </c>
      <c r="B708" s="5">
        <v>45687.416666666664</v>
      </c>
      <c r="C708" s="1" t="s">
        <v>11</v>
      </c>
      <c r="D708" s="1" t="s">
        <v>19</v>
      </c>
      <c r="E708" s="1">
        <v>18</v>
      </c>
      <c r="F708" s="1">
        <v>343.21</v>
      </c>
      <c r="G708" s="1">
        <v>46.54</v>
      </c>
      <c r="H708">
        <f t="shared" si="11"/>
        <v>6177.78</v>
      </c>
    </row>
    <row r="709" spans="1:8" x14ac:dyDescent="0.25">
      <c r="A709" s="1" t="s">
        <v>722</v>
      </c>
      <c r="B709" s="5">
        <v>45687.458333333336</v>
      </c>
      <c r="C709" s="1" t="s">
        <v>11</v>
      </c>
      <c r="D709" s="1" t="s">
        <v>16</v>
      </c>
      <c r="E709" s="1">
        <v>12</v>
      </c>
      <c r="F709" s="1">
        <v>220.38</v>
      </c>
      <c r="G709" s="1">
        <v>19.66</v>
      </c>
      <c r="H709">
        <f t="shared" si="11"/>
        <v>2644.56</v>
      </c>
    </row>
    <row r="710" spans="1:8" x14ac:dyDescent="0.25">
      <c r="A710" s="1" t="s">
        <v>723</v>
      </c>
      <c r="B710" s="5">
        <v>45687.5</v>
      </c>
      <c r="C710" s="1" t="s">
        <v>11</v>
      </c>
      <c r="D710" s="1" t="s">
        <v>16</v>
      </c>
      <c r="E710" s="1">
        <v>4</v>
      </c>
      <c r="F710" s="1">
        <v>80.599999999999994</v>
      </c>
      <c r="G710" s="1">
        <v>40.18</v>
      </c>
      <c r="H710">
        <f t="shared" si="11"/>
        <v>322.39999999999998</v>
      </c>
    </row>
    <row r="711" spans="1:8" x14ac:dyDescent="0.25">
      <c r="A711" s="1" t="s">
        <v>724</v>
      </c>
      <c r="B711" s="5">
        <v>45687.541666666664</v>
      </c>
      <c r="C711" s="1" t="s">
        <v>11</v>
      </c>
      <c r="D711" s="1" t="s">
        <v>9</v>
      </c>
      <c r="E711" s="1">
        <v>17</v>
      </c>
      <c r="F711" s="1">
        <v>130.19</v>
      </c>
      <c r="G711" s="1">
        <v>16.079999999999998</v>
      </c>
      <c r="H711">
        <f t="shared" si="11"/>
        <v>2213.23</v>
      </c>
    </row>
    <row r="712" spans="1:8" x14ac:dyDescent="0.25">
      <c r="A712" s="1" t="s">
        <v>725</v>
      </c>
      <c r="B712" s="5">
        <v>45687.583333333336</v>
      </c>
      <c r="C712" s="1" t="s">
        <v>8</v>
      </c>
      <c r="D712" s="1" t="s">
        <v>37</v>
      </c>
      <c r="E712" s="1">
        <v>15</v>
      </c>
      <c r="F712" s="1">
        <v>427.34</v>
      </c>
      <c r="G712" s="1">
        <v>35.14</v>
      </c>
      <c r="H712">
        <f t="shared" si="11"/>
        <v>6410.0999999999995</v>
      </c>
    </row>
    <row r="713" spans="1:8" x14ac:dyDescent="0.25">
      <c r="A713" s="1" t="s">
        <v>726</v>
      </c>
      <c r="B713" s="5">
        <v>45687.625</v>
      </c>
      <c r="C713" s="1" t="s">
        <v>23</v>
      </c>
      <c r="D713" s="1" t="s">
        <v>9</v>
      </c>
      <c r="E713" s="1">
        <v>6</v>
      </c>
      <c r="F713" s="1">
        <v>175.02</v>
      </c>
      <c r="G713" s="1">
        <v>19.57</v>
      </c>
      <c r="H713">
        <f t="shared" si="11"/>
        <v>1050.1200000000001</v>
      </c>
    </row>
    <row r="714" spans="1:8" x14ac:dyDescent="0.25">
      <c r="A714" s="1" t="s">
        <v>727</v>
      </c>
      <c r="B714" s="5">
        <v>45687.666666666664</v>
      </c>
      <c r="C714" s="1" t="s">
        <v>13</v>
      </c>
      <c r="D714" s="1" t="s">
        <v>9</v>
      </c>
      <c r="E714" s="1">
        <v>16</v>
      </c>
      <c r="F714" s="1">
        <v>409.89</v>
      </c>
      <c r="G714" s="1">
        <v>27.91</v>
      </c>
      <c r="H714">
        <f t="shared" si="11"/>
        <v>6558.24</v>
      </c>
    </row>
    <row r="715" spans="1:8" x14ac:dyDescent="0.25">
      <c r="A715" s="1" t="s">
        <v>728</v>
      </c>
      <c r="B715" s="5">
        <v>45687.708333333336</v>
      </c>
      <c r="C715" s="1" t="s">
        <v>11</v>
      </c>
      <c r="D715" s="1" t="s">
        <v>19</v>
      </c>
      <c r="E715" s="1">
        <v>17</v>
      </c>
      <c r="F715" s="1">
        <v>147.86000000000001</v>
      </c>
      <c r="G715" s="1">
        <v>35.32</v>
      </c>
      <c r="H715">
        <f t="shared" si="11"/>
        <v>2513.6200000000003</v>
      </c>
    </row>
    <row r="716" spans="1:8" x14ac:dyDescent="0.25">
      <c r="A716" s="1" t="s">
        <v>729</v>
      </c>
      <c r="B716" s="5">
        <v>45687.75</v>
      </c>
      <c r="C716" s="1" t="s">
        <v>11</v>
      </c>
      <c r="D716" s="1" t="s">
        <v>19</v>
      </c>
      <c r="E716" s="1">
        <v>3</v>
      </c>
      <c r="F716" s="1">
        <v>251.53</v>
      </c>
      <c r="G716" s="1">
        <v>31.5</v>
      </c>
      <c r="H716">
        <f t="shared" si="11"/>
        <v>754.59</v>
      </c>
    </row>
    <row r="717" spans="1:8" x14ac:dyDescent="0.25">
      <c r="A717" s="1" t="s">
        <v>730</v>
      </c>
      <c r="B717" s="5">
        <v>45687.791666666664</v>
      </c>
      <c r="C717" s="1" t="s">
        <v>11</v>
      </c>
      <c r="D717" s="1" t="s">
        <v>19</v>
      </c>
      <c r="E717" s="1">
        <v>10</v>
      </c>
      <c r="F717" s="1">
        <v>24.4</v>
      </c>
      <c r="G717" s="1">
        <v>30.93</v>
      </c>
      <c r="H717">
        <f t="shared" si="11"/>
        <v>244</v>
      </c>
    </row>
    <row r="718" spans="1:8" x14ac:dyDescent="0.25">
      <c r="A718" s="1" t="s">
        <v>731</v>
      </c>
      <c r="B718" s="5">
        <v>45687.833333333336</v>
      </c>
      <c r="C718" s="1" t="s">
        <v>8</v>
      </c>
      <c r="D718" s="1" t="s">
        <v>37</v>
      </c>
      <c r="E718" s="1">
        <v>5</v>
      </c>
      <c r="F718" s="1">
        <v>242.25</v>
      </c>
      <c r="G718" s="1">
        <v>7.96</v>
      </c>
      <c r="H718">
        <f t="shared" si="11"/>
        <v>1211.25</v>
      </c>
    </row>
    <row r="719" spans="1:8" x14ac:dyDescent="0.25">
      <c r="A719" s="1" t="s">
        <v>732</v>
      </c>
      <c r="B719" s="5">
        <v>45687.875</v>
      </c>
      <c r="C719" s="1" t="s">
        <v>11</v>
      </c>
      <c r="D719" s="1" t="s">
        <v>19</v>
      </c>
      <c r="E719" s="1">
        <v>14</v>
      </c>
      <c r="F719" s="1">
        <v>292.25</v>
      </c>
      <c r="G719" s="1">
        <v>16.21</v>
      </c>
      <c r="H719">
        <f t="shared" si="11"/>
        <v>4091.5</v>
      </c>
    </row>
    <row r="720" spans="1:8" x14ac:dyDescent="0.25">
      <c r="A720" s="1" t="s">
        <v>733</v>
      </c>
      <c r="B720" s="5">
        <v>45687.916666666664</v>
      </c>
      <c r="C720" s="1" t="s">
        <v>11</v>
      </c>
      <c r="D720" s="1" t="s">
        <v>19</v>
      </c>
      <c r="E720" s="1">
        <v>13</v>
      </c>
      <c r="F720" s="1">
        <v>117.31</v>
      </c>
      <c r="G720" s="1">
        <v>30.73</v>
      </c>
      <c r="H720">
        <f t="shared" si="11"/>
        <v>1525.03</v>
      </c>
    </row>
    <row r="721" spans="1:8" x14ac:dyDescent="0.25">
      <c r="A721" s="1" t="s">
        <v>734</v>
      </c>
      <c r="B721" s="5">
        <v>45687.958333333336</v>
      </c>
      <c r="C721" s="1" t="s">
        <v>11</v>
      </c>
      <c r="D721" s="1" t="s">
        <v>37</v>
      </c>
      <c r="E721" s="1">
        <v>6</v>
      </c>
      <c r="F721" s="1">
        <v>267.05</v>
      </c>
      <c r="G721" s="1">
        <v>5.82</v>
      </c>
      <c r="H721">
        <f t="shared" si="11"/>
        <v>1602.3000000000002</v>
      </c>
    </row>
    <row r="722" spans="1:8" x14ac:dyDescent="0.25">
      <c r="A722" s="1" t="s">
        <v>735</v>
      </c>
      <c r="B722" s="5">
        <v>45688</v>
      </c>
      <c r="C722" s="1" t="s">
        <v>23</v>
      </c>
      <c r="D722" s="1" t="s">
        <v>37</v>
      </c>
      <c r="E722" s="1">
        <v>12</v>
      </c>
      <c r="F722" s="1">
        <v>296.69</v>
      </c>
      <c r="G722" s="1">
        <v>16.28</v>
      </c>
      <c r="H722">
        <f t="shared" si="11"/>
        <v>3560.2799999999997</v>
      </c>
    </row>
    <row r="723" spans="1:8" x14ac:dyDescent="0.25">
      <c r="A723" s="1" t="s">
        <v>736</v>
      </c>
      <c r="B723" s="5">
        <v>45688.041666666664</v>
      </c>
      <c r="C723" s="1" t="s">
        <v>8</v>
      </c>
      <c r="D723" s="1" t="s">
        <v>16</v>
      </c>
      <c r="E723" s="1">
        <v>8</v>
      </c>
      <c r="F723" s="1">
        <v>313.95</v>
      </c>
      <c r="G723" s="1">
        <v>15.31</v>
      </c>
      <c r="H723">
        <f t="shared" si="11"/>
        <v>2511.6</v>
      </c>
    </row>
    <row r="724" spans="1:8" x14ac:dyDescent="0.25">
      <c r="A724" s="1" t="s">
        <v>737</v>
      </c>
      <c r="B724" s="5">
        <v>45688.083333333336</v>
      </c>
      <c r="C724" s="1" t="s">
        <v>11</v>
      </c>
      <c r="D724" s="1" t="s">
        <v>19</v>
      </c>
      <c r="E724" s="1">
        <v>5</v>
      </c>
      <c r="F724" s="1">
        <v>352.85</v>
      </c>
      <c r="G724" s="1">
        <v>16.239999999999998</v>
      </c>
      <c r="H724">
        <f t="shared" si="11"/>
        <v>1764.25</v>
      </c>
    </row>
    <row r="725" spans="1:8" x14ac:dyDescent="0.25">
      <c r="A725" s="1" t="s">
        <v>738</v>
      </c>
      <c r="B725" s="5">
        <v>45688.125</v>
      </c>
      <c r="C725" s="1" t="s">
        <v>13</v>
      </c>
      <c r="D725" s="1" t="s">
        <v>19</v>
      </c>
      <c r="E725" s="1">
        <v>15</v>
      </c>
      <c r="F725" s="1">
        <v>150.78</v>
      </c>
      <c r="G725" s="1">
        <v>29.1</v>
      </c>
      <c r="H725">
        <f t="shared" si="11"/>
        <v>2261.6999999999998</v>
      </c>
    </row>
    <row r="726" spans="1:8" x14ac:dyDescent="0.25">
      <c r="A726" s="1" t="s">
        <v>739</v>
      </c>
      <c r="B726" s="5">
        <v>45688.166666666664</v>
      </c>
      <c r="C726" s="1" t="s">
        <v>13</v>
      </c>
      <c r="D726" s="1" t="s">
        <v>19</v>
      </c>
      <c r="E726" s="1">
        <v>16</v>
      </c>
      <c r="F726" s="1">
        <v>262.2</v>
      </c>
      <c r="G726" s="1">
        <v>31.19</v>
      </c>
      <c r="H726">
        <f t="shared" si="11"/>
        <v>4195.2</v>
      </c>
    </row>
    <row r="727" spans="1:8" x14ac:dyDescent="0.25">
      <c r="A727" s="1" t="s">
        <v>740</v>
      </c>
      <c r="B727" s="5">
        <v>45688.208333333336</v>
      </c>
      <c r="C727" s="1" t="s">
        <v>13</v>
      </c>
      <c r="D727" s="1" t="s">
        <v>16</v>
      </c>
      <c r="E727" s="1">
        <v>1</v>
      </c>
      <c r="F727" s="1">
        <v>442</v>
      </c>
      <c r="G727" s="1">
        <v>45.9</v>
      </c>
      <c r="H727">
        <f t="shared" si="11"/>
        <v>442</v>
      </c>
    </row>
    <row r="728" spans="1:8" x14ac:dyDescent="0.25">
      <c r="A728" s="1" t="s">
        <v>741</v>
      </c>
      <c r="B728" s="5">
        <v>45688.25</v>
      </c>
      <c r="C728" s="1" t="s">
        <v>8</v>
      </c>
      <c r="D728" s="1" t="s">
        <v>19</v>
      </c>
      <c r="E728" s="1">
        <v>16</v>
      </c>
      <c r="F728" s="1">
        <v>405.74</v>
      </c>
      <c r="G728" s="1">
        <v>22.37</v>
      </c>
      <c r="H728">
        <f t="shared" si="11"/>
        <v>6491.84</v>
      </c>
    </row>
    <row r="729" spans="1:8" x14ac:dyDescent="0.25">
      <c r="A729" s="1" t="s">
        <v>742</v>
      </c>
      <c r="B729" s="5">
        <v>45688.291666666664</v>
      </c>
      <c r="C729" s="1" t="s">
        <v>8</v>
      </c>
      <c r="D729" s="1" t="s">
        <v>16</v>
      </c>
      <c r="E729" s="1">
        <v>5</v>
      </c>
      <c r="F729" s="1">
        <v>429.43</v>
      </c>
      <c r="G729" s="1">
        <v>46.7</v>
      </c>
      <c r="H729">
        <f t="shared" si="11"/>
        <v>2147.15</v>
      </c>
    </row>
    <row r="730" spans="1:8" x14ac:dyDescent="0.25">
      <c r="A730" s="1" t="s">
        <v>743</v>
      </c>
      <c r="B730" s="5">
        <v>45688.333333333336</v>
      </c>
      <c r="C730" s="1" t="s">
        <v>13</v>
      </c>
      <c r="D730" s="1" t="s">
        <v>9</v>
      </c>
      <c r="E730" s="1">
        <v>3</v>
      </c>
      <c r="F730" s="1">
        <v>183.28</v>
      </c>
      <c r="G730" s="1">
        <v>34.340000000000003</v>
      </c>
      <c r="H730">
        <f t="shared" si="11"/>
        <v>549.84</v>
      </c>
    </row>
    <row r="731" spans="1:8" x14ac:dyDescent="0.25">
      <c r="A731" s="1" t="s">
        <v>744</v>
      </c>
      <c r="B731" s="5">
        <v>45688.375</v>
      </c>
      <c r="C731" s="1" t="s">
        <v>11</v>
      </c>
      <c r="D731" s="1" t="s">
        <v>16</v>
      </c>
      <c r="E731" s="1">
        <v>15</v>
      </c>
      <c r="F731" s="1">
        <v>357.42</v>
      </c>
      <c r="G731" s="1">
        <v>46.07</v>
      </c>
      <c r="H731">
        <f t="shared" si="11"/>
        <v>5361.3</v>
      </c>
    </row>
    <row r="732" spans="1:8" x14ac:dyDescent="0.25">
      <c r="A732" s="1" t="s">
        <v>745</v>
      </c>
      <c r="B732" s="5">
        <v>45688.416666666664</v>
      </c>
      <c r="C732" s="1" t="s">
        <v>8</v>
      </c>
      <c r="D732" s="1" t="s">
        <v>9</v>
      </c>
      <c r="E732" s="1">
        <v>13</v>
      </c>
      <c r="F732" s="1">
        <v>284.85000000000002</v>
      </c>
      <c r="G732" s="1">
        <v>42.51</v>
      </c>
      <c r="H732">
        <f t="shared" si="11"/>
        <v>3703.05</v>
      </c>
    </row>
    <row r="733" spans="1:8" x14ac:dyDescent="0.25">
      <c r="A733" s="1" t="s">
        <v>746</v>
      </c>
      <c r="B733" s="5">
        <v>45688.458333333336</v>
      </c>
      <c r="C733" s="1" t="s">
        <v>13</v>
      </c>
      <c r="D733" s="1" t="s">
        <v>19</v>
      </c>
      <c r="E733" s="1">
        <v>16</v>
      </c>
      <c r="F733" s="1">
        <v>51.45</v>
      </c>
      <c r="G733" s="1">
        <v>35.94</v>
      </c>
      <c r="H733">
        <f t="shared" si="11"/>
        <v>823.2</v>
      </c>
    </row>
    <row r="734" spans="1:8" x14ac:dyDescent="0.25">
      <c r="A734" s="1" t="s">
        <v>747</v>
      </c>
      <c r="B734" s="5">
        <v>45688.5</v>
      </c>
      <c r="C734" s="1" t="s">
        <v>13</v>
      </c>
      <c r="D734" s="1" t="s">
        <v>9</v>
      </c>
      <c r="E734" s="1">
        <v>11</v>
      </c>
      <c r="F734" s="1">
        <v>373.52</v>
      </c>
      <c r="G734" s="1">
        <v>21.02</v>
      </c>
      <c r="H734">
        <f t="shared" si="11"/>
        <v>4108.7199999999993</v>
      </c>
    </row>
    <row r="735" spans="1:8" x14ac:dyDescent="0.25">
      <c r="A735" s="1" t="s">
        <v>748</v>
      </c>
      <c r="B735" s="5">
        <v>45688.541666666664</v>
      </c>
      <c r="C735" s="1" t="s">
        <v>11</v>
      </c>
      <c r="D735" s="1" t="s">
        <v>16</v>
      </c>
      <c r="E735" s="1">
        <v>2</v>
      </c>
      <c r="F735" s="1">
        <v>309.7</v>
      </c>
      <c r="G735" s="1">
        <v>15.85</v>
      </c>
      <c r="H735">
        <f t="shared" si="11"/>
        <v>619.4</v>
      </c>
    </row>
    <row r="736" spans="1:8" x14ac:dyDescent="0.25">
      <c r="A736" s="1" t="s">
        <v>749</v>
      </c>
      <c r="B736" s="5">
        <v>45688.583333333336</v>
      </c>
      <c r="C736" s="1" t="s">
        <v>23</v>
      </c>
      <c r="D736" s="1" t="s">
        <v>37</v>
      </c>
      <c r="E736" s="1">
        <v>6</v>
      </c>
      <c r="F736" s="1">
        <v>101.93</v>
      </c>
      <c r="G736" s="1">
        <v>15.01</v>
      </c>
      <c r="H736">
        <f t="shared" si="11"/>
        <v>611.58000000000004</v>
      </c>
    </row>
    <row r="737" spans="1:8" x14ac:dyDescent="0.25">
      <c r="A737" s="1" t="s">
        <v>750</v>
      </c>
      <c r="B737" s="5">
        <v>45688.625</v>
      </c>
      <c r="C737" s="1" t="s">
        <v>8</v>
      </c>
      <c r="D737" s="1" t="s">
        <v>9</v>
      </c>
      <c r="E737" s="1">
        <v>6</v>
      </c>
      <c r="F737" s="1">
        <v>50.15</v>
      </c>
      <c r="G737" s="1">
        <v>47.85</v>
      </c>
      <c r="H737">
        <f t="shared" si="11"/>
        <v>300.89999999999998</v>
      </c>
    </row>
    <row r="738" spans="1:8" x14ac:dyDescent="0.25">
      <c r="A738" s="1" t="s">
        <v>751</v>
      </c>
      <c r="B738" s="5">
        <v>45688.666666666664</v>
      </c>
      <c r="C738" s="1" t="s">
        <v>11</v>
      </c>
      <c r="D738" s="1" t="s">
        <v>9</v>
      </c>
      <c r="E738" s="1">
        <v>14</v>
      </c>
      <c r="F738" s="1">
        <v>379.19</v>
      </c>
      <c r="G738" s="1">
        <v>48.14</v>
      </c>
      <c r="H738">
        <f t="shared" si="11"/>
        <v>5308.66</v>
      </c>
    </row>
    <row r="739" spans="1:8" x14ac:dyDescent="0.25">
      <c r="A739" s="1" t="s">
        <v>752</v>
      </c>
      <c r="B739" s="5">
        <v>45688.708333333336</v>
      </c>
      <c r="C739" s="1" t="s">
        <v>13</v>
      </c>
      <c r="D739" s="1" t="s">
        <v>19</v>
      </c>
      <c r="E739" s="1">
        <v>11</v>
      </c>
      <c r="F739" s="1">
        <v>49.78</v>
      </c>
      <c r="G739" s="1">
        <v>37.619999999999997</v>
      </c>
      <c r="H739">
        <f t="shared" si="11"/>
        <v>547.58000000000004</v>
      </c>
    </row>
    <row r="740" spans="1:8" x14ac:dyDescent="0.25">
      <c r="A740" s="1" t="s">
        <v>753</v>
      </c>
      <c r="B740" s="5">
        <v>45688.75</v>
      </c>
      <c r="C740" s="1" t="s">
        <v>13</v>
      </c>
      <c r="D740" s="1" t="s">
        <v>16</v>
      </c>
      <c r="E740" s="1">
        <v>8</v>
      </c>
      <c r="F740" s="1">
        <v>55.19</v>
      </c>
      <c r="G740" s="1">
        <v>44.77</v>
      </c>
      <c r="H740">
        <f t="shared" si="11"/>
        <v>441.52</v>
      </c>
    </row>
    <row r="741" spans="1:8" x14ac:dyDescent="0.25">
      <c r="A741" s="1" t="s">
        <v>754</v>
      </c>
      <c r="B741" s="5">
        <v>45688.791666666664</v>
      </c>
      <c r="C741" s="1" t="s">
        <v>11</v>
      </c>
      <c r="D741" s="1" t="s">
        <v>9</v>
      </c>
      <c r="E741" s="1">
        <v>8</v>
      </c>
      <c r="F741" s="1">
        <v>201.21</v>
      </c>
      <c r="G741" s="1">
        <v>46.35</v>
      </c>
      <c r="H741">
        <f t="shared" si="11"/>
        <v>1609.68</v>
      </c>
    </row>
    <row r="742" spans="1:8" x14ac:dyDescent="0.25">
      <c r="A742" s="1" t="s">
        <v>755</v>
      </c>
      <c r="B742" s="5">
        <v>45688.833333333336</v>
      </c>
      <c r="C742" s="1" t="s">
        <v>8</v>
      </c>
      <c r="D742" s="1" t="s">
        <v>9</v>
      </c>
      <c r="E742" s="1">
        <v>1</v>
      </c>
      <c r="F742" s="1">
        <v>74.069999999999993</v>
      </c>
      <c r="G742" s="1">
        <v>28.02</v>
      </c>
      <c r="H742">
        <f t="shared" si="11"/>
        <v>74.069999999999993</v>
      </c>
    </row>
    <row r="743" spans="1:8" x14ac:dyDescent="0.25">
      <c r="A743" s="1" t="s">
        <v>756</v>
      </c>
      <c r="B743" s="5">
        <v>45688.875</v>
      </c>
      <c r="C743" s="1" t="s">
        <v>23</v>
      </c>
      <c r="D743" s="1" t="s">
        <v>9</v>
      </c>
      <c r="E743" s="1">
        <v>7</v>
      </c>
      <c r="F743" s="1">
        <v>412.49</v>
      </c>
      <c r="G743" s="1">
        <v>33.31</v>
      </c>
      <c r="H743">
        <f t="shared" si="11"/>
        <v>2887.4300000000003</v>
      </c>
    </row>
    <row r="744" spans="1:8" x14ac:dyDescent="0.25">
      <c r="A744" s="1" t="s">
        <v>757</v>
      </c>
      <c r="B744" s="5">
        <v>45688.916666666664</v>
      </c>
      <c r="C744" s="1" t="s">
        <v>23</v>
      </c>
      <c r="D744" s="1" t="s">
        <v>9</v>
      </c>
      <c r="E744" s="1">
        <v>6</v>
      </c>
      <c r="F744" s="1">
        <v>219.84</v>
      </c>
      <c r="G744" s="1">
        <v>23.84</v>
      </c>
      <c r="H744">
        <f t="shared" si="11"/>
        <v>1319.04</v>
      </c>
    </row>
    <row r="745" spans="1:8" x14ac:dyDescent="0.25">
      <c r="A745" s="1" t="s">
        <v>758</v>
      </c>
      <c r="B745" s="5">
        <v>45688.958333333336</v>
      </c>
      <c r="C745" s="1" t="s">
        <v>13</v>
      </c>
      <c r="D745" s="1" t="s">
        <v>37</v>
      </c>
      <c r="E745" s="1">
        <v>8</v>
      </c>
      <c r="F745" s="1">
        <v>262.8</v>
      </c>
      <c r="G745" s="1">
        <v>23.83</v>
      </c>
      <c r="H745">
        <f t="shared" si="11"/>
        <v>2102.4</v>
      </c>
    </row>
    <row r="746" spans="1:8" x14ac:dyDescent="0.25">
      <c r="A746" s="1" t="s">
        <v>759</v>
      </c>
      <c r="B746" s="5">
        <v>45689</v>
      </c>
      <c r="C746" s="1" t="s">
        <v>8</v>
      </c>
      <c r="D746" s="1" t="s">
        <v>16</v>
      </c>
      <c r="E746" s="1">
        <v>19</v>
      </c>
      <c r="F746" s="1">
        <v>418.76</v>
      </c>
      <c r="G746" s="1">
        <v>6.73</v>
      </c>
      <c r="H746">
        <f t="shared" si="11"/>
        <v>7956.44</v>
      </c>
    </row>
    <row r="747" spans="1:8" x14ac:dyDescent="0.25">
      <c r="A747" s="1" t="s">
        <v>760</v>
      </c>
      <c r="B747" s="5">
        <v>45689.041666666664</v>
      </c>
      <c r="C747" s="1" t="s">
        <v>23</v>
      </c>
      <c r="D747" s="1" t="s">
        <v>19</v>
      </c>
      <c r="E747" s="1">
        <v>8</v>
      </c>
      <c r="F747" s="1">
        <v>245.9</v>
      </c>
      <c r="G747" s="1">
        <v>24.52</v>
      </c>
      <c r="H747">
        <f t="shared" si="11"/>
        <v>1967.2</v>
      </c>
    </row>
    <row r="748" spans="1:8" x14ac:dyDescent="0.25">
      <c r="A748" s="1" t="s">
        <v>761</v>
      </c>
      <c r="B748" s="5">
        <v>45689.083333333336</v>
      </c>
      <c r="C748" s="1" t="s">
        <v>8</v>
      </c>
      <c r="D748" s="1" t="s">
        <v>19</v>
      </c>
      <c r="E748" s="1">
        <v>14</v>
      </c>
      <c r="F748" s="1">
        <v>169.14</v>
      </c>
      <c r="G748" s="1">
        <v>35.31</v>
      </c>
      <c r="H748">
        <f t="shared" si="11"/>
        <v>2367.96</v>
      </c>
    </row>
    <row r="749" spans="1:8" x14ac:dyDescent="0.25">
      <c r="A749" s="1" t="s">
        <v>762</v>
      </c>
      <c r="B749" s="5">
        <v>45689.125</v>
      </c>
      <c r="C749" s="1" t="s">
        <v>8</v>
      </c>
      <c r="D749" s="1" t="s">
        <v>37</v>
      </c>
      <c r="E749" s="1">
        <v>18</v>
      </c>
      <c r="F749" s="1">
        <v>361.86</v>
      </c>
      <c r="G749" s="1">
        <v>23.99</v>
      </c>
      <c r="H749">
        <f t="shared" si="11"/>
        <v>6513.4800000000005</v>
      </c>
    </row>
    <row r="750" spans="1:8" x14ac:dyDescent="0.25">
      <c r="A750" s="1" t="s">
        <v>763</v>
      </c>
      <c r="B750" s="5">
        <v>45689.166666666664</v>
      </c>
      <c r="C750" s="1" t="s">
        <v>13</v>
      </c>
      <c r="D750" s="1" t="s">
        <v>16</v>
      </c>
      <c r="E750" s="1">
        <v>16</v>
      </c>
      <c r="F750" s="1">
        <v>207.92</v>
      </c>
      <c r="G750" s="1">
        <v>44.26</v>
      </c>
      <c r="H750">
        <f t="shared" si="11"/>
        <v>3326.72</v>
      </c>
    </row>
    <row r="751" spans="1:8" x14ac:dyDescent="0.25">
      <c r="A751" s="1" t="s">
        <v>764</v>
      </c>
      <c r="B751" s="5">
        <v>45689.208333333336</v>
      </c>
      <c r="C751" s="1" t="s">
        <v>23</v>
      </c>
      <c r="D751" s="1" t="s">
        <v>9</v>
      </c>
      <c r="E751" s="1">
        <v>9</v>
      </c>
      <c r="F751" s="1">
        <v>153.87</v>
      </c>
      <c r="G751" s="1">
        <v>19.97</v>
      </c>
      <c r="H751">
        <f t="shared" si="11"/>
        <v>1384.83</v>
      </c>
    </row>
    <row r="752" spans="1:8" x14ac:dyDescent="0.25">
      <c r="A752" s="1" t="s">
        <v>765</v>
      </c>
      <c r="B752" s="5">
        <v>45689.25</v>
      </c>
      <c r="C752" s="1" t="s">
        <v>11</v>
      </c>
      <c r="D752" s="1" t="s">
        <v>37</v>
      </c>
      <c r="E752" s="1">
        <v>15</v>
      </c>
      <c r="F752" s="1">
        <v>329.74</v>
      </c>
      <c r="G752" s="1">
        <v>10.97</v>
      </c>
      <c r="H752">
        <f t="shared" si="11"/>
        <v>4946.1000000000004</v>
      </c>
    </row>
    <row r="753" spans="1:8" x14ac:dyDescent="0.25">
      <c r="A753" s="1" t="s">
        <v>766</v>
      </c>
      <c r="B753" s="5">
        <v>45689.291666666664</v>
      </c>
      <c r="C753" s="1" t="s">
        <v>13</v>
      </c>
      <c r="D753" s="1" t="s">
        <v>16</v>
      </c>
      <c r="E753" s="1">
        <v>10</v>
      </c>
      <c r="F753" s="1">
        <v>363.8</v>
      </c>
      <c r="G753" s="1">
        <v>41.52</v>
      </c>
      <c r="H753">
        <f t="shared" si="11"/>
        <v>3638</v>
      </c>
    </row>
    <row r="754" spans="1:8" x14ac:dyDescent="0.25">
      <c r="A754" s="1" t="s">
        <v>767</v>
      </c>
      <c r="B754" s="5">
        <v>45689.333333333336</v>
      </c>
      <c r="C754" s="1" t="s">
        <v>23</v>
      </c>
      <c r="D754" s="1" t="s">
        <v>9</v>
      </c>
      <c r="E754" s="1">
        <v>16</v>
      </c>
      <c r="F754" s="1">
        <v>359.5</v>
      </c>
      <c r="G754" s="1">
        <v>35.33</v>
      </c>
      <c r="H754">
        <f t="shared" si="11"/>
        <v>5752</v>
      </c>
    </row>
    <row r="755" spans="1:8" x14ac:dyDescent="0.25">
      <c r="A755" s="1" t="s">
        <v>768</v>
      </c>
      <c r="B755" s="5">
        <v>45689.375</v>
      </c>
      <c r="C755" s="1" t="s">
        <v>23</v>
      </c>
      <c r="D755" s="1" t="s">
        <v>37</v>
      </c>
      <c r="E755" s="1">
        <v>4</v>
      </c>
      <c r="F755" s="1">
        <v>440.3</v>
      </c>
      <c r="G755" s="1">
        <v>15.88</v>
      </c>
      <c r="H755">
        <f t="shared" si="11"/>
        <v>1761.2</v>
      </c>
    </row>
    <row r="756" spans="1:8" x14ac:dyDescent="0.25">
      <c r="A756" s="1" t="s">
        <v>769</v>
      </c>
      <c r="B756" s="5">
        <v>45689.416666666664</v>
      </c>
      <c r="C756" s="1" t="s">
        <v>23</v>
      </c>
      <c r="D756" s="1" t="s">
        <v>16</v>
      </c>
      <c r="E756" s="1">
        <v>13</v>
      </c>
      <c r="F756" s="1">
        <v>357.31</v>
      </c>
      <c r="G756" s="1">
        <v>29.14</v>
      </c>
      <c r="H756">
        <f t="shared" si="11"/>
        <v>4645.03</v>
      </c>
    </row>
    <row r="757" spans="1:8" x14ac:dyDescent="0.25">
      <c r="A757" s="1" t="s">
        <v>770</v>
      </c>
      <c r="B757" s="5">
        <v>45689.458333333336</v>
      </c>
      <c r="C757" s="1" t="s">
        <v>23</v>
      </c>
      <c r="D757" s="1" t="s">
        <v>19</v>
      </c>
      <c r="E757" s="1">
        <v>5</v>
      </c>
      <c r="F757" s="1">
        <v>350.04</v>
      </c>
      <c r="G757" s="1">
        <v>23.08</v>
      </c>
      <c r="H757">
        <f t="shared" si="11"/>
        <v>1750.2</v>
      </c>
    </row>
    <row r="758" spans="1:8" x14ac:dyDescent="0.25">
      <c r="A758" s="1" t="s">
        <v>771</v>
      </c>
      <c r="B758" s="5">
        <v>45689.5</v>
      </c>
      <c r="C758" s="1" t="s">
        <v>23</v>
      </c>
      <c r="D758" s="1" t="s">
        <v>19</v>
      </c>
      <c r="E758" s="1">
        <v>7</v>
      </c>
      <c r="F758" s="1">
        <v>388.08</v>
      </c>
      <c r="G758" s="1">
        <v>47.25</v>
      </c>
      <c r="H758">
        <f t="shared" si="11"/>
        <v>2716.56</v>
      </c>
    </row>
    <row r="759" spans="1:8" x14ac:dyDescent="0.25">
      <c r="A759" s="1" t="s">
        <v>772</v>
      </c>
      <c r="B759" s="5">
        <v>45689.541666666664</v>
      </c>
      <c r="C759" s="1" t="s">
        <v>8</v>
      </c>
      <c r="D759" s="1" t="s">
        <v>16</v>
      </c>
      <c r="E759" s="1">
        <v>9</v>
      </c>
      <c r="F759" s="1">
        <v>15.58</v>
      </c>
      <c r="G759" s="1">
        <v>32.33</v>
      </c>
      <c r="H759">
        <f t="shared" si="11"/>
        <v>140.22</v>
      </c>
    </row>
    <row r="760" spans="1:8" x14ac:dyDescent="0.25">
      <c r="A760" s="1" t="s">
        <v>773</v>
      </c>
      <c r="B760" s="5">
        <v>45689.583333333336</v>
      </c>
      <c r="C760" s="1" t="s">
        <v>13</v>
      </c>
      <c r="D760" s="1" t="s">
        <v>19</v>
      </c>
      <c r="E760" s="1">
        <v>8</v>
      </c>
      <c r="F760" s="1">
        <v>172.98</v>
      </c>
      <c r="G760" s="1">
        <v>12.13</v>
      </c>
      <c r="H760">
        <f t="shared" si="11"/>
        <v>1383.84</v>
      </c>
    </row>
    <row r="761" spans="1:8" x14ac:dyDescent="0.25">
      <c r="A761" s="1" t="s">
        <v>774</v>
      </c>
      <c r="B761" s="5">
        <v>45689.625</v>
      </c>
      <c r="C761" s="1" t="s">
        <v>8</v>
      </c>
      <c r="D761" s="1" t="s">
        <v>16</v>
      </c>
      <c r="E761" s="1">
        <v>16</v>
      </c>
      <c r="F761" s="1">
        <v>335.99</v>
      </c>
      <c r="G761" s="1">
        <v>27.6</v>
      </c>
      <c r="H761">
        <f t="shared" si="11"/>
        <v>5375.84</v>
      </c>
    </row>
    <row r="762" spans="1:8" x14ac:dyDescent="0.25">
      <c r="A762" s="1" t="s">
        <v>775</v>
      </c>
      <c r="B762" s="5">
        <v>45689.666666666664</v>
      </c>
      <c r="C762" s="1" t="s">
        <v>11</v>
      </c>
      <c r="D762" s="1" t="s">
        <v>9</v>
      </c>
      <c r="E762" s="1">
        <v>6</v>
      </c>
      <c r="F762" s="1">
        <v>276.08</v>
      </c>
      <c r="G762" s="1">
        <v>43.82</v>
      </c>
      <c r="H762">
        <f t="shared" si="11"/>
        <v>1656.48</v>
      </c>
    </row>
    <row r="763" spans="1:8" x14ac:dyDescent="0.25">
      <c r="A763" s="1" t="s">
        <v>776</v>
      </c>
      <c r="B763" s="5">
        <v>45689.708333333336</v>
      </c>
      <c r="C763" s="1" t="s">
        <v>23</v>
      </c>
      <c r="D763" s="1" t="s">
        <v>16</v>
      </c>
      <c r="E763" s="1">
        <v>16</v>
      </c>
      <c r="F763" s="1">
        <v>92.66</v>
      </c>
      <c r="G763" s="1">
        <v>35.22</v>
      </c>
      <c r="H763">
        <f t="shared" si="11"/>
        <v>1482.56</v>
      </c>
    </row>
    <row r="764" spans="1:8" x14ac:dyDescent="0.25">
      <c r="A764" s="1" t="s">
        <v>777</v>
      </c>
      <c r="B764" s="5">
        <v>45689.75</v>
      </c>
      <c r="C764" s="1" t="s">
        <v>13</v>
      </c>
      <c r="D764" s="1" t="s">
        <v>9</v>
      </c>
      <c r="E764" s="1">
        <v>6</v>
      </c>
      <c r="F764" s="1">
        <v>147.47</v>
      </c>
      <c r="G764" s="1">
        <v>42.91</v>
      </c>
      <c r="H764">
        <f t="shared" si="11"/>
        <v>884.81999999999994</v>
      </c>
    </row>
    <row r="765" spans="1:8" x14ac:dyDescent="0.25">
      <c r="A765" s="1" t="s">
        <v>778</v>
      </c>
      <c r="B765" s="5">
        <v>45689.791666666664</v>
      </c>
      <c r="C765" s="1" t="s">
        <v>23</v>
      </c>
      <c r="D765" s="1" t="s">
        <v>37</v>
      </c>
      <c r="E765" s="1">
        <v>14</v>
      </c>
      <c r="F765" s="1">
        <v>161.84</v>
      </c>
      <c r="G765" s="1">
        <v>16.27</v>
      </c>
      <c r="H765">
        <f t="shared" si="11"/>
        <v>2265.7600000000002</v>
      </c>
    </row>
    <row r="766" spans="1:8" x14ac:dyDescent="0.25">
      <c r="A766" s="1" t="s">
        <v>779</v>
      </c>
      <c r="B766" s="5">
        <v>45689.833333333336</v>
      </c>
      <c r="C766" s="1" t="s">
        <v>13</v>
      </c>
      <c r="D766" s="1" t="s">
        <v>16</v>
      </c>
      <c r="E766" s="1">
        <v>1</v>
      </c>
      <c r="F766" s="1">
        <v>262.22000000000003</v>
      </c>
      <c r="G766" s="1">
        <v>44.98</v>
      </c>
      <c r="H766">
        <f t="shared" si="11"/>
        <v>262.22000000000003</v>
      </c>
    </row>
    <row r="767" spans="1:8" x14ac:dyDescent="0.25">
      <c r="A767" s="1" t="s">
        <v>780</v>
      </c>
      <c r="B767" s="5">
        <v>45689.875</v>
      </c>
      <c r="C767" s="1" t="s">
        <v>8</v>
      </c>
      <c r="D767" s="1" t="s">
        <v>37</v>
      </c>
      <c r="E767" s="1">
        <v>9</v>
      </c>
      <c r="F767" s="1">
        <v>376.83</v>
      </c>
      <c r="G767" s="1">
        <v>39</v>
      </c>
      <c r="H767">
        <f t="shared" si="11"/>
        <v>3391.47</v>
      </c>
    </row>
    <row r="768" spans="1:8" x14ac:dyDescent="0.25">
      <c r="A768" s="1" t="s">
        <v>781</v>
      </c>
      <c r="B768" s="5">
        <v>45689.916666666664</v>
      </c>
      <c r="C768" s="1" t="s">
        <v>13</v>
      </c>
      <c r="D768" s="1" t="s">
        <v>19</v>
      </c>
      <c r="E768" s="1">
        <v>13</v>
      </c>
      <c r="F768" s="1">
        <v>420.67</v>
      </c>
      <c r="G768" s="1">
        <v>37.799999999999997</v>
      </c>
      <c r="H768">
        <f t="shared" si="11"/>
        <v>5468.71</v>
      </c>
    </row>
    <row r="769" spans="1:8" x14ac:dyDescent="0.25">
      <c r="A769" s="1" t="s">
        <v>782</v>
      </c>
      <c r="B769" s="5">
        <v>45689.958333333336</v>
      </c>
      <c r="C769" s="1" t="s">
        <v>11</v>
      </c>
      <c r="D769" s="1" t="s">
        <v>9</v>
      </c>
      <c r="E769" s="1">
        <v>19</v>
      </c>
      <c r="F769" s="1">
        <v>341.42</v>
      </c>
      <c r="G769" s="1">
        <v>20.59</v>
      </c>
      <c r="H769">
        <f t="shared" si="11"/>
        <v>6486.9800000000005</v>
      </c>
    </row>
    <row r="770" spans="1:8" x14ac:dyDescent="0.25">
      <c r="A770" s="1" t="s">
        <v>783</v>
      </c>
      <c r="B770" s="5">
        <v>45690</v>
      </c>
      <c r="C770" s="1" t="s">
        <v>11</v>
      </c>
      <c r="D770" s="1" t="s">
        <v>16</v>
      </c>
      <c r="E770" s="1">
        <v>17</v>
      </c>
      <c r="F770" s="1">
        <v>381.76</v>
      </c>
      <c r="G770" s="1">
        <v>44.94</v>
      </c>
      <c r="H770">
        <f t="shared" ref="H770:H833" si="12">E770*F770</f>
        <v>6489.92</v>
      </c>
    </row>
    <row r="771" spans="1:8" x14ac:dyDescent="0.25">
      <c r="A771" s="1" t="s">
        <v>784</v>
      </c>
      <c r="B771" s="5">
        <v>45690.041666666664</v>
      </c>
      <c r="C771" s="1" t="s">
        <v>13</v>
      </c>
      <c r="D771" s="1" t="s">
        <v>37</v>
      </c>
      <c r="E771" s="1">
        <v>11</v>
      </c>
      <c r="F771" s="1">
        <v>219.76</v>
      </c>
      <c r="G771" s="1">
        <v>33.71</v>
      </c>
      <c r="H771">
        <f t="shared" si="12"/>
        <v>2417.3599999999997</v>
      </c>
    </row>
    <row r="772" spans="1:8" x14ac:dyDescent="0.25">
      <c r="A772" s="1" t="s">
        <v>785</v>
      </c>
      <c r="B772" s="5">
        <v>45690.083333333336</v>
      </c>
      <c r="C772" s="1" t="s">
        <v>13</v>
      </c>
      <c r="D772" s="1" t="s">
        <v>9</v>
      </c>
      <c r="E772" s="1">
        <v>8</v>
      </c>
      <c r="F772" s="1">
        <v>184.86</v>
      </c>
      <c r="G772" s="1">
        <v>43.33</v>
      </c>
      <c r="H772">
        <f t="shared" si="12"/>
        <v>1478.88</v>
      </c>
    </row>
    <row r="773" spans="1:8" x14ac:dyDescent="0.25">
      <c r="A773" s="1" t="s">
        <v>786</v>
      </c>
      <c r="B773" s="5">
        <v>45690.125</v>
      </c>
      <c r="C773" s="1" t="s">
        <v>13</v>
      </c>
      <c r="D773" s="1" t="s">
        <v>9</v>
      </c>
      <c r="E773" s="1">
        <v>5</v>
      </c>
      <c r="F773" s="1">
        <v>186.13</v>
      </c>
      <c r="G773" s="1">
        <v>21.24</v>
      </c>
      <c r="H773">
        <f t="shared" si="12"/>
        <v>930.65</v>
      </c>
    </row>
    <row r="774" spans="1:8" x14ac:dyDescent="0.25">
      <c r="A774" s="1" t="s">
        <v>787</v>
      </c>
      <c r="B774" s="5">
        <v>45690.166666666664</v>
      </c>
      <c r="C774" s="1" t="s">
        <v>13</v>
      </c>
      <c r="D774" s="1" t="s">
        <v>19</v>
      </c>
      <c r="E774" s="1">
        <v>10</v>
      </c>
      <c r="F774" s="1">
        <v>283.17</v>
      </c>
      <c r="G774" s="1">
        <v>11.55</v>
      </c>
      <c r="H774">
        <f t="shared" si="12"/>
        <v>2831.7000000000003</v>
      </c>
    </row>
    <row r="775" spans="1:8" x14ac:dyDescent="0.25">
      <c r="A775" s="1" t="s">
        <v>788</v>
      </c>
      <c r="B775" s="5">
        <v>45690.208333333336</v>
      </c>
      <c r="C775" s="1" t="s">
        <v>11</v>
      </c>
      <c r="D775" s="1" t="s">
        <v>19</v>
      </c>
      <c r="E775" s="1">
        <v>7</v>
      </c>
      <c r="F775" s="1">
        <v>69.48</v>
      </c>
      <c r="G775" s="1">
        <v>19.96</v>
      </c>
      <c r="H775">
        <f t="shared" si="12"/>
        <v>486.36</v>
      </c>
    </row>
    <row r="776" spans="1:8" x14ac:dyDescent="0.25">
      <c r="A776" s="1" t="s">
        <v>789</v>
      </c>
      <c r="B776" s="5">
        <v>45690.25</v>
      </c>
      <c r="C776" s="1" t="s">
        <v>23</v>
      </c>
      <c r="D776" s="1" t="s">
        <v>9</v>
      </c>
      <c r="E776" s="1">
        <v>10</v>
      </c>
      <c r="F776" s="1">
        <v>267.29000000000002</v>
      </c>
      <c r="G776" s="1">
        <v>25.49</v>
      </c>
      <c r="H776">
        <f t="shared" si="12"/>
        <v>2672.9</v>
      </c>
    </row>
    <row r="777" spans="1:8" x14ac:dyDescent="0.25">
      <c r="A777" s="1" t="s">
        <v>790</v>
      </c>
      <c r="B777" s="5">
        <v>45690.291666666664</v>
      </c>
      <c r="C777" s="1" t="s">
        <v>13</v>
      </c>
      <c r="D777" s="1" t="s">
        <v>9</v>
      </c>
      <c r="E777" s="1">
        <v>4</v>
      </c>
      <c r="F777" s="1">
        <v>304.5</v>
      </c>
      <c r="G777" s="1">
        <v>29</v>
      </c>
      <c r="H777">
        <f t="shared" si="12"/>
        <v>1218</v>
      </c>
    </row>
    <row r="778" spans="1:8" x14ac:dyDescent="0.25">
      <c r="A778" s="1" t="s">
        <v>791</v>
      </c>
      <c r="B778" s="5">
        <v>45690.333333333336</v>
      </c>
      <c r="C778" s="1" t="s">
        <v>13</v>
      </c>
      <c r="D778" s="1" t="s">
        <v>16</v>
      </c>
      <c r="E778" s="1">
        <v>9</v>
      </c>
      <c r="F778" s="1">
        <v>206.21</v>
      </c>
      <c r="G778" s="1">
        <v>27.99</v>
      </c>
      <c r="H778">
        <f t="shared" si="12"/>
        <v>1855.89</v>
      </c>
    </row>
    <row r="779" spans="1:8" x14ac:dyDescent="0.25">
      <c r="A779" s="1" t="s">
        <v>792</v>
      </c>
      <c r="B779" s="5">
        <v>45690.375</v>
      </c>
      <c r="C779" s="1" t="s">
        <v>11</v>
      </c>
      <c r="D779" s="1" t="s">
        <v>9</v>
      </c>
      <c r="E779" s="1">
        <v>14</v>
      </c>
      <c r="F779" s="1">
        <v>429.65</v>
      </c>
      <c r="G779" s="1">
        <v>29.57</v>
      </c>
      <c r="H779">
        <f t="shared" si="12"/>
        <v>6015.0999999999995</v>
      </c>
    </row>
    <row r="780" spans="1:8" x14ac:dyDescent="0.25">
      <c r="A780" s="1" t="s">
        <v>793</v>
      </c>
      <c r="B780" s="5">
        <v>45690.416666666664</v>
      </c>
      <c r="C780" s="1" t="s">
        <v>11</v>
      </c>
      <c r="D780" s="1" t="s">
        <v>16</v>
      </c>
      <c r="E780" s="1">
        <v>2</v>
      </c>
      <c r="F780" s="1">
        <v>279.77</v>
      </c>
      <c r="G780" s="1">
        <v>42.88</v>
      </c>
      <c r="H780">
        <f t="shared" si="12"/>
        <v>559.54</v>
      </c>
    </row>
    <row r="781" spans="1:8" x14ac:dyDescent="0.25">
      <c r="A781" s="1" t="s">
        <v>794</v>
      </c>
      <c r="B781" s="5">
        <v>45690.458333333336</v>
      </c>
      <c r="C781" s="1" t="s">
        <v>8</v>
      </c>
      <c r="D781" s="1" t="s">
        <v>9</v>
      </c>
      <c r="E781" s="1">
        <v>9</v>
      </c>
      <c r="F781" s="1">
        <v>111.09</v>
      </c>
      <c r="G781" s="1">
        <v>12.65</v>
      </c>
      <c r="H781">
        <f t="shared" si="12"/>
        <v>999.81000000000006</v>
      </c>
    </row>
    <row r="782" spans="1:8" x14ac:dyDescent="0.25">
      <c r="A782" s="1" t="s">
        <v>795</v>
      </c>
      <c r="B782" s="5">
        <v>45690.5</v>
      </c>
      <c r="C782" s="1" t="s">
        <v>13</v>
      </c>
      <c r="D782" s="1" t="s">
        <v>19</v>
      </c>
      <c r="E782" s="1">
        <v>1</v>
      </c>
      <c r="F782" s="1">
        <v>223.72</v>
      </c>
      <c r="G782" s="1">
        <v>19.22</v>
      </c>
      <c r="H782">
        <f t="shared" si="12"/>
        <v>223.72</v>
      </c>
    </row>
    <row r="783" spans="1:8" x14ac:dyDescent="0.25">
      <c r="A783" s="1" t="s">
        <v>796</v>
      </c>
      <c r="B783" s="5">
        <v>45690.541666666664</v>
      </c>
      <c r="C783" s="1" t="s">
        <v>8</v>
      </c>
      <c r="D783" s="1" t="s">
        <v>16</v>
      </c>
      <c r="E783" s="1">
        <v>10</v>
      </c>
      <c r="F783" s="1">
        <v>308.95999999999998</v>
      </c>
      <c r="G783" s="1">
        <v>44.99</v>
      </c>
      <c r="H783">
        <f t="shared" si="12"/>
        <v>3089.6</v>
      </c>
    </row>
    <row r="784" spans="1:8" x14ac:dyDescent="0.25">
      <c r="A784" s="1" t="s">
        <v>797</v>
      </c>
      <c r="B784" s="5">
        <v>45690.583333333336</v>
      </c>
      <c r="C784" s="1" t="s">
        <v>11</v>
      </c>
      <c r="D784" s="1" t="s">
        <v>37</v>
      </c>
      <c r="E784" s="1">
        <v>10</v>
      </c>
      <c r="F784" s="1">
        <v>156.12</v>
      </c>
      <c r="G784" s="1">
        <v>30.22</v>
      </c>
      <c r="H784">
        <f t="shared" si="12"/>
        <v>1561.2</v>
      </c>
    </row>
    <row r="785" spans="1:8" x14ac:dyDescent="0.25">
      <c r="A785" s="1" t="s">
        <v>798</v>
      </c>
      <c r="B785" s="5">
        <v>45690.625</v>
      </c>
      <c r="C785" s="1" t="s">
        <v>11</v>
      </c>
      <c r="D785" s="1" t="s">
        <v>19</v>
      </c>
      <c r="E785" s="1">
        <v>3</v>
      </c>
      <c r="F785" s="1">
        <v>50.1</v>
      </c>
      <c r="G785" s="1">
        <v>31.25</v>
      </c>
      <c r="H785">
        <f t="shared" si="12"/>
        <v>150.30000000000001</v>
      </c>
    </row>
    <row r="786" spans="1:8" x14ac:dyDescent="0.25">
      <c r="A786" s="1" t="s">
        <v>799</v>
      </c>
      <c r="B786" s="5">
        <v>45690.666666666664</v>
      </c>
      <c r="C786" s="1" t="s">
        <v>23</v>
      </c>
      <c r="D786" s="1" t="s">
        <v>16</v>
      </c>
      <c r="E786" s="1">
        <v>6</v>
      </c>
      <c r="F786" s="1">
        <v>269</v>
      </c>
      <c r="G786" s="1">
        <v>26.51</v>
      </c>
      <c r="H786">
        <f t="shared" si="12"/>
        <v>1614</v>
      </c>
    </row>
    <row r="787" spans="1:8" x14ac:dyDescent="0.25">
      <c r="A787" s="1" t="s">
        <v>800</v>
      </c>
      <c r="B787" s="5">
        <v>45690.708333333336</v>
      </c>
      <c r="C787" s="1" t="s">
        <v>13</v>
      </c>
      <c r="D787" s="1" t="s">
        <v>16</v>
      </c>
      <c r="E787" s="1">
        <v>6</v>
      </c>
      <c r="F787" s="1">
        <v>427.35</v>
      </c>
      <c r="G787" s="1">
        <v>29.7</v>
      </c>
      <c r="H787">
        <f t="shared" si="12"/>
        <v>2564.1000000000004</v>
      </c>
    </row>
    <row r="788" spans="1:8" x14ac:dyDescent="0.25">
      <c r="A788" s="1" t="s">
        <v>801</v>
      </c>
      <c r="B788" s="5">
        <v>45690.75</v>
      </c>
      <c r="C788" s="1" t="s">
        <v>8</v>
      </c>
      <c r="D788" s="1" t="s">
        <v>37</v>
      </c>
      <c r="E788" s="1">
        <v>2</v>
      </c>
      <c r="F788" s="1">
        <v>226.26</v>
      </c>
      <c r="G788" s="1">
        <v>13.91</v>
      </c>
      <c r="H788">
        <f t="shared" si="12"/>
        <v>452.52</v>
      </c>
    </row>
    <row r="789" spans="1:8" x14ac:dyDescent="0.25">
      <c r="A789" s="1" t="s">
        <v>802</v>
      </c>
      <c r="B789" s="5">
        <v>45690.791666666664</v>
      </c>
      <c r="C789" s="1" t="s">
        <v>11</v>
      </c>
      <c r="D789" s="1" t="s">
        <v>16</v>
      </c>
      <c r="E789" s="1">
        <v>18</v>
      </c>
      <c r="F789" s="1">
        <v>409.2</v>
      </c>
      <c r="G789" s="1">
        <v>29.61</v>
      </c>
      <c r="H789">
        <f t="shared" si="12"/>
        <v>7365.5999999999995</v>
      </c>
    </row>
    <row r="790" spans="1:8" x14ac:dyDescent="0.25">
      <c r="A790" s="1" t="s">
        <v>803</v>
      </c>
      <c r="B790" s="5">
        <v>45690.833333333336</v>
      </c>
      <c r="C790" s="1" t="s">
        <v>11</v>
      </c>
      <c r="D790" s="1" t="s">
        <v>9</v>
      </c>
      <c r="E790" s="1">
        <v>2</v>
      </c>
      <c r="F790" s="1">
        <v>378.32</v>
      </c>
      <c r="G790" s="1">
        <v>49.87</v>
      </c>
      <c r="H790">
        <f t="shared" si="12"/>
        <v>756.64</v>
      </c>
    </row>
    <row r="791" spans="1:8" x14ac:dyDescent="0.25">
      <c r="A791" s="1" t="s">
        <v>804</v>
      </c>
      <c r="B791" s="5">
        <v>45690.875</v>
      </c>
      <c r="C791" s="1" t="s">
        <v>8</v>
      </c>
      <c r="D791" s="1" t="s">
        <v>37</v>
      </c>
      <c r="E791" s="1">
        <v>12</v>
      </c>
      <c r="F791" s="1">
        <v>79.55</v>
      </c>
      <c r="G791" s="1">
        <v>30.47</v>
      </c>
      <c r="H791">
        <f t="shared" si="12"/>
        <v>954.59999999999991</v>
      </c>
    </row>
    <row r="792" spans="1:8" x14ac:dyDescent="0.25">
      <c r="A792" s="1" t="s">
        <v>805</v>
      </c>
      <c r="B792" s="5">
        <v>45690.916666666664</v>
      </c>
      <c r="C792" s="1" t="s">
        <v>23</v>
      </c>
      <c r="D792" s="1" t="s">
        <v>19</v>
      </c>
      <c r="E792" s="1">
        <v>5</v>
      </c>
      <c r="F792" s="1">
        <v>323.2</v>
      </c>
      <c r="G792" s="1">
        <v>7</v>
      </c>
      <c r="H792">
        <f t="shared" si="12"/>
        <v>1616</v>
      </c>
    </row>
    <row r="793" spans="1:8" x14ac:dyDescent="0.25">
      <c r="A793" s="1" t="s">
        <v>806</v>
      </c>
      <c r="B793" s="5">
        <v>45690.958333333336</v>
      </c>
      <c r="C793" s="1" t="s">
        <v>11</v>
      </c>
      <c r="D793" s="1" t="s">
        <v>19</v>
      </c>
      <c r="E793" s="1">
        <v>7</v>
      </c>
      <c r="F793" s="1">
        <v>204.71</v>
      </c>
      <c r="G793" s="1">
        <v>40.840000000000003</v>
      </c>
      <c r="H793">
        <f t="shared" si="12"/>
        <v>1432.97</v>
      </c>
    </row>
    <row r="794" spans="1:8" x14ac:dyDescent="0.25">
      <c r="A794" s="1" t="s">
        <v>807</v>
      </c>
      <c r="B794" s="5">
        <v>45691</v>
      </c>
      <c r="C794" s="1" t="s">
        <v>13</v>
      </c>
      <c r="D794" s="1" t="s">
        <v>9</v>
      </c>
      <c r="E794" s="1">
        <v>16</v>
      </c>
      <c r="F794" s="1">
        <v>124.23</v>
      </c>
      <c r="G794" s="1">
        <v>22.84</v>
      </c>
      <c r="H794">
        <f t="shared" si="12"/>
        <v>1987.68</v>
      </c>
    </row>
    <row r="795" spans="1:8" x14ac:dyDescent="0.25">
      <c r="A795" s="1" t="s">
        <v>808</v>
      </c>
      <c r="B795" s="5">
        <v>45691.041666666664</v>
      </c>
      <c r="C795" s="1" t="s">
        <v>11</v>
      </c>
      <c r="D795" s="1" t="s">
        <v>19</v>
      </c>
      <c r="E795" s="1">
        <v>1</v>
      </c>
      <c r="F795" s="1">
        <v>313.97000000000003</v>
      </c>
      <c r="G795" s="1">
        <v>11.92</v>
      </c>
      <c r="H795">
        <f t="shared" si="12"/>
        <v>313.97000000000003</v>
      </c>
    </row>
    <row r="796" spans="1:8" x14ac:dyDescent="0.25">
      <c r="A796" s="1" t="s">
        <v>809</v>
      </c>
      <c r="B796" s="5">
        <v>45691.083333333336</v>
      </c>
      <c r="C796" s="1" t="s">
        <v>13</v>
      </c>
      <c r="D796" s="1" t="s">
        <v>16</v>
      </c>
      <c r="E796" s="1">
        <v>1</v>
      </c>
      <c r="F796" s="1">
        <v>338.19</v>
      </c>
      <c r="G796" s="1">
        <v>43.81</v>
      </c>
      <c r="H796">
        <f t="shared" si="12"/>
        <v>338.19</v>
      </c>
    </row>
    <row r="797" spans="1:8" x14ac:dyDescent="0.25">
      <c r="A797" s="1" t="s">
        <v>810</v>
      </c>
      <c r="B797" s="5">
        <v>45691.125</v>
      </c>
      <c r="C797" s="1" t="s">
        <v>8</v>
      </c>
      <c r="D797" s="1" t="s">
        <v>16</v>
      </c>
      <c r="E797" s="1">
        <v>17</v>
      </c>
      <c r="F797" s="1">
        <v>93.66</v>
      </c>
      <c r="G797" s="1">
        <v>13.91</v>
      </c>
      <c r="H797">
        <f t="shared" si="12"/>
        <v>1592.22</v>
      </c>
    </row>
    <row r="798" spans="1:8" x14ac:dyDescent="0.25">
      <c r="A798" s="1" t="s">
        <v>811</v>
      </c>
      <c r="B798" s="5">
        <v>45691.166666666664</v>
      </c>
      <c r="C798" s="1" t="s">
        <v>13</v>
      </c>
      <c r="D798" s="1" t="s">
        <v>9</v>
      </c>
      <c r="E798" s="1">
        <v>1</v>
      </c>
      <c r="F798" s="1">
        <v>412.83</v>
      </c>
      <c r="G798" s="1">
        <v>46.43</v>
      </c>
      <c r="H798">
        <f t="shared" si="12"/>
        <v>412.83</v>
      </c>
    </row>
    <row r="799" spans="1:8" x14ac:dyDescent="0.25">
      <c r="A799" s="1" t="s">
        <v>812</v>
      </c>
      <c r="B799" s="5">
        <v>45691.208333333336</v>
      </c>
      <c r="C799" s="1" t="s">
        <v>8</v>
      </c>
      <c r="D799" s="1" t="s">
        <v>19</v>
      </c>
      <c r="E799" s="1">
        <v>13</v>
      </c>
      <c r="F799" s="1">
        <v>341.87</v>
      </c>
      <c r="G799" s="1">
        <v>24.88</v>
      </c>
      <c r="H799">
        <f t="shared" si="12"/>
        <v>4444.3100000000004</v>
      </c>
    </row>
    <row r="800" spans="1:8" x14ac:dyDescent="0.25">
      <c r="A800" s="1" t="s">
        <v>813</v>
      </c>
      <c r="B800" s="5">
        <v>45691.25</v>
      </c>
      <c r="C800" s="1" t="s">
        <v>13</v>
      </c>
      <c r="D800" s="1" t="s">
        <v>19</v>
      </c>
      <c r="E800" s="1">
        <v>9</v>
      </c>
      <c r="F800" s="1">
        <v>421.05</v>
      </c>
      <c r="G800" s="1">
        <v>38.43</v>
      </c>
      <c r="H800">
        <f t="shared" si="12"/>
        <v>3789.4500000000003</v>
      </c>
    </row>
    <row r="801" spans="1:8" x14ac:dyDescent="0.25">
      <c r="A801" s="1" t="s">
        <v>814</v>
      </c>
      <c r="B801" s="5">
        <v>45691.291666666664</v>
      </c>
      <c r="C801" s="1" t="s">
        <v>8</v>
      </c>
      <c r="D801" s="1" t="s">
        <v>9</v>
      </c>
      <c r="E801" s="1">
        <v>15</v>
      </c>
      <c r="F801" s="1">
        <v>153.27000000000001</v>
      </c>
      <c r="G801" s="1">
        <v>29.61</v>
      </c>
      <c r="H801">
        <f t="shared" si="12"/>
        <v>2299.0500000000002</v>
      </c>
    </row>
    <row r="802" spans="1:8" x14ac:dyDescent="0.25">
      <c r="A802" s="1" t="s">
        <v>815</v>
      </c>
      <c r="B802" s="5">
        <v>45691.333333333336</v>
      </c>
      <c r="C802" s="1" t="s">
        <v>13</v>
      </c>
      <c r="D802" s="1" t="s">
        <v>37</v>
      </c>
      <c r="E802" s="1">
        <v>3</v>
      </c>
      <c r="F802" s="1">
        <v>423.64</v>
      </c>
      <c r="G802" s="1">
        <v>16.55</v>
      </c>
      <c r="H802">
        <f t="shared" si="12"/>
        <v>1270.92</v>
      </c>
    </row>
    <row r="803" spans="1:8" x14ac:dyDescent="0.25">
      <c r="A803" s="1" t="s">
        <v>816</v>
      </c>
      <c r="B803" s="5">
        <v>45691.375</v>
      </c>
      <c r="C803" s="1" t="s">
        <v>23</v>
      </c>
      <c r="D803" s="1" t="s">
        <v>19</v>
      </c>
      <c r="E803" s="1">
        <v>14</v>
      </c>
      <c r="F803" s="1">
        <v>175.62</v>
      </c>
      <c r="G803" s="1">
        <v>35.200000000000003</v>
      </c>
      <c r="H803">
        <f t="shared" si="12"/>
        <v>2458.6800000000003</v>
      </c>
    </row>
    <row r="804" spans="1:8" x14ac:dyDescent="0.25">
      <c r="A804" s="1" t="s">
        <v>817</v>
      </c>
      <c r="B804" s="5">
        <v>45691.416666666664</v>
      </c>
      <c r="C804" s="1" t="s">
        <v>13</v>
      </c>
      <c r="D804" s="1" t="s">
        <v>37</v>
      </c>
      <c r="E804" s="1">
        <v>11</v>
      </c>
      <c r="F804" s="1">
        <v>38.950000000000003</v>
      </c>
      <c r="G804" s="1">
        <v>48.11</v>
      </c>
      <c r="H804">
        <f t="shared" si="12"/>
        <v>428.45000000000005</v>
      </c>
    </row>
    <row r="805" spans="1:8" x14ac:dyDescent="0.25">
      <c r="A805" s="1" t="s">
        <v>818</v>
      </c>
      <c r="B805" s="5">
        <v>45691.458333333336</v>
      </c>
      <c r="C805" s="1" t="s">
        <v>13</v>
      </c>
      <c r="D805" s="1" t="s">
        <v>19</v>
      </c>
      <c r="E805" s="1">
        <v>12</v>
      </c>
      <c r="F805" s="1">
        <v>347.01</v>
      </c>
      <c r="G805" s="1">
        <v>39.630000000000003</v>
      </c>
      <c r="H805">
        <f t="shared" si="12"/>
        <v>4164.12</v>
      </c>
    </row>
    <row r="806" spans="1:8" x14ac:dyDescent="0.25">
      <c r="A806" s="1" t="s">
        <v>819</v>
      </c>
      <c r="B806" s="5">
        <v>45691.5</v>
      </c>
      <c r="C806" s="1" t="s">
        <v>23</v>
      </c>
      <c r="D806" s="1" t="s">
        <v>19</v>
      </c>
      <c r="E806" s="1">
        <v>13</v>
      </c>
      <c r="F806" s="1">
        <v>321.17</v>
      </c>
      <c r="G806" s="1">
        <v>32.18</v>
      </c>
      <c r="H806">
        <f t="shared" si="12"/>
        <v>4175.21</v>
      </c>
    </row>
    <row r="807" spans="1:8" x14ac:dyDescent="0.25">
      <c r="A807" s="1" t="s">
        <v>820</v>
      </c>
      <c r="B807" s="5">
        <v>45691.541666666664</v>
      </c>
      <c r="C807" s="1" t="s">
        <v>11</v>
      </c>
      <c r="D807" s="1" t="s">
        <v>19</v>
      </c>
      <c r="E807" s="1">
        <v>13</v>
      </c>
      <c r="F807" s="1">
        <v>275.29000000000002</v>
      </c>
      <c r="G807" s="1">
        <v>49.58</v>
      </c>
      <c r="H807">
        <f t="shared" si="12"/>
        <v>3578.7700000000004</v>
      </c>
    </row>
    <row r="808" spans="1:8" x14ac:dyDescent="0.25">
      <c r="A808" s="1" t="s">
        <v>821</v>
      </c>
      <c r="B808" s="5">
        <v>45691.583333333336</v>
      </c>
      <c r="C808" s="1" t="s">
        <v>11</v>
      </c>
      <c r="D808" s="1" t="s">
        <v>19</v>
      </c>
      <c r="E808" s="1">
        <v>1</v>
      </c>
      <c r="F808" s="1">
        <v>228.36</v>
      </c>
      <c r="G808" s="1">
        <v>16.940000000000001</v>
      </c>
      <c r="H808">
        <f t="shared" si="12"/>
        <v>228.36</v>
      </c>
    </row>
    <row r="809" spans="1:8" x14ac:dyDescent="0.25">
      <c r="A809" s="1" t="s">
        <v>822</v>
      </c>
      <c r="B809" s="5">
        <v>45691.625</v>
      </c>
      <c r="C809" s="1" t="s">
        <v>13</v>
      </c>
      <c r="D809" s="1" t="s">
        <v>16</v>
      </c>
      <c r="E809" s="1">
        <v>10</v>
      </c>
      <c r="F809" s="1">
        <v>29.48</v>
      </c>
      <c r="G809" s="1">
        <v>7.81</v>
      </c>
      <c r="H809">
        <f t="shared" si="12"/>
        <v>294.8</v>
      </c>
    </row>
    <row r="810" spans="1:8" x14ac:dyDescent="0.25">
      <c r="A810" s="1" t="s">
        <v>823</v>
      </c>
      <c r="B810" s="5">
        <v>45691.666666666664</v>
      </c>
      <c r="C810" s="1" t="s">
        <v>23</v>
      </c>
      <c r="D810" s="1" t="s">
        <v>37</v>
      </c>
      <c r="E810" s="1">
        <v>3</v>
      </c>
      <c r="F810" s="1">
        <v>286.89</v>
      </c>
      <c r="G810" s="1">
        <v>6.45</v>
      </c>
      <c r="H810">
        <f t="shared" si="12"/>
        <v>860.67</v>
      </c>
    </row>
    <row r="811" spans="1:8" x14ac:dyDescent="0.25">
      <c r="A811" s="1" t="s">
        <v>824</v>
      </c>
      <c r="B811" s="5">
        <v>45691.708333333336</v>
      </c>
      <c r="C811" s="1" t="s">
        <v>13</v>
      </c>
      <c r="D811" s="1" t="s">
        <v>37</v>
      </c>
      <c r="E811" s="1">
        <v>4</v>
      </c>
      <c r="F811" s="1">
        <v>196.61</v>
      </c>
      <c r="G811" s="1">
        <v>36.979999999999997</v>
      </c>
      <c r="H811">
        <f t="shared" si="12"/>
        <v>786.44</v>
      </c>
    </row>
    <row r="812" spans="1:8" x14ac:dyDescent="0.25">
      <c r="A812" s="1" t="s">
        <v>825</v>
      </c>
      <c r="B812" s="5">
        <v>45691.75</v>
      </c>
      <c r="C812" s="1" t="s">
        <v>8</v>
      </c>
      <c r="D812" s="1" t="s">
        <v>19</v>
      </c>
      <c r="E812" s="1">
        <v>16</v>
      </c>
      <c r="F812" s="1">
        <v>258.91000000000003</v>
      </c>
      <c r="G812" s="1">
        <v>42.36</v>
      </c>
      <c r="H812">
        <f t="shared" si="12"/>
        <v>4142.5600000000004</v>
      </c>
    </row>
    <row r="813" spans="1:8" x14ac:dyDescent="0.25">
      <c r="A813" s="1" t="s">
        <v>826</v>
      </c>
      <c r="B813" s="5">
        <v>45691.791666666664</v>
      </c>
      <c r="C813" s="1" t="s">
        <v>8</v>
      </c>
      <c r="D813" s="1" t="s">
        <v>19</v>
      </c>
      <c r="E813" s="1">
        <v>8</v>
      </c>
      <c r="F813" s="1">
        <v>202.04</v>
      </c>
      <c r="G813" s="1">
        <v>33.58</v>
      </c>
      <c r="H813">
        <f t="shared" si="12"/>
        <v>1616.32</v>
      </c>
    </row>
    <row r="814" spans="1:8" x14ac:dyDescent="0.25">
      <c r="A814" s="1" t="s">
        <v>827</v>
      </c>
      <c r="B814" s="5">
        <v>45691.833333333336</v>
      </c>
      <c r="C814" s="1" t="s">
        <v>13</v>
      </c>
      <c r="D814" s="1" t="s">
        <v>37</v>
      </c>
      <c r="E814" s="1">
        <v>16</v>
      </c>
      <c r="F814" s="1">
        <v>435.25</v>
      </c>
      <c r="G814" s="1">
        <v>45.73</v>
      </c>
      <c r="H814">
        <f t="shared" si="12"/>
        <v>6964</v>
      </c>
    </row>
    <row r="815" spans="1:8" x14ac:dyDescent="0.25">
      <c r="A815" s="1" t="s">
        <v>828</v>
      </c>
      <c r="B815" s="5">
        <v>45691.875</v>
      </c>
      <c r="C815" s="1" t="s">
        <v>11</v>
      </c>
      <c r="D815" s="1" t="s">
        <v>16</v>
      </c>
      <c r="E815" s="1">
        <v>17</v>
      </c>
      <c r="F815" s="1">
        <v>277.99</v>
      </c>
      <c r="G815" s="1">
        <v>36.409999999999997</v>
      </c>
      <c r="H815">
        <f t="shared" si="12"/>
        <v>4725.83</v>
      </c>
    </row>
    <row r="816" spans="1:8" x14ac:dyDescent="0.25">
      <c r="A816" s="1" t="s">
        <v>829</v>
      </c>
      <c r="B816" s="5">
        <v>45691.916666666664</v>
      </c>
      <c r="C816" s="1" t="s">
        <v>11</v>
      </c>
      <c r="D816" s="1" t="s">
        <v>9</v>
      </c>
      <c r="E816" s="1">
        <v>19</v>
      </c>
      <c r="F816" s="1">
        <v>341.04</v>
      </c>
      <c r="G816" s="1">
        <v>21.69</v>
      </c>
      <c r="H816">
        <f t="shared" si="12"/>
        <v>6479.76</v>
      </c>
    </row>
    <row r="817" spans="1:8" x14ac:dyDescent="0.25">
      <c r="A817" s="1" t="s">
        <v>830</v>
      </c>
      <c r="B817" s="5">
        <v>45691.958333333336</v>
      </c>
      <c r="C817" s="1" t="s">
        <v>13</v>
      </c>
      <c r="D817" s="1" t="s">
        <v>9</v>
      </c>
      <c r="E817" s="1">
        <v>15</v>
      </c>
      <c r="F817" s="1">
        <v>422.34</v>
      </c>
      <c r="G817" s="1">
        <v>13.16</v>
      </c>
      <c r="H817">
        <f t="shared" si="12"/>
        <v>6335.0999999999995</v>
      </c>
    </row>
    <row r="818" spans="1:8" x14ac:dyDescent="0.25">
      <c r="A818" s="1" t="s">
        <v>831</v>
      </c>
      <c r="B818" s="5">
        <v>45692</v>
      </c>
      <c r="C818" s="1" t="s">
        <v>13</v>
      </c>
      <c r="D818" s="1" t="s">
        <v>37</v>
      </c>
      <c r="E818" s="1">
        <v>16</v>
      </c>
      <c r="F818" s="1">
        <v>272.55</v>
      </c>
      <c r="G818" s="1">
        <v>46.61</v>
      </c>
      <c r="H818">
        <f t="shared" si="12"/>
        <v>4360.8</v>
      </c>
    </row>
    <row r="819" spans="1:8" x14ac:dyDescent="0.25">
      <c r="A819" s="1" t="s">
        <v>832</v>
      </c>
      <c r="B819" s="5">
        <v>45692.041666666664</v>
      </c>
      <c r="C819" s="1" t="s">
        <v>8</v>
      </c>
      <c r="D819" s="1" t="s">
        <v>19</v>
      </c>
      <c r="E819" s="1">
        <v>15</v>
      </c>
      <c r="F819" s="1">
        <v>20.74</v>
      </c>
      <c r="G819" s="1">
        <v>9.66</v>
      </c>
      <c r="H819">
        <f t="shared" si="12"/>
        <v>311.09999999999997</v>
      </c>
    </row>
    <row r="820" spans="1:8" x14ac:dyDescent="0.25">
      <c r="A820" s="1" t="s">
        <v>833</v>
      </c>
      <c r="B820" s="5">
        <v>45692.083333333336</v>
      </c>
      <c r="C820" s="1" t="s">
        <v>11</v>
      </c>
      <c r="D820" s="1" t="s">
        <v>19</v>
      </c>
      <c r="E820" s="1">
        <v>2</v>
      </c>
      <c r="F820" s="1">
        <v>30.4</v>
      </c>
      <c r="G820" s="1">
        <v>29.43</v>
      </c>
      <c r="H820">
        <f t="shared" si="12"/>
        <v>60.8</v>
      </c>
    </row>
    <row r="821" spans="1:8" x14ac:dyDescent="0.25">
      <c r="A821" s="1" t="s">
        <v>834</v>
      </c>
      <c r="B821" s="5">
        <v>45692.125</v>
      </c>
      <c r="C821" s="1" t="s">
        <v>13</v>
      </c>
      <c r="D821" s="1" t="s">
        <v>16</v>
      </c>
      <c r="E821" s="1">
        <v>11</v>
      </c>
      <c r="F821" s="1">
        <v>320.67</v>
      </c>
      <c r="G821" s="1">
        <v>19.13</v>
      </c>
      <c r="H821">
        <f t="shared" si="12"/>
        <v>3527.3700000000003</v>
      </c>
    </row>
    <row r="822" spans="1:8" x14ac:dyDescent="0.25">
      <c r="A822" s="1" t="s">
        <v>835</v>
      </c>
      <c r="B822" s="5">
        <v>45692.166666666664</v>
      </c>
      <c r="C822" s="1" t="s">
        <v>8</v>
      </c>
      <c r="D822" s="1" t="s">
        <v>9</v>
      </c>
      <c r="E822" s="1">
        <v>1</v>
      </c>
      <c r="F822" s="1">
        <v>136.76</v>
      </c>
      <c r="G822" s="1">
        <v>17.21</v>
      </c>
      <c r="H822">
        <f t="shared" si="12"/>
        <v>136.76</v>
      </c>
    </row>
    <row r="823" spans="1:8" x14ac:dyDescent="0.25">
      <c r="A823" s="1" t="s">
        <v>836</v>
      </c>
      <c r="B823" s="5">
        <v>45692.208333333336</v>
      </c>
      <c r="C823" s="1" t="s">
        <v>11</v>
      </c>
      <c r="D823" s="1" t="s">
        <v>16</v>
      </c>
      <c r="E823" s="1">
        <v>15</v>
      </c>
      <c r="F823" s="1">
        <v>267.24</v>
      </c>
      <c r="G823" s="1">
        <v>34.06</v>
      </c>
      <c r="H823">
        <f t="shared" si="12"/>
        <v>4008.6000000000004</v>
      </c>
    </row>
    <row r="824" spans="1:8" x14ac:dyDescent="0.25">
      <c r="A824" s="1" t="s">
        <v>837</v>
      </c>
      <c r="B824" s="5">
        <v>45692.25</v>
      </c>
      <c r="C824" s="1" t="s">
        <v>23</v>
      </c>
      <c r="D824" s="1" t="s">
        <v>9</v>
      </c>
      <c r="E824" s="1">
        <v>19</v>
      </c>
      <c r="F824" s="1">
        <v>103.39</v>
      </c>
      <c r="G824" s="1">
        <v>15.41</v>
      </c>
      <c r="H824">
        <f t="shared" si="12"/>
        <v>1964.41</v>
      </c>
    </row>
    <row r="825" spans="1:8" x14ac:dyDescent="0.25">
      <c r="A825" s="1" t="s">
        <v>838</v>
      </c>
      <c r="B825" s="5">
        <v>45692.291666666664</v>
      </c>
      <c r="C825" s="1" t="s">
        <v>8</v>
      </c>
      <c r="D825" s="1" t="s">
        <v>37</v>
      </c>
      <c r="E825" s="1">
        <v>4</v>
      </c>
      <c r="F825" s="1">
        <v>132.91999999999999</v>
      </c>
      <c r="G825" s="1">
        <v>46.24</v>
      </c>
      <c r="H825">
        <f t="shared" si="12"/>
        <v>531.67999999999995</v>
      </c>
    </row>
    <row r="826" spans="1:8" x14ac:dyDescent="0.25">
      <c r="A826" s="1" t="s">
        <v>839</v>
      </c>
      <c r="B826" s="5">
        <v>45692.333333333336</v>
      </c>
      <c r="C826" s="1" t="s">
        <v>11</v>
      </c>
      <c r="D826" s="1" t="s">
        <v>9</v>
      </c>
      <c r="E826" s="1">
        <v>11</v>
      </c>
      <c r="F826" s="1">
        <v>234.77</v>
      </c>
      <c r="G826" s="1">
        <v>23.27</v>
      </c>
      <c r="H826">
        <f t="shared" si="12"/>
        <v>2582.4700000000003</v>
      </c>
    </row>
    <row r="827" spans="1:8" x14ac:dyDescent="0.25">
      <c r="A827" s="1" t="s">
        <v>840</v>
      </c>
      <c r="B827" s="5">
        <v>45692.375</v>
      </c>
      <c r="C827" s="1" t="s">
        <v>11</v>
      </c>
      <c r="D827" s="1" t="s">
        <v>16</v>
      </c>
      <c r="E827" s="1">
        <v>5</v>
      </c>
      <c r="F827" s="1">
        <v>439.38</v>
      </c>
      <c r="G827" s="1">
        <v>35.479999999999997</v>
      </c>
      <c r="H827">
        <f t="shared" si="12"/>
        <v>2196.9</v>
      </c>
    </row>
    <row r="828" spans="1:8" x14ac:dyDescent="0.25">
      <c r="A828" s="1" t="s">
        <v>841</v>
      </c>
      <c r="B828" s="5">
        <v>45692.416666666664</v>
      </c>
      <c r="C828" s="1" t="s">
        <v>8</v>
      </c>
      <c r="D828" s="1" t="s">
        <v>16</v>
      </c>
      <c r="E828" s="1">
        <v>3</v>
      </c>
      <c r="F828" s="1">
        <v>283.27</v>
      </c>
      <c r="G828" s="1">
        <v>37.75</v>
      </c>
      <c r="H828">
        <f t="shared" si="12"/>
        <v>849.81</v>
      </c>
    </row>
    <row r="829" spans="1:8" x14ac:dyDescent="0.25">
      <c r="A829" s="1" t="s">
        <v>842</v>
      </c>
      <c r="B829" s="5">
        <v>45692.458333333336</v>
      </c>
      <c r="C829" s="1" t="s">
        <v>23</v>
      </c>
      <c r="D829" s="1" t="s">
        <v>16</v>
      </c>
      <c r="E829" s="1">
        <v>13</v>
      </c>
      <c r="F829" s="1">
        <v>422.26</v>
      </c>
      <c r="G829" s="1">
        <v>35.729999999999997</v>
      </c>
      <c r="H829">
        <f t="shared" si="12"/>
        <v>5489.38</v>
      </c>
    </row>
    <row r="830" spans="1:8" x14ac:dyDescent="0.25">
      <c r="A830" s="1" t="s">
        <v>843</v>
      </c>
      <c r="B830" s="5">
        <v>45692.5</v>
      </c>
      <c r="C830" s="1" t="s">
        <v>8</v>
      </c>
      <c r="D830" s="1" t="s">
        <v>37</v>
      </c>
      <c r="E830" s="1">
        <v>10</v>
      </c>
      <c r="F830" s="1">
        <v>432.35</v>
      </c>
      <c r="G830" s="1">
        <v>45.65</v>
      </c>
      <c r="H830">
        <f t="shared" si="12"/>
        <v>4323.5</v>
      </c>
    </row>
    <row r="831" spans="1:8" x14ac:dyDescent="0.25">
      <c r="A831" s="1" t="s">
        <v>844</v>
      </c>
      <c r="B831" s="5">
        <v>45692.541666666664</v>
      </c>
      <c r="C831" s="1" t="s">
        <v>11</v>
      </c>
      <c r="D831" s="1" t="s">
        <v>9</v>
      </c>
      <c r="E831" s="1">
        <v>11</v>
      </c>
      <c r="F831" s="1">
        <v>105.92</v>
      </c>
      <c r="G831" s="1">
        <v>15.4</v>
      </c>
      <c r="H831">
        <f t="shared" si="12"/>
        <v>1165.1200000000001</v>
      </c>
    </row>
    <row r="832" spans="1:8" x14ac:dyDescent="0.25">
      <c r="A832" s="1" t="s">
        <v>845</v>
      </c>
      <c r="B832" s="5">
        <v>45692.583333333336</v>
      </c>
      <c r="C832" s="1" t="s">
        <v>13</v>
      </c>
      <c r="D832" s="1" t="s">
        <v>9</v>
      </c>
      <c r="E832" s="1">
        <v>18</v>
      </c>
      <c r="F832" s="1">
        <v>150.71</v>
      </c>
      <c r="G832" s="1">
        <v>8.8699999999999992</v>
      </c>
      <c r="H832">
        <f t="shared" si="12"/>
        <v>2712.78</v>
      </c>
    </row>
    <row r="833" spans="1:8" x14ac:dyDescent="0.25">
      <c r="A833" s="1" t="s">
        <v>846</v>
      </c>
      <c r="B833" s="5">
        <v>45692.625</v>
      </c>
      <c r="C833" s="1" t="s">
        <v>13</v>
      </c>
      <c r="D833" s="1" t="s">
        <v>16</v>
      </c>
      <c r="E833" s="1">
        <v>2</v>
      </c>
      <c r="F833" s="1">
        <v>350.06</v>
      </c>
      <c r="G833" s="1">
        <v>7.5</v>
      </c>
      <c r="H833">
        <f t="shared" si="12"/>
        <v>700.12</v>
      </c>
    </row>
    <row r="834" spans="1:8" x14ac:dyDescent="0.25">
      <c r="A834" s="1" t="s">
        <v>847</v>
      </c>
      <c r="B834" s="5">
        <v>45692.666666666664</v>
      </c>
      <c r="C834" s="1" t="s">
        <v>8</v>
      </c>
      <c r="D834" s="1" t="s">
        <v>9</v>
      </c>
      <c r="E834" s="1">
        <v>7</v>
      </c>
      <c r="F834" s="1">
        <v>392.11</v>
      </c>
      <c r="G834" s="1">
        <v>44.5</v>
      </c>
      <c r="H834">
        <f t="shared" ref="H834:H897" si="13">E834*F834</f>
        <v>2744.77</v>
      </c>
    </row>
    <row r="835" spans="1:8" x14ac:dyDescent="0.25">
      <c r="A835" s="1" t="s">
        <v>848</v>
      </c>
      <c r="B835" s="5">
        <v>45692.708333333336</v>
      </c>
      <c r="C835" s="1" t="s">
        <v>11</v>
      </c>
      <c r="D835" s="1" t="s">
        <v>19</v>
      </c>
      <c r="E835" s="1">
        <v>9</v>
      </c>
      <c r="F835" s="1">
        <v>241.1</v>
      </c>
      <c r="G835" s="1">
        <v>48.8</v>
      </c>
      <c r="H835">
        <f t="shared" si="13"/>
        <v>2169.9</v>
      </c>
    </row>
    <row r="836" spans="1:8" x14ac:dyDescent="0.25">
      <c r="A836" s="1" t="s">
        <v>849</v>
      </c>
      <c r="B836" s="5">
        <v>45692.75</v>
      </c>
      <c r="C836" s="1" t="s">
        <v>13</v>
      </c>
      <c r="D836" s="1" t="s">
        <v>19</v>
      </c>
      <c r="E836" s="1">
        <v>10</v>
      </c>
      <c r="F836" s="1">
        <v>447.06</v>
      </c>
      <c r="G836" s="1">
        <v>18.61</v>
      </c>
      <c r="H836">
        <f t="shared" si="13"/>
        <v>4470.6000000000004</v>
      </c>
    </row>
    <row r="837" spans="1:8" x14ac:dyDescent="0.25">
      <c r="A837" s="1" t="s">
        <v>850</v>
      </c>
      <c r="B837" s="5">
        <v>45692.791666666664</v>
      </c>
      <c r="C837" s="1" t="s">
        <v>11</v>
      </c>
      <c r="D837" s="1" t="s">
        <v>19</v>
      </c>
      <c r="E837" s="1">
        <v>18</v>
      </c>
      <c r="F837" s="1">
        <v>20.53</v>
      </c>
      <c r="G837" s="1">
        <v>36.21</v>
      </c>
      <c r="H837">
        <f t="shared" si="13"/>
        <v>369.54</v>
      </c>
    </row>
    <row r="838" spans="1:8" x14ac:dyDescent="0.25">
      <c r="A838" s="1" t="s">
        <v>851</v>
      </c>
      <c r="B838" s="5">
        <v>45692.833333333336</v>
      </c>
      <c r="C838" s="1" t="s">
        <v>8</v>
      </c>
      <c r="D838" s="1" t="s">
        <v>9</v>
      </c>
      <c r="E838" s="1">
        <v>7</v>
      </c>
      <c r="F838" s="1">
        <v>145.66999999999999</v>
      </c>
      <c r="G838" s="1">
        <v>5.4</v>
      </c>
      <c r="H838">
        <f t="shared" si="13"/>
        <v>1019.6899999999999</v>
      </c>
    </row>
    <row r="839" spans="1:8" x14ac:dyDescent="0.25">
      <c r="A839" s="1" t="s">
        <v>852</v>
      </c>
      <c r="B839" s="5">
        <v>45692.875</v>
      </c>
      <c r="C839" s="1" t="s">
        <v>13</v>
      </c>
      <c r="D839" s="1" t="s">
        <v>37</v>
      </c>
      <c r="E839" s="1">
        <v>7</v>
      </c>
      <c r="F839" s="1">
        <v>286.26</v>
      </c>
      <c r="G839" s="1">
        <v>13.49</v>
      </c>
      <c r="H839">
        <f t="shared" si="13"/>
        <v>2003.82</v>
      </c>
    </row>
    <row r="840" spans="1:8" x14ac:dyDescent="0.25">
      <c r="A840" s="1" t="s">
        <v>853</v>
      </c>
      <c r="B840" s="5">
        <v>45692.916666666664</v>
      </c>
      <c r="C840" s="1" t="s">
        <v>11</v>
      </c>
      <c r="D840" s="1" t="s">
        <v>37</v>
      </c>
      <c r="E840" s="1">
        <v>3</v>
      </c>
      <c r="F840" s="1">
        <v>219.41</v>
      </c>
      <c r="G840" s="1">
        <v>36.020000000000003</v>
      </c>
      <c r="H840">
        <f t="shared" si="13"/>
        <v>658.23</v>
      </c>
    </row>
    <row r="841" spans="1:8" x14ac:dyDescent="0.25">
      <c r="A841" s="1" t="s">
        <v>854</v>
      </c>
      <c r="B841" s="5">
        <v>45692.958333333336</v>
      </c>
      <c r="C841" s="1" t="s">
        <v>13</v>
      </c>
      <c r="D841" s="1" t="s">
        <v>37</v>
      </c>
      <c r="E841" s="1">
        <v>12</v>
      </c>
      <c r="F841" s="1">
        <v>66.16</v>
      </c>
      <c r="G841" s="1">
        <v>7.96</v>
      </c>
      <c r="H841">
        <f t="shared" si="13"/>
        <v>793.92</v>
      </c>
    </row>
    <row r="842" spans="1:8" x14ac:dyDescent="0.25">
      <c r="A842" s="1" t="s">
        <v>855</v>
      </c>
      <c r="B842" s="5">
        <v>45693</v>
      </c>
      <c r="C842" s="1" t="s">
        <v>8</v>
      </c>
      <c r="D842" s="1" t="s">
        <v>37</v>
      </c>
      <c r="E842" s="1">
        <v>7</v>
      </c>
      <c r="F842" s="1">
        <v>175.3</v>
      </c>
      <c r="G842" s="1">
        <v>26.08</v>
      </c>
      <c r="H842">
        <f t="shared" si="13"/>
        <v>1227.1000000000001</v>
      </c>
    </row>
    <row r="843" spans="1:8" x14ac:dyDescent="0.25">
      <c r="A843" s="1" t="s">
        <v>856</v>
      </c>
      <c r="B843" s="5">
        <v>45693.041666666664</v>
      </c>
      <c r="C843" s="1" t="s">
        <v>11</v>
      </c>
      <c r="D843" s="1" t="s">
        <v>19</v>
      </c>
      <c r="E843" s="1">
        <v>17</v>
      </c>
      <c r="F843" s="1">
        <v>26.56</v>
      </c>
      <c r="G843" s="1">
        <v>34.82</v>
      </c>
      <c r="H843">
        <f t="shared" si="13"/>
        <v>451.52</v>
      </c>
    </row>
    <row r="844" spans="1:8" x14ac:dyDescent="0.25">
      <c r="A844" s="1" t="s">
        <v>857</v>
      </c>
      <c r="B844" s="5">
        <v>45693.083333333336</v>
      </c>
      <c r="C844" s="1" t="s">
        <v>13</v>
      </c>
      <c r="D844" s="1" t="s">
        <v>19</v>
      </c>
      <c r="E844" s="1">
        <v>1</v>
      </c>
      <c r="F844" s="1">
        <v>294.77</v>
      </c>
      <c r="G844" s="1">
        <v>39.47</v>
      </c>
      <c r="H844">
        <f t="shared" si="13"/>
        <v>294.77</v>
      </c>
    </row>
    <row r="845" spans="1:8" x14ac:dyDescent="0.25">
      <c r="A845" s="1" t="s">
        <v>858</v>
      </c>
      <c r="B845" s="5">
        <v>45693.125</v>
      </c>
      <c r="C845" s="1" t="s">
        <v>8</v>
      </c>
      <c r="D845" s="1" t="s">
        <v>16</v>
      </c>
      <c r="E845" s="1">
        <v>5</v>
      </c>
      <c r="F845" s="1">
        <v>403.4</v>
      </c>
      <c r="G845" s="1">
        <v>25.42</v>
      </c>
      <c r="H845">
        <f t="shared" si="13"/>
        <v>2017</v>
      </c>
    </row>
    <row r="846" spans="1:8" x14ac:dyDescent="0.25">
      <c r="A846" s="1" t="s">
        <v>859</v>
      </c>
      <c r="B846" s="5">
        <v>45693.166666666664</v>
      </c>
      <c r="C846" s="1" t="s">
        <v>13</v>
      </c>
      <c r="D846" s="1" t="s">
        <v>9</v>
      </c>
      <c r="E846" s="1">
        <v>16</v>
      </c>
      <c r="F846" s="1">
        <v>399.98</v>
      </c>
      <c r="G846" s="1">
        <v>33.36</v>
      </c>
      <c r="H846">
        <f t="shared" si="13"/>
        <v>6399.68</v>
      </c>
    </row>
    <row r="847" spans="1:8" x14ac:dyDescent="0.25">
      <c r="A847" s="1" t="s">
        <v>860</v>
      </c>
      <c r="B847" s="5">
        <v>45693.208333333336</v>
      </c>
      <c r="C847" s="1" t="s">
        <v>13</v>
      </c>
      <c r="D847" s="1" t="s">
        <v>9</v>
      </c>
      <c r="E847" s="1">
        <v>15</v>
      </c>
      <c r="F847" s="1">
        <v>319.45</v>
      </c>
      <c r="G847" s="1">
        <v>29.28</v>
      </c>
      <c r="H847">
        <f t="shared" si="13"/>
        <v>4791.75</v>
      </c>
    </row>
    <row r="848" spans="1:8" x14ac:dyDescent="0.25">
      <c r="A848" s="1" t="s">
        <v>861</v>
      </c>
      <c r="B848" s="5">
        <v>45693.25</v>
      </c>
      <c r="C848" s="1" t="s">
        <v>23</v>
      </c>
      <c r="D848" s="1" t="s">
        <v>37</v>
      </c>
      <c r="E848" s="1">
        <v>2</v>
      </c>
      <c r="F848" s="1">
        <v>217.88</v>
      </c>
      <c r="G848" s="1">
        <v>7.35</v>
      </c>
      <c r="H848">
        <f t="shared" si="13"/>
        <v>435.76</v>
      </c>
    </row>
    <row r="849" spans="1:8" x14ac:dyDescent="0.25">
      <c r="A849" s="1" t="s">
        <v>862</v>
      </c>
      <c r="B849" s="5">
        <v>45693.291666666664</v>
      </c>
      <c r="C849" s="1" t="s">
        <v>23</v>
      </c>
      <c r="D849" s="1" t="s">
        <v>19</v>
      </c>
      <c r="E849" s="1">
        <v>9</v>
      </c>
      <c r="F849" s="1">
        <v>237.98</v>
      </c>
      <c r="G849" s="1">
        <v>38.43</v>
      </c>
      <c r="H849">
        <f t="shared" si="13"/>
        <v>2141.8199999999997</v>
      </c>
    </row>
    <row r="850" spans="1:8" x14ac:dyDescent="0.25">
      <c r="A850" s="1" t="s">
        <v>863</v>
      </c>
      <c r="B850" s="5">
        <v>45693.333333333336</v>
      </c>
      <c r="C850" s="1" t="s">
        <v>8</v>
      </c>
      <c r="D850" s="1" t="s">
        <v>37</v>
      </c>
      <c r="E850" s="1">
        <v>7</v>
      </c>
      <c r="F850" s="1">
        <v>74.989999999999995</v>
      </c>
      <c r="G850" s="1">
        <v>12.76</v>
      </c>
      <c r="H850">
        <f t="shared" si="13"/>
        <v>524.92999999999995</v>
      </c>
    </row>
    <row r="851" spans="1:8" x14ac:dyDescent="0.25">
      <c r="A851" s="1" t="s">
        <v>864</v>
      </c>
      <c r="B851" s="5">
        <v>45693.375</v>
      </c>
      <c r="C851" s="1" t="s">
        <v>23</v>
      </c>
      <c r="D851" s="1" t="s">
        <v>16</v>
      </c>
      <c r="E851" s="1">
        <v>4</v>
      </c>
      <c r="F851" s="1">
        <v>163.66999999999999</v>
      </c>
      <c r="G851" s="1">
        <v>6.43</v>
      </c>
      <c r="H851">
        <f t="shared" si="13"/>
        <v>654.67999999999995</v>
      </c>
    </row>
    <row r="852" spans="1:8" x14ac:dyDescent="0.25">
      <c r="A852" s="1" t="s">
        <v>865</v>
      </c>
      <c r="B852" s="5">
        <v>45693.416666666664</v>
      </c>
      <c r="C852" s="1" t="s">
        <v>8</v>
      </c>
      <c r="D852" s="1" t="s">
        <v>9</v>
      </c>
      <c r="E852" s="1">
        <v>18</v>
      </c>
      <c r="F852" s="1">
        <v>97.07</v>
      </c>
      <c r="G852" s="1">
        <v>25.3</v>
      </c>
      <c r="H852">
        <f t="shared" si="13"/>
        <v>1747.2599999999998</v>
      </c>
    </row>
    <row r="853" spans="1:8" x14ac:dyDescent="0.25">
      <c r="A853" s="1" t="s">
        <v>866</v>
      </c>
      <c r="B853" s="5">
        <v>45693.458333333336</v>
      </c>
      <c r="C853" s="1" t="s">
        <v>23</v>
      </c>
      <c r="D853" s="1" t="s">
        <v>9</v>
      </c>
      <c r="E853" s="1">
        <v>4</v>
      </c>
      <c r="F853" s="1">
        <v>372.31</v>
      </c>
      <c r="G853" s="1">
        <v>43.95</v>
      </c>
      <c r="H853">
        <f t="shared" si="13"/>
        <v>1489.24</v>
      </c>
    </row>
    <row r="854" spans="1:8" x14ac:dyDescent="0.25">
      <c r="A854" s="1" t="s">
        <v>867</v>
      </c>
      <c r="B854" s="5">
        <v>45693.5</v>
      </c>
      <c r="C854" s="1" t="s">
        <v>13</v>
      </c>
      <c r="D854" s="1" t="s">
        <v>37</v>
      </c>
      <c r="E854" s="1">
        <v>13</v>
      </c>
      <c r="F854" s="1">
        <v>412.96</v>
      </c>
      <c r="G854" s="1">
        <v>11.79</v>
      </c>
      <c r="H854">
        <f t="shared" si="13"/>
        <v>5368.48</v>
      </c>
    </row>
    <row r="855" spans="1:8" x14ac:dyDescent="0.25">
      <c r="A855" s="1" t="s">
        <v>868</v>
      </c>
      <c r="B855" s="5">
        <v>45693.541666666664</v>
      </c>
      <c r="C855" s="1" t="s">
        <v>8</v>
      </c>
      <c r="D855" s="1" t="s">
        <v>16</v>
      </c>
      <c r="E855" s="1">
        <v>1</v>
      </c>
      <c r="F855" s="1">
        <v>248.79</v>
      </c>
      <c r="G855" s="1">
        <v>5.58</v>
      </c>
      <c r="H855">
        <f t="shared" si="13"/>
        <v>248.79</v>
      </c>
    </row>
    <row r="856" spans="1:8" x14ac:dyDescent="0.25">
      <c r="A856" s="1" t="s">
        <v>869</v>
      </c>
      <c r="B856" s="5">
        <v>45693.583333333336</v>
      </c>
      <c r="C856" s="1" t="s">
        <v>8</v>
      </c>
      <c r="D856" s="1" t="s">
        <v>9</v>
      </c>
      <c r="E856" s="1">
        <v>3</v>
      </c>
      <c r="F856" s="1">
        <v>331.71</v>
      </c>
      <c r="G856" s="1">
        <v>9.9499999999999993</v>
      </c>
      <c r="H856">
        <f t="shared" si="13"/>
        <v>995.12999999999988</v>
      </c>
    </row>
    <row r="857" spans="1:8" x14ac:dyDescent="0.25">
      <c r="A857" s="1" t="s">
        <v>870</v>
      </c>
      <c r="B857" s="5">
        <v>45693.625</v>
      </c>
      <c r="C857" s="1" t="s">
        <v>13</v>
      </c>
      <c r="D857" s="1" t="s">
        <v>16</v>
      </c>
      <c r="E857" s="1">
        <v>16</v>
      </c>
      <c r="F857" s="1">
        <v>68.28</v>
      </c>
      <c r="G857" s="1">
        <v>21.36</v>
      </c>
      <c r="H857">
        <f t="shared" si="13"/>
        <v>1092.48</v>
      </c>
    </row>
    <row r="858" spans="1:8" x14ac:dyDescent="0.25">
      <c r="A858" s="1" t="s">
        <v>871</v>
      </c>
      <c r="B858" s="5">
        <v>45693.666666666664</v>
      </c>
      <c r="C858" s="1" t="s">
        <v>8</v>
      </c>
      <c r="D858" s="1" t="s">
        <v>16</v>
      </c>
      <c r="E858" s="1">
        <v>4</v>
      </c>
      <c r="F858" s="1">
        <v>279.91000000000003</v>
      </c>
      <c r="G858" s="1">
        <v>31.11</v>
      </c>
      <c r="H858">
        <f t="shared" si="13"/>
        <v>1119.6400000000001</v>
      </c>
    </row>
    <row r="859" spans="1:8" x14ac:dyDescent="0.25">
      <c r="A859" s="1" t="s">
        <v>872</v>
      </c>
      <c r="B859" s="5">
        <v>45693.708333333336</v>
      </c>
      <c r="C859" s="1" t="s">
        <v>8</v>
      </c>
      <c r="D859" s="1" t="s">
        <v>37</v>
      </c>
      <c r="E859" s="1">
        <v>16</v>
      </c>
      <c r="F859" s="1">
        <v>320.86</v>
      </c>
      <c r="G859" s="1">
        <v>13.69</v>
      </c>
      <c r="H859">
        <f t="shared" si="13"/>
        <v>5133.76</v>
      </c>
    </row>
    <row r="860" spans="1:8" x14ac:dyDescent="0.25">
      <c r="A860" s="1" t="s">
        <v>873</v>
      </c>
      <c r="B860" s="5">
        <v>45693.75</v>
      </c>
      <c r="C860" s="1" t="s">
        <v>23</v>
      </c>
      <c r="D860" s="1" t="s">
        <v>19</v>
      </c>
      <c r="E860" s="1">
        <v>19</v>
      </c>
      <c r="F860" s="1">
        <v>212.23</v>
      </c>
      <c r="G860" s="1">
        <v>41.09</v>
      </c>
      <c r="H860">
        <f t="shared" si="13"/>
        <v>4032.37</v>
      </c>
    </row>
    <row r="861" spans="1:8" x14ac:dyDescent="0.25">
      <c r="A861" s="1" t="s">
        <v>874</v>
      </c>
      <c r="B861" s="5">
        <v>45693.791666666664</v>
      </c>
      <c r="C861" s="1" t="s">
        <v>8</v>
      </c>
      <c r="D861" s="1" t="s">
        <v>37</v>
      </c>
      <c r="E861" s="1">
        <v>1</v>
      </c>
      <c r="F861" s="1">
        <v>121.2</v>
      </c>
      <c r="G861" s="1">
        <v>38.9</v>
      </c>
      <c r="H861">
        <f t="shared" si="13"/>
        <v>121.2</v>
      </c>
    </row>
    <row r="862" spans="1:8" x14ac:dyDescent="0.25">
      <c r="A862" s="1" t="s">
        <v>875</v>
      </c>
      <c r="B862" s="5">
        <v>45693.833333333336</v>
      </c>
      <c r="C862" s="1" t="s">
        <v>11</v>
      </c>
      <c r="D862" s="1" t="s">
        <v>19</v>
      </c>
      <c r="E862" s="1">
        <v>5</v>
      </c>
      <c r="F862" s="1">
        <v>396.72</v>
      </c>
      <c r="G862" s="1">
        <v>36.31</v>
      </c>
      <c r="H862">
        <f t="shared" si="13"/>
        <v>1983.6000000000001</v>
      </c>
    </row>
    <row r="863" spans="1:8" x14ac:dyDescent="0.25">
      <c r="A863" s="1" t="s">
        <v>876</v>
      </c>
      <c r="B863" s="5">
        <v>45693.875</v>
      </c>
      <c r="C863" s="1" t="s">
        <v>13</v>
      </c>
      <c r="D863" s="1" t="s">
        <v>16</v>
      </c>
      <c r="E863" s="1">
        <v>19</v>
      </c>
      <c r="F863" s="1">
        <v>338.29</v>
      </c>
      <c r="G863" s="1">
        <v>26.94</v>
      </c>
      <c r="H863">
        <f t="shared" si="13"/>
        <v>6427.51</v>
      </c>
    </row>
    <row r="864" spans="1:8" x14ac:dyDescent="0.25">
      <c r="A864" s="1" t="s">
        <v>877</v>
      </c>
      <c r="B864" s="5">
        <v>45693.916666666664</v>
      </c>
      <c r="C864" s="1" t="s">
        <v>23</v>
      </c>
      <c r="D864" s="1" t="s">
        <v>19</v>
      </c>
      <c r="E864" s="1">
        <v>11</v>
      </c>
      <c r="F864" s="1">
        <v>406.49</v>
      </c>
      <c r="G864" s="1">
        <v>21.43</v>
      </c>
      <c r="H864">
        <f t="shared" si="13"/>
        <v>4471.3900000000003</v>
      </c>
    </row>
    <row r="865" spans="1:8" x14ac:dyDescent="0.25">
      <c r="A865" s="1" t="s">
        <v>878</v>
      </c>
      <c r="B865" s="5">
        <v>45693.958333333336</v>
      </c>
      <c r="C865" s="1" t="s">
        <v>23</v>
      </c>
      <c r="D865" s="1" t="s">
        <v>16</v>
      </c>
      <c r="E865" s="1">
        <v>13</v>
      </c>
      <c r="F865" s="1">
        <v>371.1</v>
      </c>
      <c r="G865" s="1">
        <v>21.9</v>
      </c>
      <c r="H865">
        <f t="shared" si="13"/>
        <v>4824.3</v>
      </c>
    </row>
    <row r="866" spans="1:8" x14ac:dyDescent="0.25">
      <c r="A866" s="1" t="s">
        <v>879</v>
      </c>
      <c r="B866" s="5">
        <v>45694</v>
      </c>
      <c r="C866" s="1" t="s">
        <v>11</v>
      </c>
      <c r="D866" s="1" t="s">
        <v>9</v>
      </c>
      <c r="E866" s="1">
        <v>5</v>
      </c>
      <c r="F866" s="1">
        <v>445.82</v>
      </c>
      <c r="G866" s="1">
        <v>27.64</v>
      </c>
      <c r="H866">
        <f t="shared" si="13"/>
        <v>2229.1</v>
      </c>
    </row>
    <row r="867" spans="1:8" x14ac:dyDescent="0.25">
      <c r="A867" s="1" t="s">
        <v>880</v>
      </c>
      <c r="B867" s="5">
        <v>45694.041666666664</v>
      </c>
      <c r="C867" s="1" t="s">
        <v>13</v>
      </c>
      <c r="D867" s="1" t="s">
        <v>9</v>
      </c>
      <c r="E867" s="1">
        <v>4</v>
      </c>
      <c r="F867" s="1">
        <v>99</v>
      </c>
      <c r="G867" s="1">
        <v>8.48</v>
      </c>
      <c r="H867">
        <f t="shared" si="13"/>
        <v>396</v>
      </c>
    </row>
    <row r="868" spans="1:8" x14ac:dyDescent="0.25">
      <c r="A868" s="1" t="s">
        <v>881</v>
      </c>
      <c r="B868" s="5">
        <v>45694.083333333336</v>
      </c>
      <c r="C868" s="1" t="s">
        <v>13</v>
      </c>
      <c r="D868" s="1" t="s">
        <v>9</v>
      </c>
      <c r="E868" s="1">
        <v>4</v>
      </c>
      <c r="F868" s="1">
        <v>53.19</v>
      </c>
      <c r="G868" s="1">
        <v>35.700000000000003</v>
      </c>
      <c r="H868">
        <f t="shared" si="13"/>
        <v>212.76</v>
      </c>
    </row>
    <row r="869" spans="1:8" x14ac:dyDescent="0.25">
      <c r="A869" s="1" t="s">
        <v>882</v>
      </c>
      <c r="B869" s="5">
        <v>45694.125</v>
      </c>
      <c r="C869" s="1" t="s">
        <v>23</v>
      </c>
      <c r="D869" s="1" t="s">
        <v>37</v>
      </c>
      <c r="E869" s="1">
        <v>4</v>
      </c>
      <c r="F869" s="1">
        <v>161.93</v>
      </c>
      <c r="G869" s="1">
        <v>20.82</v>
      </c>
      <c r="H869">
        <f t="shared" si="13"/>
        <v>647.72</v>
      </c>
    </row>
    <row r="870" spans="1:8" x14ac:dyDescent="0.25">
      <c r="A870" s="1" t="s">
        <v>883</v>
      </c>
      <c r="B870" s="5">
        <v>45694.166666666664</v>
      </c>
      <c r="C870" s="1" t="s">
        <v>8</v>
      </c>
      <c r="D870" s="1" t="s">
        <v>37</v>
      </c>
      <c r="E870" s="1">
        <v>4</v>
      </c>
      <c r="F870" s="1">
        <v>71.55</v>
      </c>
      <c r="G870" s="1">
        <v>15.11</v>
      </c>
      <c r="H870">
        <f t="shared" si="13"/>
        <v>286.2</v>
      </c>
    </row>
    <row r="871" spans="1:8" x14ac:dyDescent="0.25">
      <c r="A871" s="1" t="s">
        <v>884</v>
      </c>
      <c r="B871" s="5">
        <v>45694.208333333336</v>
      </c>
      <c r="C871" s="1" t="s">
        <v>23</v>
      </c>
      <c r="D871" s="1" t="s">
        <v>16</v>
      </c>
      <c r="E871" s="1">
        <v>18</v>
      </c>
      <c r="F871" s="1">
        <v>242.8</v>
      </c>
      <c r="G871" s="1">
        <v>17.52</v>
      </c>
      <c r="H871">
        <f t="shared" si="13"/>
        <v>4370.4000000000005</v>
      </c>
    </row>
    <row r="872" spans="1:8" x14ac:dyDescent="0.25">
      <c r="A872" s="1" t="s">
        <v>885</v>
      </c>
      <c r="B872" s="5">
        <v>45694.25</v>
      </c>
      <c r="C872" s="1" t="s">
        <v>13</v>
      </c>
      <c r="D872" s="1" t="s">
        <v>9</v>
      </c>
      <c r="E872" s="1">
        <v>18</v>
      </c>
      <c r="F872" s="1">
        <v>290.55</v>
      </c>
      <c r="G872" s="1">
        <v>13.11</v>
      </c>
      <c r="H872">
        <f t="shared" si="13"/>
        <v>5229.9000000000005</v>
      </c>
    </row>
    <row r="873" spans="1:8" x14ac:dyDescent="0.25">
      <c r="A873" s="1" t="s">
        <v>886</v>
      </c>
      <c r="B873" s="5">
        <v>45694.291666666664</v>
      </c>
      <c r="C873" s="1" t="s">
        <v>11</v>
      </c>
      <c r="D873" s="1" t="s">
        <v>37</v>
      </c>
      <c r="E873" s="1">
        <v>16</v>
      </c>
      <c r="F873" s="1">
        <v>266.77</v>
      </c>
      <c r="G873" s="1">
        <v>45.57</v>
      </c>
      <c r="H873">
        <f t="shared" si="13"/>
        <v>4268.32</v>
      </c>
    </row>
    <row r="874" spans="1:8" x14ac:dyDescent="0.25">
      <c r="A874" s="1" t="s">
        <v>887</v>
      </c>
      <c r="B874" s="5">
        <v>45694.333333333336</v>
      </c>
      <c r="C874" s="1" t="s">
        <v>23</v>
      </c>
      <c r="D874" s="1" t="s">
        <v>9</v>
      </c>
      <c r="E874" s="1">
        <v>9</v>
      </c>
      <c r="F874" s="1">
        <v>128.13999999999999</v>
      </c>
      <c r="G874" s="1">
        <v>12.61</v>
      </c>
      <c r="H874">
        <f t="shared" si="13"/>
        <v>1153.2599999999998</v>
      </c>
    </row>
    <row r="875" spans="1:8" x14ac:dyDescent="0.25">
      <c r="A875" s="1" t="s">
        <v>888</v>
      </c>
      <c r="B875" s="5">
        <v>45694.375</v>
      </c>
      <c r="C875" s="1" t="s">
        <v>13</v>
      </c>
      <c r="D875" s="1" t="s">
        <v>37</v>
      </c>
      <c r="E875" s="1">
        <v>18</v>
      </c>
      <c r="F875" s="1">
        <v>410.38</v>
      </c>
      <c r="G875" s="1">
        <v>44.73</v>
      </c>
      <c r="H875">
        <f t="shared" si="13"/>
        <v>7386.84</v>
      </c>
    </row>
    <row r="876" spans="1:8" x14ac:dyDescent="0.25">
      <c r="A876" s="1" t="s">
        <v>889</v>
      </c>
      <c r="B876" s="5">
        <v>45694.416666666664</v>
      </c>
      <c r="C876" s="1" t="s">
        <v>23</v>
      </c>
      <c r="D876" s="1" t="s">
        <v>19</v>
      </c>
      <c r="E876" s="1">
        <v>2</v>
      </c>
      <c r="F876" s="1">
        <v>24.7</v>
      </c>
      <c r="G876" s="1">
        <v>30.75</v>
      </c>
      <c r="H876">
        <f t="shared" si="13"/>
        <v>49.4</v>
      </c>
    </row>
    <row r="877" spans="1:8" x14ac:dyDescent="0.25">
      <c r="A877" s="1" t="s">
        <v>890</v>
      </c>
      <c r="B877" s="5">
        <v>45694.458333333336</v>
      </c>
      <c r="C877" s="1" t="s">
        <v>8</v>
      </c>
      <c r="D877" s="1" t="s">
        <v>19</v>
      </c>
      <c r="E877" s="1">
        <v>4</v>
      </c>
      <c r="F877" s="1">
        <v>166.71</v>
      </c>
      <c r="G877" s="1">
        <v>44.04</v>
      </c>
      <c r="H877">
        <f t="shared" si="13"/>
        <v>666.84</v>
      </c>
    </row>
    <row r="878" spans="1:8" x14ac:dyDescent="0.25">
      <c r="A878" s="1" t="s">
        <v>891</v>
      </c>
      <c r="B878" s="5">
        <v>45694.5</v>
      </c>
      <c r="C878" s="1" t="s">
        <v>23</v>
      </c>
      <c r="D878" s="1" t="s">
        <v>9</v>
      </c>
      <c r="E878" s="1">
        <v>12</v>
      </c>
      <c r="F878" s="1">
        <v>327.9</v>
      </c>
      <c r="G878" s="1">
        <v>26.33</v>
      </c>
      <c r="H878">
        <f t="shared" si="13"/>
        <v>3934.7999999999997</v>
      </c>
    </row>
    <row r="879" spans="1:8" x14ac:dyDescent="0.25">
      <c r="A879" s="1" t="s">
        <v>892</v>
      </c>
      <c r="B879" s="5">
        <v>45694.541666666664</v>
      </c>
      <c r="C879" s="1" t="s">
        <v>23</v>
      </c>
      <c r="D879" s="1" t="s">
        <v>16</v>
      </c>
      <c r="E879" s="1">
        <v>7</v>
      </c>
      <c r="F879" s="1">
        <v>348.73</v>
      </c>
      <c r="G879" s="1">
        <v>46.74</v>
      </c>
      <c r="H879">
        <f t="shared" si="13"/>
        <v>2441.11</v>
      </c>
    </row>
    <row r="880" spans="1:8" x14ac:dyDescent="0.25">
      <c r="A880" s="1" t="s">
        <v>893</v>
      </c>
      <c r="B880" s="5">
        <v>45694.583333333336</v>
      </c>
      <c r="C880" s="1" t="s">
        <v>13</v>
      </c>
      <c r="D880" s="1" t="s">
        <v>37</v>
      </c>
      <c r="E880" s="1">
        <v>15</v>
      </c>
      <c r="F880" s="1">
        <v>196.3</v>
      </c>
      <c r="G880" s="1">
        <v>14.52</v>
      </c>
      <c r="H880">
        <f t="shared" si="13"/>
        <v>2944.5</v>
      </c>
    </row>
    <row r="881" spans="1:8" x14ac:dyDescent="0.25">
      <c r="A881" s="1" t="s">
        <v>894</v>
      </c>
      <c r="B881" s="5">
        <v>45694.625</v>
      </c>
      <c r="C881" s="1" t="s">
        <v>13</v>
      </c>
      <c r="D881" s="1" t="s">
        <v>37</v>
      </c>
      <c r="E881" s="1">
        <v>7</v>
      </c>
      <c r="F881" s="1">
        <v>22.85</v>
      </c>
      <c r="G881" s="1">
        <v>29.96</v>
      </c>
      <c r="H881">
        <f t="shared" si="13"/>
        <v>159.95000000000002</v>
      </c>
    </row>
    <row r="882" spans="1:8" x14ac:dyDescent="0.25">
      <c r="A882" s="1" t="s">
        <v>895</v>
      </c>
      <c r="B882" s="5">
        <v>45694.666666666664</v>
      </c>
      <c r="C882" s="1" t="s">
        <v>13</v>
      </c>
      <c r="D882" s="1" t="s">
        <v>19</v>
      </c>
      <c r="E882" s="1">
        <v>17</v>
      </c>
      <c r="F882" s="1">
        <v>284.04000000000002</v>
      </c>
      <c r="G882" s="1">
        <v>10.66</v>
      </c>
      <c r="H882">
        <f t="shared" si="13"/>
        <v>4828.68</v>
      </c>
    </row>
    <row r="883" spans="1:8" x14ac:dyDescent="0.25">
      <c r="A883" s="1" t="s">
        <v>896</v>
      </c>
      <c r="B883" s="5">
        <v>45694.708333333336</v>
      </c>
      <c r="C883" s="1" t="s">
        <v>23</v>
      </c>
      <c r="D883" s="1" t="s">
        <v>19</v>
      </c>
      <c r="E883" s="1">
        <v>16</v>
      </c>
      <c r="F883" s="1">
        <v>42.91</v>
      </c>
      <c r="G883" s="1">
        <v>25.12</v>
      </c>
      <c r="H883">
        <f t="shared" si="13"/>
        <v>686.56</v>
      </c>
    </row>
    <row r="884" spans="1:8" x14ac:dyDescent="0.25">
      <c r="A884" s="1" t="s">
        <v>897</v>
      </c>
      <c r="B884" s="5">
        <v>45694.75</v>
      </c>
      <c r="C884" s="1" t="s">
        <v>8</v>
      </c>
      <c r="D884" s="1" t="s">
        <v>16</v>
      </c>
      <c r="E884" s="1">
        <v>19</v>
      </c>
      <c r="F884" s="1">
        <v>62.36</v>
      </c>
      <c r="G884" s="1">
        <v>30.65</v>
      </c>
      <c r="H884">
        <f t="shared" si="13"/>
        <v>1184.8399999999999</v>
      </c>
    </row>
    <row r="885" spans="1:8" x14ac:dyDescent="0.25">
      <c r="A885" s="1" t="s">
        <v>898</v>
      </c>
      <c r="B885" s="5">
        <v>45694.791666666664</v>
      </c>
      <c r="C885" s="1" t="s">
        <v>11</v>
      </c>
      <c r="D885" s="1" t="s">
        <v>16</v>
      </c>
      <c r="E885" s="1">
        <v>9</v>
      </c>
      <c r="F885" s="1">
        <v>298.02999999999997</v>
      </c>
      <c r="G885" s="1">
        <v>32.26</v>
      </c>
      <c r="H885">
        <f t="shared" si="13"/>
        <v>2682.2699999999995</v>
      </c>
    </row>
    <row r="886" spans="1:8" x14ac:dyDescent="0.25">
      <c r="A886" s="1" t="s">
        <v>899</v>
      </c>
      <c r="B886" s="5">
        <v>45694.833333333336</v>
      </c>
      <c r="C886" s="1" t="s">
        <v>11</v>
      </c>
      <c r="D886" s="1" t="s">
        <v>16</v>
      </c>
      <c r="E886" s="1">
        <v>14</v>
      </c>
      <c r="F886" s="1">
        <v>151.28</v>
      </c>
      <c r="G886" s="1">
        <v>21.45</v>
      </c>
      <c r="H886">
        <f t="shared" si="13"/>
        <v>2117.92</v>
      </c>
    </row>
    <row r="887" spans="1:8" x14ac:dyDescent="0.25">
      <c r="A887" s="1" t="s">
        <v>900</v>
      </c>
      <c r="B887" s="5">
        <v>45694.875</v>
      </c>
      <c r="C887" s="1" t="s">
        <v>13</v>
      </c>
      <c r="D887" s="1" t="s">
        <v>9</v>
      </c>
      <c r="E887" s="1">
        <v>17</v>
      </c>
      <c r="F887" s="1">
        <v>166.72</v>
      </c>
      <c r="G887" s="1">
        <v>8.44</v>
      </c>
      <c r="H887">
        <f t="shared" si="13"/>
        <v>2834.24</v>
      </c>
    </row>
    <row r="888" spans="1:8" x14ac:dyDescent="0.25">
      <c r="A888" s="1" t="s">
        <v>901</v>
      </c>
      <c r="B888" s="5">
        <v>45694.916666666664</v>
      </c>
      <c r="C888" s="1" t="s">
        <v>13</v>
      </c>
      <c r="D888" s="1" t="s">
        <v>19</v>
      </c>
      <c r="E888" s="1">
        <v>5</v>
      </c>
      <c r="F888" s="1">
        <v>227.02</v>
      </c>
      <c r="G888" s="1">
        <v>34.49</v>
      </c>
      <c r="H888">
        <f t="shared" si="13"/>
        <v>1135.1000000000001</v>
      </c>
    </row>
    <row r="889" spans="1:8" x14ac:dyDescent="0.25">
      <c r="A889" s="1" t="s">
        <v>902</v>
      </c>
      <c r="B889" s="5">
        <v>45694.958333333336</v>
      </c>
      <c r="C889" s="1" t="s">
        <v>23</v>
      </c>
      <c r="D889" s="1" t="s">
        <v>9</v>
      </c>
      <c r="E889" s="1">
        <v>2</v>
      </c>
      <c r="F889" s="1">
        <v>440.69</v>
      </c>
      <c r="G889" s="1">
        <v>26.98</v>
      </c>
      <c r="H889">
        <f t="shared" si="13"/>
        <v>881.38</v>
      </c>
    </row>
    <row r="890" spans="1:8" x14ac:dyDescent="0.25">
      <c r="A890" s="1" t="s">
        <v>903</v>
      </c>
      <c r="B890" s="5">
        <v>45695</v>
      </c>
      <c r="C890" s="1" t="s">
        <v>11</v>
      </c>
      <c r="D890" s="1" t="s">
        <v>19</v>
      </c>
      <c r="E890" s="1">
        <v>16</v>
      </c>
      <c r="F890" s="1">
        <v>434.98</v>
      </c>
      <c r="G890" s="1">
        <v>11.16</v>
      </c>
      <c r="H890">
        <f t="shared" si="13"/>
        <v>6959.68</v>
      </c>
    </row>
    <row r="891" spans="1:8" x14ac:dyDescent="0.25">
      <c r="A891" s="1" t="s">
        <v>904</v>
      </c>
      <c r="B891" s="5">
        <v>45695.041666666664</v>
      </c>
      <c r="C891" s="1" t="s">
        <v>13</v>
      </c>
      <c r="D891" s="1" t="s">
        <v>19</v>
      </c>
      <c r="E891" s="1">
        <v>14</v>
      </c>
      <c r="F891" s="1">
        <v>196.37</v>
      </c>
      <c r="G891" s="1">
        <v>47.11</v>
      </c>
      <c r="H891">
        <f t="shared" si="13"/>
        <v>2749.1800000000003</v>
      </c>
    </row>
    <row r="892" spans="1:8" x14ac:dyDescent="0.25">
      <c r="A892" s="1" t="s">
        <v>905</v>
      </c>
      <c r="B892" s="5">
        <v>45695.083333333336</v>
      </c>
      <c r="C892" s="1" t="s">
        <v>8</v>
      </c>
      <c r="D892" s="1" t="s">
        <v>37</v>
      </c>
      <c r="E892" s="1">
        <v>14</v>
      </c>
      <c r="F892" s="1">
        <v>130.86000000000001</v>
      </c>
      <c r="G892" s="1">
        <v>48.01</v>
      </c>
      <c r="H892">
        <f t="shared" si="13"/>
        <v>1832.0400000000002</v>
      </c>
    </row>
    <row r="893" spans="1:8" x14ac:dyDescent="0.25">
      <c r="A893" s="1" t="s">
        <v>906</v>
      </c>
      <c r="B893" s="5">
        <v>45695.125</v>
      </c>
      <c r="C893" s="1" t="s">
        <v>8</v>
      </c>
      <c r="D893" s="1" t="s">
        <v>19</v>
      </c>
      <c r="E893" s="1">
        <v>1</v>
      </c>
      <c r="F893" s="1">
        <v>146.97999999999999</v>
      </c>
      <c r="G893" s="1">
        <v>43.55</v>
      </c>
      <c r="H893">
        <f t="shared" si="13"/>
        <v>146.97999999999999</v>
      </c>
    </row>
    <row r="894" spans="1:8" x14ac:dyDescent="0.25">
      <c r="A894" s="1" t="s">
        <v>907</v>
      </c>
      <c r="B894" s="5">
        <v>45695.166666666664</v>
      </c>
      <c r="C894" s="1" t="s">
        <v>13</v>
      </c>
      <c r="D894" s="1" t="s">
        <v>19</v>
      </c>
      <c r="E894" s="1">
        <v>3</v>
      </c>
      <c r="F894" s="1">
        <v>132.29</v>
      </c>
      <c r="G894" s="1">
        <v>42.97</v>
      </c>
      <c r="H894">
        <f t="shared" si="13"/>
        <v>396.87</v>
      </c>
    </row>
    <row r="895" spans="1:8" x14ac:dyDescent="0.25">
      <c r="A895" s="1" t="s">
        <v>908</v>
      </c>
      <c r="B895" s="5">
        <v>45695.208333333336</v>
      </c>
      <c r="C895" s="1" t="s">
        <v>13</v>
      </c>
      <c r="D895" s="1" t="s">
        <v>9</v>
      </c>
      <c r="E895" s="1">
        <v>7</v>
      </c>
      <c r="F895" s="1">
        <v>246.76</v>
      </c>
      <c r="G895" s="1">
        <v>9.44</v>
      </c>
      <c r="H895">
        <f t="shared" si="13"/>
        <v>1727.32</v>
      </c>
    </row>
    <row r="896" spans="1:8" x14ac:dyDescent="0.25">
      <c r="A896" s="1" t="s">
        <v>909</v>
      </c>
      <c r="B896" s="5">
        <v>45695.25</v>
      </c>
      <c r="C896" s="1" t="s">
        <v>11</v>
      </c>
      <c r="D896" s="1" t="s">
        <v>19</v>
      </c>
      <c r="E896" s="1">
        <v>15</v>
      </c>
      <c r="F896" s="1">
        <v>279.18</v>
      </c>
      <c r="G896" s="1">
        <v>49.7</v>
      </c>
      <c r="H896">
        <f t="shared" si="13"/>
        <v>4187.7</v>
      </c>
    </row>
    <row r="897" spans="1:8" x14ac:dyDescent="0.25">
      <c r="A897" s="1" t="s">
        <v>910</v>
      </c>
      <c r="B897" s="5">
        <v>45695.291666666664</v>
      </c>
      <c r="C897" s="1" t="s">
        <v>11</v>
      </c>
      <c r="D897" s="1" t="s">
        <v>9</v>
      </c>
      <c r="E897" s="1">
        <v>19</v>
      </c>
      <c r="F897" s="1">
        <v>227.87</v>
      </c>
      <c r="G897" s="1">
        <v>23.02</v>
      </c>
      <c r="H897">
        <f t="shared" si="13"/>
        <v>4329.53</v>
      </c>
    </row>
    <row r="898" spans="1:8" x14ac:dyDescent="0.25">
      <c r="A898" s="1" t="s">
        <v>911</v>
      </c>
      <c r="B898" s="5">
        <v>45695.333333333336</v>
      </c>
      <c r="C898" s="1" t="s">
        <v>23</v>
      </c>
      <c r="D898" s="1" t="s">
        <v>16</v>
      </c>
      <c r="E898" s="1">
        <v>2</v>
      </c>
      <c r="F898" s="1">
        <v>192.77</v>
      </c>
      <c r="G898" s="1">
        <v>12.34</v>
      </c>
      <c r="H898">
        <f t="shared" ref="H898:H961" si="14">E898*F898</f>
        <v>385.54</v>
      </c>
    </row>
    <row r="899" spans="1:8" x14ac:dyDescent="0.25">
      <c r="A899" s="1" t="s">
        <v>912</v>
      </c>
      <c r="B899" s="5">
        <v>45695.375</v>
      </c>
      <c r="C899" s="1" t="s">
        <v>11</v>
      </c>
      <c r="D899" s="1" t="s">
        <v>19</v>
      </c>
      <c r="E899" s="1">
        <v>19</v>
      </c>
      <c r="F899" s="1">
        <v>107.3</v>
      </c>
      <c r="G899" s="1">
        <v>41.54</v>
      </c>
      <c r="H899">
        <f t="shared" si="14"/>
        <v>2038.7</v>
      </c>
    </row>
    <row r="900" spans="1:8" x14ac:dyDescent="0.25">
      <c r="A900" s="1" t="s">
        <v>913</v>
      </c>
      <c r="B900" s="5">
        <v>45695.416666666664</v>
      </c>
      <c r="C900" s="1" t="s">
        <v>8</v>
      </c>
      <c r="D900" s="1" t="s">
        <v>19</v>
      </c>
      <c r="E900" s="1">
        <v>9</v>
      </c>
      <c r="F900" s="1">
        <v>225.15</v>
      </c>
      <c r="G900" s="1">
        <v>15.16</v>
      </c>
      <c r="H900">
        <f t="shared" si="14"/>
        <v>2026.3500000000001</v>
      </c>
    </row>
    <row r="901" spans="1:8" x14ac:dyDescent="0.25">
      <c r="A901" s="1" t="s">
        <v>914</v>
      </c>
      <c r="B901" s="5">
        <v>45695.458333333336</v>
      </c>
      <c r="C901" s="1" t="s">
        <v>8</v>
      </c>
      <c r="D901" s="1" t="s">
        <v>9</v>
      </c>
      <c r="E901" s="1">
        <v>19</v>
      </c>
      <c r="F901" s="1">
        <v>163.71</v>
      </c>
      <c r="G901" s="1">
        <v>28.68</v>
      </c>
      <c r="H901">
        <f t="shared" si="14"/>
        <v>3110.4900000000002</v>
      </c>
    </row>
    <row r="902" spans="1:8" x14ac:dyDescent="0.25">
      <c r="A902" s="1" t="s">
        <v>915</v>
      </c>
      <c r="B902" s="5">
        <v>45695.5</v>
      </c>
      <c r="C902" s="1" t="s">
        <v>13</v>
      </c>
      <c r="D902" s="1" t="s">
        <v>16</v>
      </c>
      <c r="E902" s="1">
        <v>5</v>
      </c>
      <c r="F902" s="1">
        <v>250.82</v>
      </c>
      <c r="G902" s="1">
        <v>10.76</v>
      </c>
      <c r="H902">
        <f t="shared" si="14"/>
        <v>1254.0999999999999</v>
      </c>
    </row>
    <row r="903" spans="1:8" x14ac:dyDescent="0.25">
      <c r="A903" s="1" t="s">
        <v>916</v>
      </c>
      <c r="B903" s="5">
        <v>45695.541666666664</v>
      </c>
      <c r="C903" s="1" t="s">
        <v>11</v>
      </c>
      <c r="D903" s="1" t="s">
        <v>37</v>
      </c>
      <c r="E903" s="1">
        <v>18</v>
      </c>
      <c r="F903" s="1">
        <v>308.87</v>
      </c>
      <c r="G903" s="1">
        <v>26.36</v>
      </c>
      <c r="H903">
        <f t="shared" si="14"/>
        <v>5559.66</v>
      </c>
    </row>
    <row r="904" spans="1:8" x14ac:dyDescent="0.25">
      <c r="A904" s="1" t="s">
        <v>917</v>
      </c>
      <c r="B904" s="5">
        <v>45695.583333333336</v>
      </c>
      <c r="C904" s="1" t="s">
        <v>23</v>
      </c>
      <c r="D904" s="1" t="s">
        <v>16</v>
      </c>
      <c r="E904" s="1">
        <v>16</v>
      </c>
      <c r="F904" s="1">
        <v>290.67</v>
      </c>
      <c r="G904" s="1">
        <v>30.12</v>
      </c>
      <c r="H904">
        <f t="shared" si="14"/>
        <v>4650.72</v>
      </c>
    </row>
    <row r="905" spans="1:8" x14ac:dyDescent="0.25">
      <c r="A905" s="1" t="s">
        <v>918</v>
      </c>
      <c r="B905" s="5">
        <v>45695.625</v>
      </c>
      <c r="C905" s="1" t="s">
        <v>8</v>
      </c>
      <c r="D905" s="1" t="s">
        <v>9</v>
      </c>
      <c r="E905" s="1">
        <v>4</v>
      </c>
      <c r="F905" s="1">
        <v>216.45</v>
      </c>
      <c r="G905" s="1">
        <v>25.07</v>
      </c>
      <c r="H905">
        <f t="shared" si="14"/>
        <v>865.8</v>
      </c>
    </row>
    <row r="906" spans="1:8" x14ac:dyDescent="0.25">
      <c r="A906" s="1" t="s">
        <v>919</v>
      </c>
      <c r="B906" s="5">
        <v>45695.666666666664</v>
      </c>
      <c r="C906" s="1" t="s">
        <v>8</v>
      </c>
      <c r="D906" s="1" t="s">
        <v>16</v>
      </c>
      <c r="E906" s="1">
        <v>12</v>
      </c>
      <c r="F906" s="1">
        <v>257.10000000000002</v>
      </c>
      <c r="G906" s="1">
        <v>8.1300000000000008</v>
      </c>
      <c r="H906">
        <f t="shared" si="14"/>
        <v>3085.2000000000003</v>
      </c>
    </row>
    <row r="907" spans="1:8" x14ac:dyDescent="0.25">
      <c r="A907" s="1" t="s">
        <v>920</v>
      </c>
      <c r="B907" s="5">
        <v>45695.708333333336</v>
      </c>
      <c r="C907" s="1" t="s">
        <v>23</v>
      </c>
      <c r="D907" s="1" t="s">
        <v>9</v>
      </c>
      <c r="E907" s="1">
        <v>7</v>
      </c>
      <c r="F907" s="1">
        <v>139.27000000000001</v>
      </c>
      <c r="G907" s="1">
        <v>26.82</v>
      </c>
      <c r="H907">
        <f t="shared" si="14"/>
        <v>974.8900000000001</v>
      </c>
    </row>
    <row r="908" spans="1:8" x14ac:dyDescent="0.25">
      <c r="A908" s="1" t="s">
        <v>921</v>
      </c>
      <c r="B908" s="5">
        <v>45695.75</v>
      </c>
      <c r="C908" s="1" t="s">
        <v>23</v>
      </c>
      <c r="D908" s="1" t="s">
        <v>9</v>
      </c>
      <c r="E908" s="1">
        <v>14</v>
      </c>
      <c r="F908" s="1">
        <v>26.03</v>
      </c>
      <c r="G908" s="1">
        <v>26.1</v>
      </c>
      <c r="H908">
        <f t="shared" si="14"/>
        <v>364.42</v>
      </c>
    </row>
    <row r="909" spans="1:8" x14ac:dyDescent="0.25">
      <c r="A909" s="1" t="s">
        <v>922</v>
      </c>
      <c r="B909" s="5">
        <v>45695.791666666664</v>
      </c>
      <c r="C909" s="1" t="s">
        <v>8</v>
      </c>
      <c r="D909" s="1" t="s">
        <v>37</v>
      </c>
      <c r="E909" s="1">
        <v>12</v>
      </c>
      <c r="F909" s="1">
        <v>287.07</v>
      </c>
      <c r="G909" s="1">
        <v>16.77</v>
      </c>
      <c r="H909">
        <f t="shared" si="14"/>
        <v>3444.84</v>
      </c>
    </row>
    <row r="910" spans="1:8" x14ac:dyDescent="0.25">
      <c r="A910" s="1" t="s">
        <v>923</v>
      </c>
      <c r="B910" s="5">
        <v>45695.833333333336</v>
      </c>
      <c r="C910" s="1" t="s">
        <v>8</v>
      </c>
      <c r="D910" s="1" t="s">
        <v>19</v>
      </c>
      <c r="E910" s="1">
        <v>3</v>
      </c>
      <c r="F910" s="1">
        <v>125.24</v>
      </c>
      <c r="G910" s="1">
        <v>46.47</v>
      </c>
      <c r="H910">
        <f t="shared" si="14"/>
        <v>375.71999999999997</v>
      </c>
    </row>
    <row r="911" spans="1:8" x14ac:dyDescent="0.25">
      <c r="A911" s="1" t="s">
        <v>924</v>
      </c>
      <c r="B911" s="5">
        <v>45695.875</v>
      </c>
      <c r="C911" s="1" t="s">
        <v>23</v>
      </c>
      <c r="D911" s="1" t="s">
        <v>9</v>
      </c>
      <c r="E911" s="1">
        <v>5</v>
      </c>
      <c r="F911" s="1">
        <v>306.16000000000003</v>
      </c>
      <c r="G911" s="1">
        <v>23.8</v>
      </c>
      <c r="H911">
        <f t="shared" si="14"/>
        <v>1530.8000000000002</v>
      </c>
    </row>
    <row r="912" spans="1:8" x14ac:dyDescent="0.25">
      <c r="A912" s="1" t="s">
        <v>925</v>
      </c>
      <c r="B912" s="5">
        <v>45695.916666666664</v>
      </c>
      <c r="C912" s="1" t="s">
        <v>8</v>
      </c>
      <c r="D912" s="1" t="s">
        <v>9</v>
      </c>
      <c r="E912" s="1">
        <v>17</v>
      </c>
      <c r="F912" s="1">
        <v>340.08</v>
      </c>
      <c r="G912" s="1">
        <v>43.89</v>
      </c>
      <c r="H912">
        <f t="shared" si="14"/>
        <v>5781.36</v>
      </c>
    </row>
    <row r="913" spans="1:8" x14ac:dyDescent="0.25">
      <c r="A913" s="1" t="s">
        <v>926</v>
      </c>
      <c r="B913" s="5">
        <v>45695.958333333336</v>
      </c>
      <c r="C913" s="1" t="s">
        <v>13</v>
      </c>
      <c r="D913" s="1" t="s">
        <v>37</v>
      </c>
      <c r="E913" s="1">
        <v>10</v>
      </c>
      <c r="F913" s="1">
        <v>413.47</v>
      </c>
      <c r="G913" s="1">
        <v>9.93</v>
      </c>
      <c r="H913">
        <f t="shared" si="14"/>
        <v>4134.7000000000007</v>
      </c>
    </row>
    <row r="914" spans="1:8" x14ac:dyDescent="0.25">
      <c r="A914" s="1" t="s">
        <v>927</v>
      </c>
      <c r="B914" s="5">
        <v>45696</v>
      </c>
      <c r="C914" s="1" t="s">
        <v>13</v>
      </c>
      <c r="D914" s="1" t="s">
        <v>9</v>
      </c>
      <c r="E914" s="1">
        <v>10</v>
      </c>
      <c r="F914" s="1">
        <v>431.8</v>
      </c>
      <c r="G914" s="1">
        <v>19.350000000000001</v>
      </c>
      <c r="H914">
        <f t="shared" si="14"/>
        <v>4318</v>
      </c>
    </row>
    <row r="915" spans="1:8" x14ac:dyDescent="0.25">
      <c r="A915" s="1" t="s">
        <v>928</v>
      </c>
      <c r="B915" s="5">
        <v>45696.041666666664</v>
      </c>
      <c r="C915" s="1" t="s">
        <v>23</v>
      </c>
      <c r="D915" s="1" t="s">
        <v>19</v>
      </c>
      <c r="E915" s="1">
        <v>11</v>
      </c>
      <c r="F915" s="1">
        <v>20.07</v>
      </c>
      <c r="G915" s="1">
        <v>12.93</v>
      </c>
      <c r="H915">
        <f t="shared" si="14"/>
        <v>220.77</v>
      </c>
    </row>
    <row r="916" spans="1:8" x14ac:dyDescent="0.25">
      <c r="A916" s="1" t="s">
        <v>929</v>
      </c>
      <c r="B916" s="5">
        <v>45696.083333333336</v>
      </c>
      <c r="C916" s="1" t="s">
        <v>11</v>
      </c>
      <c r="D916" s="1" t="s">
        <v>37</v>
      </c>
      <c r="E916" s="1">
        <v>17</v>
      </c>
      <c r="F916" s="1">
        <v>445.82</v>
      </c>
      <c r="G916" s="1">
        <v>23.38</v>
      </c>
      <c r="H916">
        <f t="shared" si="14"/>
        <v>7578.94</v>
      </c>
    </row>
    <row r="917" spans="1:8" x14ac:dyDescent="0.25">
      <c r="A917" s="1" t="s">
        <v>930</v>
      </c>
      <c r="B917" s="5">
        <v>45696.125</v>
      </c>
      <c r="C917" s="1" t="s">
        <v>23</v>
      </c>
      <c r="D917" s="1" t="s">
        <v>19</v>
      </c>
      <c r="E917" s="1">
        <v>5</v>
      </c>
      <c r="F917" s="1">
        <v>312.27</v>
      </c>
      <c r="G917" s="1">
        <v>10.02</v>
      </c>
      <c r="H917">
        <f t="shared" si="14"/>
        <v>1561.35</v>
      </c>
    </row>
    <row r="918" spans="1:8" x14ac:dyDescent="0.25">
      <c r="A918" s="1" t="s">
        <v>931</v>
      </c>
      <c r="B918" s="5">
        <v>45696.166666666664</v>
      </c>
      <c r="C918" s="1" t="s">
        <v>23</v>
      </c>
      <c r="D918" s="1" t="s">
        <v>19</v>
      </c>
      <c r="E918" s="1">
        <v>13</v>
      </c>
      <c r="F918" s="1">
        <v>295.11</v>
      </c>
      <c r="G918" s="1">
        <v>24.85</v>
      </c>
      <c r="H918">
        <f t="shared" si="14"/>
        <v>3836.4300000000003</v>
      </c>
    </row>
    <row r="919" spans="1:8" x14ac:dyDescent="0.25">
      <c r="A919" s="1" t="s">
        <v>932</v>
      </c>
      <c r="B919" s="5">
        <v>45696.208333333336</v>
      </c>
      <c r="C919" s="1" t="s">
        <v>11</v>
      </c>
      <c r="D919" s="1" t="s">
        <v>37</v>
      </c>
      <c r="E919" s="1">
        <v>10</v>
      </c>
      <c r="F919" s="1">
        <v>22.11</v>
      </c>
      <c r="G919" s="1">
        <v>20.92</v>
      </c>
      <c r="H919">
        <f t="shared" si="14"/>
        <v>221.1</v>
      </c>
    </row>
    <row r="920" spans="1:8" x14ac:dyDescent="0.25">
      <c r="A920" s="1" t="s">
        <v>933</v>
      </c>
      <c r="B920" s="5">
        <v>45696.25</v>
      </c>
      <c r="C920" s="1" t="s">
        <v>11</v>
      </c>
      <c r="D920" s="1" t="s">
        <v>9</v>
      </c>
      <c r="E920" s="1">
        <v>9</v>
      </c>
      <c r="F920" s="1">
        <v>389.71</v>
      </c>
      <c r="G920" s="1">
        <v>15.05</v>
      </c>
      <c r="H920">
        <f t="shared" si="14"/>
        <v>3507.39</v>
      </c>
    </row>
    <row r="921" spans="1:8" x14ac:dyDescent="0.25">
      <c r="A921" s="1" t="s">
        <v>934</v>
      </c>
      <c r="B921" s="5">
        <v>45696.291666666664</v>
      </c>
      <c r="C921" s="1" t="s">
        <v>11</v>
      </c>
      <c r="D921" s="1" t="s">
        <v>19</v>
      </c>
      <c r="E921" s="1">
        <v>17</v>
      </c>
      <c r="F921" s="1">
        <v>78.72</v>
      </c>
      <c r="G921" s="1">
        <v>33.9</v>
      </c>
      <c r="H921">
        <f t="shared" si="14"/>
        <v>1338.24</v>
      </c>
    </row>
    <row r="922" spans="1:8" x14ac:dyDescent="0.25">
      <c r="A922" s="1" t="s">
        <v>935</v>
      </c>
      <c r="B922" s="5">
        <v>45696.333333333336</v>
      </c>
      <c r="C922" s="1" t="s">
        <v>13</v>
      </c>
      <c r="D922" s="1" t="s">
        <v>19</v>
      </c>
      <c r="E922" s="1">
        <v>1</v>
      </c>
      <c r="F922" s="1">
        <v>379.32</v>
      </c>
      <c r="G922" s="1">
        <v>47.79</v>
      </c>
      <c r="H922">
        <f t="shared" si="14"/>
        <v>379.32</v>
      </c>
    </row>
    <row r="923" spans="1:8" x14ac:dyDescent="0.25">
      <c r="A923" s="1" t="s">
        <v>936</v>
      </c>
      <c r="B923" s="5">
        <v>45696.375</v>
      </c>
      <c r="C923" s="1" t="s">
        <v>8</v>
      </c>
      <c r="D923" s="1" t="s">
        <v>19</v>
      </c>
      <c r="E923" s="1">
        <v>4</v>
      </c>
      <c r="F923" s="1">
        <v>22.26</v>
      </c>
      <c r="G923" s="1">
        <v>14.32</v>
      </c>
      <c r="H923">
        <f t="shared" si="14"/>
        <v>89.04</v>
      </c>
    </row>
    <row r="924" spans="1:8" x14ac:dyDescent="0.25">
      <c r="A924" s="1" t="s">
        <v>937</v>
      </c>
      <c r="B924" s="5">
        <v>45696.416666666664</v>
      </c>
      <c r="C924" s="1" t="s">
        <v>13</v>
      </c>
      <c r="D924" s="1" t="s">
        <v>19</v>
      </c>
      <c r="E924" s="1">
        <v>4</v>
      </c>
      <c r="F924" s="1">
        <v>296.17</v>
      </c>
      <c r="G924" s="1">
        <v>37.03</v>
      </c>
      <c r="H924">
        <f t="shared" si="14"/>
        <v>1184.68</v>
      </c>
    </row>
    <row r="925" spans="1:8" x14ac:dyDescent="0.25">
      <c r="A925" s="1" t="s">
        <v>938</v>
      </c>
      <c r="B925" s="5">
        <v>45696.458333333336</v>
      </c>
      <c r="C925" s="1" t="s">
        <v>8</v>
      </c>
      <c r="D925" s="1" t="s">
        <v>37</v>
      </c>
      <c r="E925" s="1">
        <v>18</v>
      </c>
      <c r="F925" s="1">
        <v>204.42</v>
      </c>
      <c r="G925" s="1">
        <v>38.409999999999997</v>
      </c>
      <c r="H925">
        <f t="shared" si="14"/>
        <v>3679.56</v>
      </c>
    </row>
    <row r="926" spans="1:8" x14ac:dyDescent="0.25">
      <c r="A926" s="1" t="s">
        <v>939</v>
      </c>
      <c r="B926" s="5">
        <v>45696.5</v>
      </c>
      <c r="C926" s="1" t="s">
        <v>13</v>
      </c>
      <c r="D926" s="1" t="s">
        <v>37</v>
      </c>
      <c r="E926" s="1">
        <v>9</v>
      </c>
      <c r="F926" s="1">
        <v>102.73</v>
      </c>
      <c r="G926" s="1">
        <v>27.42</v>
      </c>
      <c r="H926">
        <f t="shared" si="14"/>
        <v>924.57</v>
      </c>
    </row>
    <row r="927" spans="1:8" x14ac:dyDescent="0.25">
      <c r="A927" s="1" t="s">
        <v>940</v>
      </c>
      <c r="B927" s="5">
        <v>45696.541666666664</v>
      </c>
      <c r="C927" s="1" t="s">
        <v>8</v>
      </c>
      <c r="D927" s="1" t="s">
        <v>16</v>
      </c>
      <c r="E927" s="1">
        <v>18</v>
      </c>
      <c r="F927" s="1">
        <v>62.24</v>
      </c>
      <c r="G927" s="1">
        <v>45.4</v>
      </c>
      <c r="H927">
        <f t="shared" si="14"/>
        <v>1120.32</v>
      </c>
    </row>
    <row r="928" spans="1:8" x14ac:dyDescent="0.25">
      <c r="A928" s="1" t="s">
        <v>941</v>
      </c>
      <c r="B928" s="5">
        <v>45696.583333333336</v>
      </c>
      <c r="C928" s="1" t="s">
        <v>13</v>
      </c>
      <c r="D928" s="1" t="s">
        <v>16</v>
      </c>
      <c r="E928" s="1">
        <v>14</v>
      </c>
      <c r="F928" s="1">
        <v>206.74</v>
      </c>
      <c r="G928" s="1">
        <v>48.49</v>
      </c>
      <c r="H928">
        <f t="shared" si="14"/>
        <v>2894.36</v>
      </c>
    </row>
    <row r="929" spans="1:8" x14ac:dyDescent="0.25">
      <c r="A929" s="1" t="s">
        <v>942</v>
      </c>
      <c r="B929" s="5">
        <v>45696.625</v>
      </c>
      <c r="C929" s="1" t="s">
        <v>11</v>
      </c>
      <c r="D929" s="1" t="s">
        <v>19</v>
      </c>
      <c r="E929" s="1">
        <v>15</v>
      </c>
      <c r="F929" s="1">
        <v>69.08</v>
      </c>
      <c r="G929" s="1">
        <v>21.3</v>
      </c>
      <c r="H929">
        <f t="shared" si="14"/>
        <v>1036.2</v>
      </c>
    </row>
    <row r="930" spans="1:8" x14ac:dyDescent="0.25">
      <c r="A930" s="1" t="s">
        <v>943</v>
      </c>
      <c r="B930" s="5">
        <v>45696.666666666664</v>
      </c>
      <c r="C930" s="1" t="s">
        <v>23</v>
      </c>
      <c r="D930" s="1" t="s">
        <v>9</v>
      </c>
      <c r="E930" s="1">
        <v>6</v>
      </c>
      <c r="F930" s="1">
        <v>226.86</v>
      </c>
      <c r="G930" s="1">
        <v>34.299999999999997</v>
      </c>
      <c r="H930">
        <f t="shared" si="14"/>
        <v>1361.16</v>
      </c>
    </row>
    <row r="931" spans="1:8" x14ac:dyDescent="0.25">
      <c r="A931" s="1" t="s">
        <v>944</v>
      </c>
      <c r="B931" s="5">
        <v>45696.708333333336</v>
      </c>
      <c r="C931" s="1" t="s">
        <v>13</v>
      </c>
      <c r="D931" s="1" t="s">
        <v>19</v>
      </c>
      <c r="E931" s="1">
        <v>10</v>
      </c>
      <c r="F931" s="1">
        <v>287.16000000000003</v>
      </c>
      <c r="G931" s="1">
        <v>34.799999999999997</v>
      </c>
      <c r="H931">
        <f t="shared" si="14"/>
        <v>2871.6000000000004</v>
      </c>
    </row>
    <row r="932" spans="1:8" x14ac:dyDescent="0.25">
      <c r="A932" s="1" t="s">
        <v>945</v>
      </c>
      <c r="B932" s="5">
        <v>45696.75</v>
      </c>
      <c r="C932" s="1" t="s">
        <v>8</v>
      </c>
      <c r="D932" s="1" t="s">
        <v>9</v>
      </c>
      <c r="E932" s="1">
        <v>15</v>
      </c>
      <c r="F932" s="1">
        <v>375</v>
      </c>
      <c r="G932" s="1">
        <v>23.16</v>
      </c>
      <c r="H932">
        <f t="shared" si="14"/>
        <v>5625</v>
      </c>
    </row>
    <row r="933" spans="1:8" x14ac:dyDescent="0.25">
      <c r="A933" s="1" t="s">
        <v>946</v>
      </c>
      <c r="B933" s="5">
        <v>45696.791666666664</v>
      </c>
      <c r="C933" s="1" t="s">
        <v>11</v>
      </c>
      <c r="D933" s="1" t="s">
        <v>19</v>
      </c>
      <c r="E933" s="1">
        <v>4</v>
      </c>
      <c r="F933" s="1">
        <v>310.37</v>
      </c>
      <c r="G933" s="1">
        <v>19.260000000000002</v>
      </c>
      <c r="H933">
        <f t="shared" si="14"/>
        <v>1241.48</v>
      </c>
    </row>
    <row r="934" spans="1:8" x14ac:dyDescent="0.25">
      <c r="A934" s="1" t="s">
        <v>947</v>
      </c>
      <c r="B934" s="5">
        <v>45696.833333333336</v>
      </c>
      <c r="C934" s="1" t="s">
        <v>13</v>
      </c>
      <c r="D934" s="1" t="s">
        <v>16</v>
      </c>
      <c r="E934" s="1">
        <v>18</v>
      </c>
      <c r="F934" s="1">
        <v>43.83</v>
      </c>
      <c r="G934" s="1">
        <v>47.02</v>
      </c>
      <c r="H934">
        <f t="shared" si="14"/>
        <v>788.93999999999994</v>
      </c>
    </row>
    <row r="935" spans="1:8" x14ac:dyDescent="0.25">
      <c r="A935" s="1" t="s">
        <v>948</v>
      </c>
      <c r="B935" s="5">
        <v>45696.875</v>
      </c>
      <c r="C935" s="1" t="s">
        <v>13</v>
      </c>
      <c r="D935" s="1" t="s">
        <v>16</v>
      </c>
      <c r="E935" s="1">
        <v>18</v>
      </c>
      <c r="F935" s="1">
        <v>149.08000000000001</v>
      </c>
      <c r="G935" s="1">
        <v>40.549999999999997</v>
      </c>
      <c r="H935">
        <f t="shared" si="14"/>
        <v>2683.44</v>
      </c>
    </row>
    <row r="936" spans="1:8" x14ac:dyDescent="0.25">
      <c r="A936" s="1" t="s">
        <v>949</v>
      </c>
      <c r="B936" s="5">
        <v>45696.916666666664</v>
      </c>
      <c r="C936" s="1" t="s">
        <v>11</v>
      </c>
      <c r="D936" s="1" t="s">
        <v>9</v>
      </c>
      <c r="E936" s="1">
        <v>17</v>
      </c>
      <c r="F936" s="1">
        <v>140.63</v>
      </c>
      <c r="G936" s="1">
        <v>10.15</v>
      </c>
      <c r="H936">
        <f t="shared" si="14"/>
        <v>2390.71</v>
      </c>
    </row>
    <row r="937" spans="1:8" x14ac:dyDescent="0.25">
      <c r="A937" s="1" t="s">
        <v>950</v>
      </c>
      <c r="B937" s="5">
        <v>45696.958333333336</v>
      </c>
      <c r="C937" s="1" t="s">
        <v>13</v>
      </c>
      <c r="D937" s="1" t="s">
        <v>19</v>
      </c>
      <c r="E937" s="1">
        <v>12</v>
      </c>
      <c r="F937" s="1">
        <v>413.08</v>
      </c>
      <c r="G937" s="1">
        <v>10.39</v>
      </c>
      <c r="H937">
        <f t="shared" si="14"/>
        <v>4956.96</v>
      </c>
    </row>
    <row r="938" spans="1:8" x14ac:dyDescent="0.25">
      <c r="A938" s="1" t="s">
        <v>951</v>
      </c>
      <c r="B938" s="5">
        <v>45697</v>
      </c>
      <c r="C938" s="1" t="s">
        <v>23</v>
      </c>
      <c r="D938" s="1" t="s">
        <v>9</v>
      </c>
      <c r="E938" s="1">
        <v>7</v>
      </c>
      <c r="F938" s="1">
        <v>392.55</v>
      </c>
      <c r="G938" s="1">
        <v>46.51</v>
      </c>
      <c r="H938">
        <f t="shared" si="14"/>
        <v>2747.85</v>
      </c>
    </row>
    <row r="939" spans="1:8" x14ac:dyDescent="0.25">
      <c r="A939" s="1" t="s">
        <v>952</v>
      </c>
      <c r="B939" s="5">
        <v>45697.041666666664</v>
      </c>
      <c r="C939" s="1" t="s">
        <v>13</v>
      </c>
      <c r="D939" s="1" t="s">
        <v>16</v>
      </c>
      <c r="E939" s="1">
        <v>16</v>
      </c>
      <c r="F939" s="1">
        <v>176.33</v>
      </c>
      <c r="G939" s="1">
        <v>8.66</v>
      </c>
      <c r="H939">
        <f t="shared" si="14"/>
        <v>2821.28</v>
      </c>
    </row>
    <row r="940" spans="1:8" x14ac:dyDescent="0.25">
      <c r="A940" s="1" t="s">
        <v>953</v>
      </c>
      <c r="B940" s="5">
        <v>45697.083333333336</v>
      </c>
      <c r="C940" s="1" t="s">
        <v>23</v>
      </c>
      <c r="D940" s="1" t="s">
        <v>19</v>
      </c>
      <c r="E940" s="1">
        <v>11</v>
      </c>
      <c r="F940" s="1">
        <v>46.42</v>
      </c>
      <c r="G940" s="1">
        <v>35.979999999999997</v>
      </c>
      <c r="H940">
        <f t="shared" si="14"/>
        <v>510.62</v>
      </c>
    </row>
    <row r="941" spans="1:8" x14ac:dyDescent="0.25">
      <c r="A941" s="1" t="s">
        <v>954</v>
      </c>
      <c r="B941" s="5">
        <v>45697.125</v>
      </c>
      <c r="C941" s="1" t="s">
        <v>23</v>
      </c>
      <c r="D941" s="1" t="s">
        <v>19</v>
      </c>
      <c r="E941" s="1">
        <v>14</v>
      </c>
      <c r="F941" s="1">
        <v>403.99</v>
      </c>
      <c r="G941" s="1">
        <v>15.2</v>
      </c>
      <c r="H941">
        <f t="shared" si="14"/>
        <v>5655.8600000000006</v>
      </c>
    </row>
    <row r="942" spans="1:8" x14ac:dyDescent="0.25">
      <c r="A942" s="1" t="s">
        <v>955</v>
      </c>
      <c r="B942" s="5">
        <v>45697.166666666664</v>
      </c>
      <c r="C942" s="1" t="s">
        <v>11</v>
      </c>
      <c r="D942" s="1" t="s">
        <v>9</v>
      </c>
      <c r="E942" s="1">
        <v>3</v>
      </c>
      <c r="F942" s="1">
        <v>401.42</v>
      </c>
      <c r="G942" s="1">
        <v>6.58</v>
      </c>
      <c r="H942">
        <f t="shared" si="14"/>
        <v>1204.26</v>
      </c>
    </row>
    <row r="943" spans="1:8" x14ac:dyDescent="0.25">
      <c r="A943" s="1" t="s">
        <v>956</v>
      </c>
      <c r="B943" s="5">
        <v>45697.208333333336</v>
      </c>
      <c r="C943" s="1" t="s">
        <v>13</v>
      </c>
      <c r="D943" s="1" t="s">
        <v>37</v>
      </c>
      <c r="E943" s="1">
        <v>19</v>
      </c>
      <c r="F943" s="1">
        <v>386.89</v>
      </c>
      <c r="G943" s="1">
        <v>7.68</v>
      </c>
      <c r="H943">
        <f t="shared" si="14"/>
        <v>7350.91</v>
      </c>
    </row>
    <row r="944" spans="1:8" x14ac:dyDescent="0.25">
      <c r="A944" s="1" t="s">
        <v>957</v>
      </c>
      <c r="B944" s="5">
        <v>45697.25</v>
      </c>
      <c r="C944" s="1" t="s">
        <v>11</v>
      </c>
      <c r="D944" s="1" t="s">
        <v>9</v>
      </c>
      <c r="E944" s="1">
        <v>18</v>
      </c>
      <c r="F944" s="1">
        <v>382.69</v>
      </c>
      <c r="G944" s="1">
        <v>21.81</v>
      </c>
      <c r="H944">
        <f t="shared" si="14"/>
        <v>6888.42</v>
      </c>
    </row>
    <row r="945" spans="1:8" x14ac:dyDescent="0.25">
      <c r="A945" s="1" t="s">
        <v>958</v>
      </c>
      <c r="B945" s="5">
        <v>45697.291666666664</v>
      </c>
      <c r="C945" s="1" t="s">
        <v>13</v>
      </c>
      <c r="D945" s="1" t="s">
        <v>16</v>
      </c>
      <c r="E945" s="1">
        <v>10</v>
      </c>
      <c r="F945" s="1">
        <v>224.17</v>
      </c>
      <c r="G945" s="1">
        <v>8.49</v>
      </c>
      <c r="H945">
        <f t="shared" si="14"/>
        <v>2241.6999999999998</v>
      </c>
    </row>
    <row r="946" spans="1:8" x14ac:dyDescent="0.25">
      <c r="A946" s="1" t="s">
        <v>959</v>
      </c>
      <c r="B946" s="5">
        <v>45697.333333333336</v>
      </c>
      <c r="C946" s="1" t="s">
        <v>13</v>
      </c>
      <c r="D946" s="1" t="s">
        <v>16</v>
      </c>
      <c r="E946" s="1">
        <v>6</v>
      </c>
      <c r="F946" s="1">
        <v>92.59</v>
      </c>
      <c r="G946" s="1">
        <v>31.85</v>
      </c>
      <c r="H946">
        <f t="shared" si="14"/>
        <v>555.54</v>
      </c>
    </row>
    <row r="947" spans="1:8" x14ac:dyDescent="0.25">
      <c r="A947" s="1" t="s">
        <v>960</v>
      </c>
      <c r="B947" s="5">
        <v>45697.375</v>
      </c>
      <c r="C947" s="1" t="s">
        <v>8</v>
      </c>
      <c r="D947" s="1" t="s">
        <v>16</v>
      </c>
      <c r="E947" s="1">
        <v>13</v>
      </c>
      <c r="F947" s="1">
        <v>222.97</v>
      </c>
      <c r="G947" s="1">
        <v>34.130000000000003</v>
      </c>
      <c r="H947">
        <f t="shared" si="14"/>
        <v>2898.61</v>
      </c>
    </row>
    <row r="948" spans="1:8" x14ac:dyDescent="0.25">
      <c r="A948" s="1" t="s">
        <v>961</v>
      </c>
      <c r="B948" s="5">
        <v>45697.416666666664</v>
      </c>
      <c r="C948" s="1" t="s">
        <v>13</v>
      </c>
      <c r="D948" s="1" t="s">
        <v>16</v>
      </c>
      <c r="E948" s="1">
        <v>10</v>
      </c>
      <c r="F948" s="1">
        <v>230.4</v>
      </c>
      <c r="G948" s="1">
        <v>21.81</v>
      </c>
      <c r="H948">
        <f t="shared" si="14"/>
        <v>2304</v>
      </c>
    </row>
    <row r="949" spans="1:8" x14ac:dyDescent="0.25">
      <c r="A949" s="1" t="s">
        <v>962</v>
      </c>
      <c r="B949" s="5">
        <v>45697.458333333336</v>
      </c>
      <c r="C949" s="1" t="s">
        <v>11</v>
      </c>
      <c r="D949" s="1" t="s">
        <v>16</v>
      </c>
      <c r="E949" s="1">
        <v>18</v>
      </c>
      <c r="F949" s="1">
        <v>228.38</v>
      </c>
      <c r="G949" s="1">
        <v>38.43</v>
      </c>
      <c r="H949">
        <f t="shared" si="14"/>
        <v>4110.84</v>
      </c>
    </row>
    <row r="950" spans="1:8" x14ac:dyDescent="0.25">
      <c r="A950" s="1" t="s">
        <v>963</v>
      </c>
      <c r="B950" s="5">
        <v>45697.5</v>
      </c>
      <c r="C950" s="1" t="s">
        <v>23</v>
      </c>
      <c r="D950" s="1" t="s">
        <v>37</v>
      </c>
      <c r="E950" s="1">
        <v>16</v>
      </c>
      <c r="F950" s="1">
        <v>249.6</v>
      </c>
      <c r="G950" s="1">
        <v>27.05</v>
      </c>
      <c r="H950">
        <f t="shared" si="14"/>
        <v>3993.6</v>
      </c>
    </row>
    <row r="951" spans="1:8" x14ac:dyDescent="0.25">
      <c r="A951" s="1" t="s">
        <v>964</v>
      </c>
      <c r="B951" s="5">
        <v>45697.541666666664</v>
      </c>
      <c r="C951" s="1" t="s">
        <v>13</v>
      </c>
      <c r="D951" s="1" t="s">
        <v>19</v>
      </c>
      <c r="E951" s="1">
        <v>6</v>
      </c>
      <c r="F951" s="1">
        <v>127.45</v>
      </c>
      <c r="G951" s="1">
        <v>24.36</v>
      </c>
      <c r="H951">
        <f t="shared" si="14"/>
        <v>764.7</v>
      </c>
    </row>
    <row r="952" spans="1:8" x14ac:dyDescent="0.25">
      <c r="A952" s="1" t="s">
        <v>965</v>
      </c>
      <c r="B952" s="5">
        <v>45697.583333333336</v>
      </c>
      <c r="C952" s="1" t="s">
        <v>8</v>
      </c>
      <c r="D952" s="1" t="s">
        <v>9</v>
      </c>
      <c r="E952" s="1">
        <v>13</v>
      </c>
      <c r="F952" s="1">
        <v>174.63</v>
      </c>
      <c r="G952" s="1">
        <v>23.31</v>
      </c>
      <c r="H952">
        <f t="shared" si="14"/>
        <v>2270.19</v>
      </c>
    </row>
    <row r="953" spans="1:8" x14ac:dyDescent="0.25">
      <c r="A953" s="1" t="s">
        <v>966</v>
      </c>
      <c r="B953" s="5">
        <v>45697.625</v>
      </c>
      <c r="C953" s="1" t="s">
        <v>11</v>
      </c>
      <c r="D953" s="1" t="s">
        <v>9</v>
      </c>
      <c r="E953" s="1">
        <v>4</v>
      </c>
      <c r="F953" s="1">
        <v>204.15</v>
      </c>
      <c r="G953" s="1">
        <v>24.4</v>
      </c>
      <c r="H953">
        <f t="shared" si="14"/>
        <v>816.6</v>
      </c>
    </row>
    <row r="954" spans="1:8" x14ac:dyDescent="0.25">
      <c r="A954" s="1" t="s">
        <v>967</v>
      </c>
      <c r="B954" s="5">
        <v>45697.666666666664</v>
      </c>
      <c r="C954" s="1" t="s">
        <v>13</v>
      </c>
      <c r="D954" s="1" t="s">
        <v>16</v>
      </c>
      <c r="E954" s="1">
        <v>14</v>
      </c>
      <c r="F954" s="1">
        <v>72.47</v>
      </c>
      <c r="G954" s="1">
        <v>48.55</v>
      </c>
      <c r="H954">
        <f t="shared" si="14"/>
        <v>1014.5799999999999</v>
      </c>
    </row>
    <row r="955" spans="1:8" x14ac:dyDescent="0.25">
      <c r="A955" s="1" t="s">
        <v>968</v>
      </c>
      <c r="B955" s="5">
        <v>45697.708333333336</v>
      </c>
      <c r="C955" s="1" t="s">
        <v>11</v>
      </c>
      <c r="D955" s="1" t="s">
        <v>9</v>
      </c>
      <c r="E955" s="1">
        <v>1</v>
      </c>
      <c r="F955" s="1">
        <v>213.36</v>
      </c>
      <c r="G955" s="1">
        <v>35.659999999999997</v>
      </c>
      <c r="H955">
        <f t="shared" si="14"/>
        <v>213.36</v>
      </c>
    </row>
    <row r="956" spans="1:8" x14ac:dyDescent="0.25">
      <c r="A956" s="1" t="s">
        <v>969</v>
      </c>
      <c r="B956" s="5">
        <v>45697.75</v>
      </c>
      <c r="C956" s="1" t="s">
        <v>8</v>
      </c>
      <c r="D956" s="1" t="s">
        <v>16</v>
      </c>
      <c r="E956" s="1">
        <v>5</v>
      </c>
      <c r="F956" s="1">
        <v>367.65</v>
      </c>
      <c r="G956" s="1">
        <v>19.18</v>
      </c>
      <c r="H956">
        <f t="shared" si="14"/>
        <v>1838.25</v>
      </c>
    </row>
    <row r="957" spans="1:8" x14ac:dyDescent="0.25">
      <c r="A957" s="1" t="s">
        <v>970</v>
      </c>
      <c r="B957" s="5">
        <v>45697.791666666664</v>
      </c>
      <c r="C957" s="1" t="s">
        <v>8</v>
      </c>
      <c r="D957" s="1" t="s">
        <v>37</v>
      </c>
      <c r="E957" s="1">
        <v>8</v>
      </c>
      <c r="F957" s="1">
        <v>375.29</v>
      </c>
      <c r="G957" s="1">
        <v>38.020000000000003</v>
      </c>
      <c r="H957">
        <f t="shared" si="14"/>
        <v>3002.32</v>
      </c>
    </row>
    <row r="958" spans="1:8" x14ac:dyDescent="0.25">
      <c r="A958" s="1" t="s">
        <v>971</v>
      </c>
      <c r="B958" s="5">
        <v>45697.833333333336</v>
      </c>
      <c r="C958" s="1" t="s">
        <v>11</v>
      </c>
      <c r="D958" s="1" t="s">
        <v>37</v>
      </c>
      <c r="E958" s="1">
        <v>12</v>
      </c>
      <c r="F958" s="1">
        <v>194.32</v>
      </c>
      <c r="G958" s="1">
        <v>19.86</v>
      </c>
      <c r="H958">
        <f t="shared" si="14"/>
        <v>2331.84</v>
      </c>
    </row>
    <row r="959" spans="1:8" x14ac:dyDescent="0.25">
      <c r="A959" s="1" t="s">
        <v>972</v>
      </c>
      <c r="B959" s="5">
        <v>45697.875</v>
      </c>
      <c r="C959" s="1" t="s">
        <v>13</v>
      </c>
      <c r="D959" s="1" t="s">
        <v>19</v>
      </c>
      <c r="E959" s="1">
        <v>2</v>
      </c>
      <c r="F959" s="1">
        <v>240.92</v>
      </c>
      <c r="G959" s="1">
        <v>10.66</v>
      </c>
      <c r="H959">
        <f t="shared" si="14"/>
        <v>481.84</v>
      </c>
    </row>
    <row r="960" spans="1:8" x14ac:dyDescent="0.25">
      <c r="A960" s="1" t="s">
        <v>973</v>
      </c>
      <c r="B960" s="5">
        <v>45697.916666666664</v>
      </c>
      <c r="C960" s="1" t="s">
        <v>23</v>
      </c>
      <c r="D960" s="1" t="s">
        <v>37</v>
      </c>
      <c r="E960" s="1">
        <v>12</v>
      </c>
      <c r="F960" s="1">
        <v>30.12</v>
      </c>
      <c r="G960" s="1">
        <v>26.39</v>
      </c>
      <c r="H960">
        <f t="shared" si="14"/>
        <v>361.44</v>
      </c>
    </row>
    <row r="961" spans="1:8" x14ac:dyDescent="0.25">
      <c r="A961" s="1" t="s">
        <v>974</v>
      </c>
      <c r="B961" s="5">
        <v>45697.958333333336</v>
      </c>
      <c r="C961" s="1" t="s">
        <v>8</v>
      </c>
      <c r="D961" s="1" t="s">
        <v>37</v>
      </c>
      <c r="E961" s="1">
        <v>5</v>
      </c>
      <c r="F961" s="1">
        <v>308.54000000000002</v>
      </c>
      <c r="G961" s="1">
        <v>38.799999999999997</v>
      </c>
      <c r="H961">
        <f t="shared" si="14"/>
        <v>1542.7</v>
      </c>
    </row>
    <row r="962" spans="1:8" x14ac:dyDescent="0.25">
      <c r="A962" s="1" t="s">
        <v>975</v>
      </c>
      <c r="B962" s="5">
        <v>45698</v>
      </c>
      <c r="C962" s="1" t="s">
        <v>13</v>
      </c>
      <c r="D962" s="1" t="s">
        <v>19</v>
      </c>
      <c r="E962" s="1">
        <v>5</v>
      </c>
      <c r="F962" s="1">
        <v>191.3</v>
      </c>
      <c r="G962" s="1">
        <v>21.99</v>
      </c>
      <c r="H962">
        <f t="shared" ref="H962:H1025" si="15">E962*F962</f>
        <v>956.5</v>
      </c>
    </row>
    <row r="963" spans="1:8" x14ac:dyDescent="0.25">
      <c r="A963" s="1" t="s">
        <v>976</v>
      </c>
      <c r="B963" s="5">
        <v>45698.041666666664</v>
      </c>
      <c r="C963" s="1" t="s">
        <v>13</v>
      </c>
      <c r="D963" s="1" t="s">
        <v>9</v>
      </c>
      <c r="E963" s="1">
        <v>13</v>
      </c>
      <c r="F963" s="1">
        <v>209.06</v>
      </c>
      <c r="G963" s="1">
        <v>44.11</v>
      </c>
      <c r="H963">
        <f t="shared" si="15"/>
        <v>2717.78</v>
      </c>
    </row>
    <row r="964" spans="1:8" x14ac:dyDescent="0.25">
      <c r="A964" s="1" t="s">
        <v>977</v>
      </c>
      <c r="B964" s="5">
        <v>45698.083333333336</v>
      </c>
      <c r="C964" s="1" t="s">
        <v>23</v>
      </c>
      <c r="D964" s="1" t="s">
        <v>16</v>
      </c>
      <c r="E964" s="1">
        <v>9</v>
      </c>
      <c r="F964" s="1">
        <v>395.11</v>
      </c>
      <c r="G964" s="1">
        <v>22.41</v>
      </c>
      <c r="H964">
        <f t="shared" si="15"/>
        <v>3555.9900000000002</v>
      </c>
    </row>
    <row r="965" spans="1:8" x14ac:dyDescent="0.25">
      <c r="A965" s="1" t="s">
        <v>978</v>
      </c>
      <c r="B965" s="5">
        <v>45698.125</v>
      </c>
      <c r="C965" s="1" t="s">
        <v>8</v>
      </c>
      <c r="D965" s="1" t="s">
        <v>16</v>
      </c>
      <c r="E965" s="1">
        <v>10</v>
      </c>
      <c r="F965" s="1">
        <v>216.17</v>
      </c>
      <c r="G965" s="1">
        <v>20.74</v>
      </c>
      <c r="H965">
        <f t="shared" si="15"/>
        <v>2161.6999999999998</v>
      </c>
    </row>
    <row r="966" spans="1:8" x14ac:dyDescent="0.25">
      <c r="A966" s="1" t="s">
        <v>979</v>
      </c>
      <c r="B966" s="5">
        <v>45698.166666666664</v>
      </c>
      <c r="C966" s="1" t="s">
        <v>8</v>
      </c>
      <c r="D966" s="1" t="s">
        <v>9</v>
      </c>
      <c r="E966" s="1">
        <v>1</v>
      </c>
      <c r="F966" s="1">
        <v>24.71</v>
      </c>
      <c r="G966" s="1">
        <v>49.92</v>
      </c>
      <c r="H966">
        <f t="shared" si="15"/>
        <v>24.71</v>
      </c>
    </row>
    <row r="967" spans="1:8" x14ac:dyDescent="0.25">
      <c r="A967" s="1" t="s">
        <v>980</v>
      </c>
      <c r="B967" s="5">
        <v>45698.208333333336</v>
      </c>
      <c r="C967" s="1" t="s">
        <v>13</v>
      </c>
      <c r="D967" s="1" t="s">
        <v>19</v>
      </c>
      <c r="E967" s="1">
        <v>3</v>
      </c>
      <c r="F967" s="1">
        <v>114.34</v>
      </c>
      <c r="G967" s="1">
        <v>26.71</v>
      </c>
      <c r="H967">
        <f t="shared" si="15"/>
        <v>343.02</v>
      </c>
    </row>
    <row r="968" spans="1:8" x14ac:dyDescent="0.25">
      <c r="A968" s="1" t="s">
        <v>981</v>
      </c>
      <c r="B968" s="5">
        <v>45698.25</v>
      </c>
      <c r="C968" s="1" t="s">
        <v>13</v>
      </c>
      <c r="D968" s="1" t="s">
        <v>9</v>
      </c>
      <c r="E968" s="1">
        <v>18</v>
      </c>
      <c r="F968" s="1">
        <v>222.16</v>
      </c>
      <c r="G968" s="1">
        <v>41.23</v>
      </c>
      <c r="H968">
        <f t="shared" si="15"/>
        <v>3998.88</v>
      </c>
    </row>
    <row r="969" spans="1:8" x14ac:dyDescent="0.25">
      <c r="A969" s="1" t="s">
        <v>982</v>
      </c>
      <c r="B969" s="5">
        <v>45698.291666666664</v>
      </c>
      <c r="C969" s="1" t="s">
        <v>23</v>
      </c>
      <c r="D969" s="1" t="s">
        <v>37</v>
      </c>
      <c r="E969" s="1">
        <v>12</v>
      </c>
      <c r="F969" s="1">
        <v>199.9</v>
      </c>
      <c r="G969" s="1">
        <v>41.22</v>
      </c>
      <c r="H969">
        <f t="shared" si="15"/>
        <v>2398.8000000000002</v>
      </c>
    </row>
    <row r="970" spans="1:8" x14ac:dyDescent="0.25">
      <c r="A970" s="1" t="s">
        <v>983</v>
      </c>
      <c r="B970" s="5">
        <v>45698.333333333336</v>
      </c>
      <c r="C970" s="1" t="s">
        <v>23</v>
      </c>
      <c r="D970" s="1" t="s">
        <v>19</v>
      </c>
      <c r="E970" s="1">
        <v>3</v>
      </c>
      <c r="F970" s="1">
        <v>389.33</v>
      </c>
      <c r="G970" s="1">
        <v>46.69</v>
      </c>
      <c r="H970">
        <f t="shared" si="15"/>
        <v>1167.99</v>
      </c>
    </row>
    <row r="971" spans="1:8" x14ac:dyDescent="0.25">
      <c r="A971" s="1" t="s">
        <v>984</v>
      </c>
      <c r="B971" s="5">
        <v>45698.375</v>
      </c>
      <c r="C971" s="1" t="s">
        <v>8</v>
      </c>
      <c r="D971" s="1" t="s">
        <v>19</v>
      </c>
      <c r="E971" s="1">
        <v>9</v>
      </c>
      <c r="F971" s="1">
        <v>251.06</v>
      </c>
      <c r="G971" s="1">
        <v>8.82</v>
      </c>
      <c r="H971">
        <f t="shared" si="15"/>
        <v>2259.54</v>
      </c>
    </row>
    <row r="972" spans="1:8" x14ac:dyDescent="0.25">
      <c r="A972" s="1" t="s">
        <v>985</v>
      </c>
      <c r="B972" s="5">
        <v>45698.416666666664</v>
      </c>
      <c r="C972" s="1" t="s">
        <v>11</v>
      </c>
      <c r="D972" s="1" t="s">
        <v>19</v>
      </c>
      <c r="E972" s="1">
        <v>2</v>
      </c>
      <c r="F972" s="1">
        <v>315.14999999999998</v>
      </c>
      <c r="G972" s="1">
        <v>17.2</v>
      </c>
      <c r="H972">
        <f t="shared" si="15"/>
        <v>630.29999999999995</v>
      </c>
    </row>
    <row r="973" spans="1:8" x14ac:dyDescent="0.25">
      <c r="A973" s="1" t="s">
        <v>986</v>
      </c>
      <c r="B973" s="5">
        <v>45698.458333333336</v>
      </c>
      <c r="C973" s="1" t="s">
        <v>8</v>
      </c>
      <c r="D973" s="1" t="s">
        <v>16</v>
      </c>
      <c r="E973" s="1">
        <v>3</v>
      </c>
      <c r="F973" s="1">
        <v>219.42</v>
      </c>
      <c r="G973" s="1">
        <v>39.549999999999997</v>
      </c>
      <c r="H973">
        <f t="shared" si="15"/>
        <v>658.26</v>
      </c>
    </row>
    <row r="974" spans="1:8" x14ac:dyDescent="0.25">
      <c r="A974" s="1" t="s">
        <v>987</v>
      </c>
      <c r="B974" s="5">
        <v>45698.5</v>
      </c>
      <c r="C974" s="1" t="s">
        <v>13</v>
      </c>
      <c r="D974" s="1" t="s">
        <v>9</v>
      </c>
      <c r="E974" s="1">
        <v>14</v>
      </c>
      <c r="F974" s="1">
        <v>206.53</v>
      </c>
      <c r="G974" s="1">
        <v>30.32</v>
      </c>
      <c r="H974">
        <f t="shared" si="15"/>
        <v>2891.42</v>
      </c>
    </row>
    <row r="975" spans="1:8" x14ac:dyDescent="0.25">
      <c r="A975" s="1" t="s">
        <v>988</v>
      </c>
      <c r="B975" s="5">
        <v>45698.541666666664</v>
      </c>
      <c r="C975" s="1" t="s">
        <v>8</v>
      </c>
      <c r="D975" s="1" t="s">
        <v>19</v>
      </c>
      <c r="E975" s="1">
        <v>4</v>
      </c>
      <c r="F975" s="1">
        <v>209.41</v>
      </c>
      <c r="G975" s="1">
        <v>30.18</v>
      </c>
      <c r="H975">
        <f t="shared" si="15"/>
        <v>837.64</v>
      </c>
    </row>
    <row r="976" spans="1:8" x14ac:dyDescent="0.25">
      <c r="A976" s="1" t="s">
        <v>989</v>
      </c>
      <c r="B976" s="5">
        <v>45698.583333333336</v>
      </c>
      <c r="C976" s="1" t="s">
        <v>11</v>
      </c>
      <c r="D976" s="1" t="s">
        <v>19</v>
      </c>
      <c r="E976" s="1">
        <v>19</v>
      </c>
      <c r="F976" s="1">
        <v>194.05</v>
      </c>
      <c r="G976" s="1">
        <v>12.48</v>
      </c>
      <c r="H976">
        <f t="shared" si="15"/>
        <v>3686.9500000000003</v>
      </c>
    </row>
    <row r="977" spans="1:8" x14ac:dyDescent="0.25">
      <c r="A977" s="1" t="s">
        <v>990</v>
      </c>
      <c r="B977" s="5">
        <v>45698.625</v>
      </c>
      <c r="C977" s="1" t="s">
        <v>23</v>
      </c>
      <c r="D977" s="1" t="s">
        <v>19</v>
      </c>
      <c r="E977" s="1">
        <v>13</v>
      </c>
      <c r="F977" s="1">
        <v>249.51</v>
      </c>
      <c r="G977" s="1">
        <v>17.649999999999999</v>
      </c>
      <c r="H977">
        <f t="shared" si="15"/>
        <v>3243.63</v>
      </c>
    </row>
    <row r="978" spans="1:8" x14ac:dyDescent="0.25">
      <c r="A978" s="1" t="s">
        <v>991</v>
      </c>
      <c r="B978" s="5">
        <v>45698.666666666664</v>
      </c>
      <c r="C978" s="1" t="s">
        <v>11</v>
      </c>
      <c r="D978" s="1" t="s">
        <v>9</v>
      </c>
      <c r="E978" s="1">
        <v>7</v>
      </c>
      <c r="F978" s="1">
        <v>124.32</v>
      </c>
      <c r="G978" s="1">
        <v>28.46</v>
      </c>
      <c r="H978">
        <f t="shared" si="15"/>
        <v>870.24</v>
      </c>
    </row>
    <row r="979" spans="1:8" x14ac:dyDescent="0.25">
      <c r="A979" s="1" t="s">
        <v>992</v>
      </c>
      <c r="B979" s="5">
        <v>45698.708333333336</v>
      </c>
      <c r="C979" s="1" t="s">
        <v>11</v>
      </c>
      <c r="D979" s="1" t="s">
        <v>16</v>
      </c>
      <c r="E979" s="1">
        <v>12</v>
      </c>
      <c r="F979" s="1">
        <v>402.66</v>
      </c>
      <c r="G979" s="1">
        <v>17.47</v>
      </c>
      <c r="H979">
        <f t="shared" si="15"/>
        <v>4831.92</v>
      </c>
    </row>
    <row r="980" spans="1:8" x14ac:dyDescent="0.25">
      <c r="A980" s="1" t="s">
        <v>993</v>
      </c>
      <c r="B980" s="5">
        <v>45698.75</v>
      </c>
      <c r="C980" s="1" t="s">
        <v>11</v>
      </c>
      <c r="D980" s="1" t="s">
        <v>37</v>
      </c>
      <c r="E980" s="1">
        <v>3</v>
      </c>
      <c r="F980" s="1">
        <v>160.22999999999999</v>
      </c>
      <c r="G980" s="1">
        <v>14.46</v>
      </c>
      <c r="H980">
        <f t="shared" si="15"/>
        <v>480.68999999999994</v>
      </c>
    </row>
    <row r="981" spans="1:8" x14ac:dyDescent="0.25">
      <c r="A981" s="1" t="s">
        <v>994</v>
      </c>
      <c r="B981" s="5">
        <v>45698.791666666664</v>
      </c>
      <c r="C981" s="1" t="s">
        <v>23</v>
      </c>
      <c r="D981" s="1" t="s">
        <v>16</v>
      </c>
      <c r="E981" s="1">
        <v>9</v>
      </c>
      <c r="F981" s="1">
        <v>79.599999999999994</v>
      </c>
      <c r="G981" s="1">
        <v>8.9499999999999993</v>
      </c>
      <c r="H981">
        <f t="shared" si="15"/>
        <v>716.4</v>
      </c>
    </row>
    <row r="982" spans="1:8" x14ac:dyDescent="0.25">
      <c r="A982" s="1" t="s">
        <v>995</v>
      </c>
      <c r="B982" s="5">
        <v>45698.833333333336</v>
      </c>
      <c r="C982" s="1" t="s">
        <v>11</v>
      </c>
      <c r="D982" s="1" t="s">
        <v>19</v>
      </c>
      <c r="E982" s="1">
        <v>2</v>
      </c>
      <c r="F982" s="1">
        <v>57.45</v>
      </c>
      <c r="G982" s="1">
        <v>12.01</v>
      </c>
      <c r="H982">
        <f t="shared" si="15"/>
        <v>114.9</v>
      </c>
    </row>
    <row r="983" spans="1:8" x14ac:dyDescent="0.25">
      <c r="A983" s="1" t="s">
        <v>996</v>
      </c>
      <c r="B983" s="5">
        <v>45698.875</v>
      </c>
      <c r="C983" s="1" t="s">
        <v>11</v>
      </c>
      <c r="D983" s="1" t="s">
        <v>16</v>
      </c>
      <c r="E983" s="1">
        <v>9</v>
      </c>
      <c r="F983" s="1">
        <v>21.33</v>
      </c>
      <c r="G983" s="1">
        <v>39.6</v>
      </c>
      <c r="H983">
        <f t="shared" si="15"/>
        <v>191.96999999999997</v>
      </c>
    </row>
    <row r="984" spans="1:8" x14ac:dyDescent="0.25">
      <c r="A984" s="1" t="s">
        <v>997</v>
      </c>
      <c r="B984" s="5">
        <v>45698.916666666664</v>
      </c>
      <c r="C984" s="1" t="s">
        <v>11</v>
      </c>
      <c r="D984" s="1" t="s">
        <v>16</v>
      </c>
      <c r="E984" s="1">
        <v>12</v>
      </c>
      <c r="F984" s="1">
        <v>199.23</v>
      </c>
      <c r="G984" s="1">
        <v>37.35</v>
      </c>
      <c r="H984">
        <f t="shared" si="15"/>
        <v>2390.7599999999998</v>
      </c>
    </row>
    <row r="985" spans="1:8" x14ac:dyDescent="0.25">
      <c r="A985" s="1" t="s">
        <v>998</v>
      </c>
      <c r="B985" s="5">
        <v>45698.958333333336</v>
      </c>
      <c r="C985" s="1" t="s">
        <v>13</v>
      </c>
      <c r="D985" s="1" t="s">
        <v>37</v>
      </c>
      <c r="E985" s="1">
        <v>12</v>
      </c>
      <c r="F985" s="1">
        <v>97.02</v>
      </c>
      <c r="G985" s="1">
        <v>7.06</v>
      </c>
      <c r="H985">
        <f t="shared" si="15"/>
        <v>1164.24</v>
      </c>
    </row>
    <row r="986" spans="1:8" x14ac:dyDescent="0.25">
      <c r="A986" s="1" t="s">
        <v>999</v>
      </c>
      <c r="B986" s="5">
        <v>45699</v>
      </c>
      <c r="C986" s="1" t="s">
        <v>11</v>
      </c>
      <c r="D986" s="1" t="s">
        <v>9</v>
      </c>
      <c r="E986" s="1">
        <v>15</v>
      </c>
      <c r="F986" s="1">
        <v>24.91</v>
      </c>
      <c r="G986" s="1">
        <v>14.15</v>
      </c>
      <c r="H986">
        <f t="shared" si="15"/>
        <v>373.65</v>
      </c>
    </row>
    <row r="987" spans="1:8" x14ac:dyDescent="0.25">
      <c r="A987" s="1" t="s">
        <v>1000</v>
      </c>
      <c r="B987" s="5">
        <v>45699.041666666664</v>
      </c>
      <c r="C987" s="1" t="s">
        <v>23</v>
      </c>
      <c r="D987" s="1" t="s">
        <v>9</v>
      </c>
      <c r="E987" s="1">
        <v>2</v>
      </c>
      <c r="F987" s="1">
        <v>241.45</v>
      </c>
      <c r="G987" s="1">
        <v>30.22</v>
      </c>
      <c r="H987">
        <f t="shared" si="15"/>
        <v>482.9</v>
      </c>
    </row>
    <row r="988" spans="1:8" x14ac:dyDescent="0.25">
      <c r="A988" s="1" t="s">
        <v>1001</v>
      </c>
      <c r="B988" s="5">
        <v>45699.083333333336</v>
      </c>
      <c r="C988" s="1" t="s">
        <v>11</v>
      </c>
      <c r="D988" s="1" t="s">
        <v>16</v>
      </c>
      <c r="E988" s="1">
        <v>18</v>
      </c>
      <c r="F988" s="1">
        <v>310.95</v>
      </c>
      <c r="G988" s="1">
        <v>19.52</v>
      </c>
      <c r="H988">
        <f t="shared" si="15"/>
        <v>5597.0999999999995</v>
      </c>
    </row>
    <row r="989" spans="1:8" x14ac:dyDescent="0.25">
      <c r="A989" s="1" t="s">
        <v>1002</v>
      </c>
      <c r="B989" s="5">
        <v>45699.125</v>
      </c>
      <c r="C989" s="1" t="s">
        <v>11</v>
      </c>
      <c r="D989" s="1" t="s">
        <v>16</v>
      </c>
      <c r="E989" s="1">
        <v>13</v>
      </c>
      <c r="F989" s="1">
        <v>52.76</v>
      </c>
      <c r="G989" s="1">
        <v>42.05</v>
      </c>
      <c r="H989">
        <f t="shared" si="15"/>
        <v>685.88</v>
      </c>
    </row>
    <row r="990" spans="1:8" x14ac:dyDescent="0.25">
      <c r="A990" s="1" t="s">
        <v>1003</v>
      </c>
      <c r="B990" s="5">
        <v>45699.166666666664</v>
      </c>
      <c r="C990" s="1" t="s">
        <v>23</v>
      </c>
      <c r="D990" s="1" t="s">
        <v>9</v>
      </c>
      <c r="E990" s="1">
        <v>14</v>
      </c>
      <c r="F990" s="1">
        <v>215.77</v>
      </c>
      <c r="G990" s="1">
        <v>40.32</v>
      </c>
      <c r="H990">
        <f t="shared" si="15"/>
        <v>3020.78</v>
      </c>
    </row>
    <row r="991" spans="1:8" x14ac:dyDescent="0.25">
      <c r="A991" s="1" t="s">
        <v>1004</v>
      </c>
      <c r="B991" s="5">
        <v>45699.208333333336</v>
      </c>
      <c r="C991" s="1" t="s">
        <v>11</v>
      </c>
      <c r="D991" s="1" t="s">
        <v>9</v>
      </c>
      <c r="E991" s="1">
        <v>5</v>
      </c>
      <c r="F991" s="1">
        <v>338.61</v>
      </c>
      <c r="G991" s="1">
        <v>45.12</v>
      </c>
      <c r="H991">
        <f t="shared" si="15"/>
        <v>1693.0500000000002</v>
      </c>
    </row>
    <row r="992" spans="1:8" x14ac:dyDescent="0.25">
      <c r="A992" s="1" t="s">
        <v>1005</v>
      </c>
      <c r="B992" s="5">
        <v>45699.25</v>
      </c>
      <c r="C992" s="1" t="s">
        <v>23</v>
      </c>
      <c r="D992" s="1" t="s">
        <v>37</v>
      </c>
      <c r="E992" s="1">
        <v>10</v>
      </c>
      <c r="F992" s="1">
        <v>443.83</v>
      </c>
      <c r="G992" s="1">
        <v>30.33</v>
      </c>
      <c r="H992">
        <f t="shared" si="15"/>
        <v>4438.3</v>
      </c>
    </row>
    <row r="993" spans="1:8" x14ac:dyDescent="0.25">
      <c r="A993" s="1" t="s">
        <v>1006</v>
      </c>
      <c r="B993" s="5">
        <v>45699.291666666664</v>
      </c>
      <c r="C993" s="1" t="s">
        <v>11</v>
      </c>
      <c r="D993" s="1" t="s">
        <v>19</v>
      </c>
      <c r="E993" s="1">
        <v>12</v>
      </c>
      <c r="F993" s="1">
        <v>305.39</v>
      </c>
      <c r="G993" s="1">
        <v>20.84</v>
      </c>
      <c r="H993">
        <f t="shared" si="15"/>
        <v>3664.68</v>
      </c>
    </row>
    <row r="994" spans="1:8" x14ac:dyDescent="0.25">
      <c r="A994" s="1" t="s">
        <v>1007</v>
      </c>
      <c r="B994" s="5">
        <v>45699.333333333336</v>
      </c>
      <c r="C994" s="1" t="s">
        <v>23</v>
      </c>
      <c r="D994" s="1" t="s">
        <v>16</v>
      </c>
      <c r="E994" s="1">
        <v>10</v>
      </c>
      <c r="F994" s="1">
        <v>121.88</v>
      </c>
      <c r="G994" s="1">
        <v>32.270000000000003</v>
      </c>
      <c r="H994">
        <f t="shared" si="15"/>
        <v>1218.8</v>
      </c>
    </row>
    <row r="995" spans="1:8" x14ac:dyDescent="0.25">
      <c r="A995" s="1" t="s">
        <v>1008</v>
      </c>
      <c r="B995" s="5">
        <v>45699.375</v>
      </c>
      <c r="C995" s="1" t="s">
        <v>11</v>
      </c>
      <c r="D995" s="1" t="s">
        <v>9</v>
      </c>
      <c r="E995" s="1">
        <v>11</v>
      </c>
      <c r="F995" s="1">
        <v>326.83999999999997</v>
      </c>
      <c r="G995" s="1">
        <v>9.01</v>
      </c>
      <c r="H995">
        <f t="shared" si="15"/>
        <v>3595.24</v>
      </c>
    </row>
    <row r="996" spans="1:8" x14ac:dyDescent="0.25">
      <c r="A996" s="1" t="s">
        <v>1009</v>
      </c>
      <c r="B996" s="5">
        <v>45699.416666666664</v>
      </c>
      <c r="C996" s="1" t="s">
        <v>11</v>
      </c>
      <c r="D996" s="1" t="s">
        <v>16</v>
      </c>
      <c r="E996" s="1">
        <v>2</v>
      </c>
      <c r="F996" s="1">
        <v>275.3</v>
      </c>
      <c r="G996" s="1">
        <v>5.43</v>
      </c>
      <c r="H996">
        <f t="shared" si="15"/>
        <v>550.6</v>
      </c>
    </row>
    <row r="997" spans="1:8" x14ac:dyDescent="0.25">
      <c r="A997" s="1" t="s">
        <v>1010</v>
      </c>
      <c r="B997" s="5">
        <v>45699.458333333336</v>
      </c>
      <c r="C997" s="1" t="s">
        <v>13</v>
      </c>
      <c r="D997" s="1" t="s">
        <v>16</v>
      </c>
      <c r="E997" s="1">
        <v>5</v>
      </c>
      <c r="F997" s="1">
        <v>107.53</v>
      </c>
      <c r="G997" s="1">
        <v>5.77</v>
      </c>
      <c r="H997">
        <f t="shared" si="15"/>
        <v>537.65</v>
      </c>
    </row>
    <row r="998" spans="1:8" x14ac:dyDescent="0.25">
      <c r="A998" s="1" t="s">
        <v>1011</v>
      </c>
      <c r="B998" s="5">
        <v>45699.5</v>
      </c>
      <c r="C998" s="1" t="s">
        <v>13</v>
      </c>
      <c r="D998" s="1" t="s">
        <v>9</v>
      </c>
      <c r="E998" s="1">
        <v>7</v>
      </c>
      <c r="F998" s="1">
        <v>385.31</v>
      </c>
      <c r="G998" s="1">
        <v>23.34</v>
      </c>
      <c r="H998">
        <f t="shared" si="15"/>
        <v>2697.17</v>
      </c>
    </row>
    <row r="999" spans="1:8" x14ac:dyDescent="0.25">
      <c r="A999" s="1" t="s">
        <v>1012</v>
      </c>
      <c r="B999" s="5">
        <v>45699.541666666664</v>
      </c>
      <c r="C999" s="1" t="s">
        <v>11</v>
      </c>
      <c r="D999" s="1" t="s">
        <v>37</v>
      </c>
      <c r="E999" s="1">
        <v>6</v>
      </c>
      <c r="F999" s="1">
        <v>201.21</v>
      </c>
      <c r="G999" s="1">
        <v>15.26</v>
      </c>
      <c r="H999">
        <f t="shared" si="15"/>
        <v>1207.26</v>
      </c>
    </row>
    <row r="1000" spans="1:8" x14ac:dyDescent="0.25">
      <c r="A1000" s="1" t="s">
        <v>1013</v>
      </c>
      <c r="B1000" s="5">
        <v>45699.583333333336</v>
      </c>
      <c r="C1000" s="1" t="s">
        <v>11</v>
      </c>
      <c r="D1000" s="1" t="s">
        <v>16</v>
      </c>
      <c r="E1000" s="1">
        <v>3</v>
      </c>
      <c r="F1000" s="1">
        <v>433.48</v>
      </c>
      <c r="G1000" s="1">
        <v>12.08</v>
      </c>
      <c r="H1000">
        <f t="shared" si="15"/>
        <v>1300.44</v>
      </c>
    </row>
    <row r="1001" spans="1:8" x14ac:dyDescent="0.25">
      <c r="A1001" s="1" t="s">
        <v>1014</v>
      </c>
      <c r="B1001" s="5">
        <v>45699.625</v>
      </c>
      <c r="C1001" s="1" t="s">
        <v>8</v>
      </c>
      <c r="D1001" s="1" t="s">
        <v>37</v>
      </c>
      <c r="E1001" s="1">
        <v>13</v>
      </c>
      <c r="F1001" s="1">
        <v>329.6</v>
      </c>
      <c r="G1001" s="1">
        <v>32.69</v>
      </c>
      <c r="H1001">
        <f t="shared" si="15"/>
        <v>4284.8</v>
      </c>
    </row>
    <row r="1002" spans="1:8" x14ac:dyDescent="0.25">
      <c r="A1002" s="1" t="s">
        <v>1015</v>
      </c>
      <c r="B1002" s="5">
        <v>45699.666666666664</v>
      </c>
      <c r="C1002" s="1" t="s">
        <v>23</v>
      </c>
      <c r="D1002" s="1" t="s">
        <v>9</v>
      </c>
      <c r="E1002" s="1">
        <v>3</v>
      </c>
      <c r="F1002" s="1">
        <v>295.56</v>
      </c>
      <c r="G1002" s="1">
        <v>49.78</v>
      </c>
      <c r="H1002">
        <f t="shared" si="15"/>
        <v>886.68000000000006</v>
      </c>
    </row>
    <row r="1003" spans="1:8" x14ac:dyDescent="0.25">
      <c r="A1003" s="1" t="s">
        <v>1016</v>
      </c>
      <c r="B1003" s="5">
        <v>45699.708333333336</v>
      </c>
      <c r="C1003" s="1" t="s">
        <v>8</v>
      </c>
      <c r="D1003" s="1" t="s">
        <v>19</v>
      </c>
      <c r="E1003" s="1">
        <v>6</v>
      </c>
      <c r="F1003" s="1">
        <v>331.97</v>
      </c>
      <c r="G1003" s="1">
        <v>13</v>
      </c>
      <c r="H1003">
        <f t="shared" si="15"/>
        <v>1991.8200000000002</v>
      </c>
    </row>
    <row r="1004" spans="1:8" x14ac:dyDescent="0.25">
      <c r="A1004" s="1" t="s">
        <v>1017</v>
      </c>
      <c r="B1004" s="5">
        <v>45699.75</v>
      </c>
      <c r="C1004" s="1" t="s">
        <v>13</v>
      </c>
      <c r="D1004" s="1" t="s">
        <v>19</v>
      </c>
      <c r="E1004" s="1">
        <v>11</v>
      </c>
      <c r="F1004" s="1">
        <v>223.23</v>
      </c>
      <c r="G1004" s="1">
        <v>29.59</v>
      </c>
      <c r="H1004">
        <f t="shared" si="15"/>
        <v>2455.5299999999997</v>
      </c>
    </row>
    <row r="1005" spans="1:8" x14ac:dyDescent="0.25">
      <c r="A1005" s="1" t="s">
        <v>1018</v>
      </c>
      <c r="B1005" s="5">
        <v>45699.791666666664</v>
      </c>
      <c r="C1005" s="1" t="s">
        <v>13</v>
      </c>
      <c r="D1005" s="1" t="s">
        <v>16</v>
      </c>
      <c r="E1005" s="1">
        <v>17</v>
      </c>
      <c r="F1005" s="1">
        <v>235.02</v>
      </c>
      <c r="G1005" s="1">
        <v>10.39</v>
      </c>
      <c r="H1005">
        <f t="shared" si="15"/>
        <v>3995.34</v>
      </c>
    </row>
    <row r="1006" spans="1:8" x14ac:dyDescent="0.25">
      <c r="A1006" s="1" t="s">
        <v>1019</v>
      </c>
      <c r="B1006" s="5">
        <v>45699.833333333336</v>
      </c>
      <c r="C1006" s="1" t="s">
        <v>13</v>
      </c>
      <c r="D1006" s="1" t="s">
        <v>9</v>
      </c>
      <c r="E1006" s="1">
        <v>10</v>
      </c>
      <c r="F1006" s="1">
        <v>385.35</v>
      </c>
      <c r="G1006" s="1">
        <v>47.04</v>
      </c>
      <c r="H1006">
        <f t="shared" si="15"/>
        <v>3853.5</v>
      </c>
    </row>
    <row r="1007" spans="1:8" x14ac:dyDescent="0.25">
      <c r="A1007" s="1" t="s">
        <v>1020</v>
      </c>
      <c r="B1007" s="5">
        <v>45699.875</v>
      </c>
      <c r="C1007" s="1" t="s">
        <v>13</v>
      </c>
      <c r="D1007" s="1" t="s">
        <v>37</v>
      </c>
      <c r="E1007" s="1">
        <v>12</v>
      </c>
      <c r="F1007" s="1">
        <v>311.36</v>
      </c>
      <c r="G1007" s="1">
        <v>18.13</v>
      </c>
      <c r="H1007">
        <f t="shared" si="15"/>
        <v>3736.32</v>
      </c>
    </row>
    <row r="1008" spans="1:8" x14ac:dyDescent="0.25">
      <c r="A1008" s="1" t="s">
        <v>1021</v>
      </c>
      <c r="B1008" s="5">
        <v>45699.916666666664</v>
      </c>
      <c r="C1008" s="1" t="s">
        <v>11</v>
      </c>
      <c r="D1008" s="1" t="s">
        <v>16</v>
      </c>
      <c r="E1008" s="1">
        <v>17</v>
      </c>
      <c r="F1008" s="1">
        <v>405.35</v>
      </c>
      <c r="G1008" s="1">
        <v>44.53</v>
      </c>
      <c r="H1008">
        <f t="shared" si="15"/>
        <v>6890.9500000000007</v>
      </c>
    </row>
    <row r="1009" spans="1:8" x14ac:dyDescent="0.25">
      <c r="A1009" s="1" t="s">
        <v>1022</v>
      </c>
      <c r="B1009" s="5">
        <v>45699.958333333336</v>
      </c>
      <c r="C1009" s="1" t="s">
        <v>13</v>
      </c>
      <c r="D1009" s="1" t="s">
        <v>9</v>
      </c>
      <c r="E1009" s="1">
        <v>4</v>
      </c>
      <c r="F1009" s="1">
        <v>402.56</v>
      </c>
      <c r="G1009" s="1">
        <v>17.739999999999998</v>
      </c>
      <c r="H1009">
        <f t="shared" si="15"/>
        <v>1610.24</v>
      </c>
    </row>
    <row r="1010" spans="1:8" x14ac:dyDescent="0.25">
      <c r="A1010" s="1" t="s">
        <v>1023</v>
      </c>
      <c r="B1010" s="5">
        <v>45700</v>
      </c>
      <c r="C1010" s="1" t="s">
        <v>11</v>
      </c>
      <c r="D1010" s="1" t="s">
        <v>9</v>
      </c>
      <c r="E1010" s="1">
        <v>2</v>
      </c>
      <c r="F1010" s="1">
        <v>439.78</v>
      </c>
      <c r="G1010" s="1">
        <v>41.27</v>
      </c>
      <c r="H1010">
        <f t="shared" si="15"/>
        <v>879.56</v>
      </c>
    </row>
    <row r="1011" spans="1:8" x14ac:dyDescent="0.25">
      <c r="A1011" s="1" t="s">
        <v>1024</v>
      </c>
      <c r="B1011" s="5">
        <v>45700.041666666664</v>
      </c>
      <c r="C1011" s="1" t="s">
        <v>11</v>
      </c>
      <c r="D1011" s="1" t="s">
        <v>37</v>
      </c>
      <c r="E1011" s="1">
        <v>11</v>
      </c>
      <c r="F1011" s="1">
        <v>319.74</v>
      </c>
      <c r="G1011" s="1">
        <v>14.42</v>
      </c>
      <c r="H1011">
        <f t="shared" si="15"/>
        <v>3517.1400000000003</v>
      </c>
    </row>
    <row r="1012" spans="1:8" x14ac:dyDescent="0.25">
      <c r="A1012" s="1" t="s">
        <v>1025</v>
      </c>
      <c r="B1012" s="5">
        <v>45700.083333333336</v>
      </c>
      <c r="C1012" s="1" t="s">
        <v>13</v>
      </c>
      <c r="D1012" s="1" t="s">
        <v>16</v>
      </c>
      <c r="E1012" s="1">
        <v>7</v>
      </c>
      <c r="F1012" s="1">
        <v>233.75</v>
      </c>
      <c r="G1012" s="1">
        <v>18.18</v>
      </c>
      <c r="H1012">
        <f t="shared" si="15"/>
        <v>1636.25</v>
      </c>
    </row>
    <row r="1013" spans="1:8" x14ac:dyDescent="0.25">
      <c r="A1013" s="1" t="s">
        <v>1026</v>
      </c>
      <c r="B1013" s="5">
        <v>45700.125</v>
      </c>
      <c r="C1013" s="1" t="s">
        <v>13</v>
      </c>
      <c r="D1013" s="1" t="s">
        <v>9</v>
      </c>
      <c r="E1013" s="1">
        <v>2</v>
      </c>
      <c r="F1013" s="1">
        <v>87.76</v>
      </c>
      <c r="G1013" s="1">
        <v>13.66</v>
      </c>
      <c r="H1013">
        <f t="shared" si="15"/>
        <v>175.52</v>
      </c>
    </row>
    <row r="1014" spans="1:8" x14ac:dyDescent="0.25">
      <c r="A1014" s="1" t="s">
        <v>1027</v>
      </c>
      <c r="B1014" s="5">
        <v>45700.166666666664</v>
      </c>
      <c r="C1014" s="1" t="s">
        <v>23</v>
      </c>
      <c r="D1014" s="1" t="s">
        <v>9</v>
      </c>
      <c r="E1014" s="1">
        <v>18</v>
      </c>
      <c r="F1014" s="1">
        <v>321.99</v>
      </c>
      <c r="G1014" s="1">
        <v>16.89</v>
      </c>
      <c r="H1014">
        <f t="shared" si="15"/>
        <v>5795.82</v>
      </c>
    </row>
    <row r="1015" spans="1:8" x14ac:dyDescent="0.25">
      <c r="A1015" s="1" t="s">
        <v>1028</v>
      </c>
      <c r="B1015" s="5">
        <v>45700.208333333336</v>
      </c>
      <c r="C1015" s="1" t="s">
        <v>8</v>
      </c>
      <c r="D1015" s="1" t="s">
        <v>9</v>
      </c>
      <c r="E1015" s="1">
        <v>4</v>
      </c>
      <c r="F1015" s="1">
        <v>142.19</v>
      </c>
      <c r="G1015" s="1">
        <v>42.57</v>
      </c>
      <c r="H1015">
        <f t="shared" si="15"/>
        <v>568.76</v>
      </c>
    </row>
    <row r="1016" spans="1:8" x14ac:dyDescent="0.25">
      <c r="A1016" s="1" t="s">
        <v>1029</v>
      </c>
      <c r="B1016" s="5">
        <v>45700.25</v>
      </c>
      <c r="C1016" s="1" t="s">
        <v>13</v>
      </c>
      <c r="D1016" s="1" t="s">
        <v>37</v>
      </c>
      <c r="E1016" s="1">
        <v>8</v>
      </c>
      <c r="F1016" s="1">
        <v>138.44</v>
      </c>
      <c r="G1016" s="1">
        <v>33.76</v>
      </c>
      <c r="H1016">
        <f t="shared" si="15"/>
        <v>1107.52</v>
      </c>
    </row>
    <row r="1017" spans="1:8" x14ac:dyDescent="0.25">
      <c r="A1017" s="1" t="s">
        <v>1030</v>
      </c>
      <c r="B1017" s="5">
        <v>45700.291666666664</v>
      </c>
      <c r="C1017" s="1" t="s">
        <v>23</v>
      </c>
      <c r="D1017" s="1" t="s">
        <v>16</v>
      </c>
      <c r="E1017" s="1">
        <v>14</v>
      </c>
      <c r="F1017" s="1">
        <v>119.04</v>
      </c>
      <c r="G1017" s="1">
        <v>23.26</v>
      </c>
      <c r="H1017">
        <f t="shared" si="15"/>
        <v>1666.5600000000002</v>
      </c>
    </row>
    <row r="1018" spans="1:8" x14ac:dyDescent="0.25">
      <c r="A1018" s="1" t="s">
        <v>1031</v>
      </c>
      <c r="B1018" s="5">
        <v>45700.333333333336</v>
      </c>
      <c r="C1018" s="1" t="s">
        <v>23</v>
      </c>
      <c r="D1018" s="1" t="s">
        <v>16</v>
      </c>
      <c r="E1018" s="1">
        <v>12</v>
      </c>
      <c r="F1018" s="1">
        <v>395.74</v>
      </c>
      <c r="G1018" s="1">
        <v>48.72</v>
      </c>
      <c r="H1018">
        <f t="shared" si="15"/>
        <v>4748.88</v>
      </c>
    </row>
    <row r="1019" spans="1:8" x14ac:dyDescent="0.25">
      <c r="A1019" s="1" t="s">
        <v>1032</v>
      </c>
      <c r="B1019" s="5">
        <v>45700.375</v>
      </c>
      <c r="C1019" s="1" t="s">
        <v>8</v>
      </c>
      <c r="D1019" s="1" t="s">
        <v>16</v>
      </c>
      <c r="E1019" s="1">
        <v>18</v>
      </c>
      <c r="F1019" s="1">
        <v>392.63</v>
      </c>
      <c r="G1019" s="1">
        <v>25.92</v>
      </c>
      <c r="H1019">
        <f t="shared" si="15"/>
        <v>7067.34</v>
      </c>
    </row>
    <row r="1020" spans="1:8" x14ac:dyDescent="0.25">
      <c r="A1020" s="1" t="s">
        <v>1033</v>
      </c>
      <c r="B1020" s="5">
        <v>45700.416666666664</v>
      </c>
      <c r="C1020" s="1" t="s">
        <v>11</v>
      </c>
      <c r="D1020" s="1" t="s">
        <v>16</v>
      </c>
      <c r="E1020" s="1">
        <v>11</v>
      </c>
      <c r="F1020" s="1">
        <v>289.66000000000003</v>
      </c>
      <c r="G1020" s="1">
        <v>48.64</v>
      </c>
      <c r="H1020">
        <f t="shared" si="15"/>
        <v>3186.26</v>
      </c>
    </row>
    <row r="1021" spans="1:8" x14ac:dyDescent="0.25">
      <c r="A1021" s="1" t="s">
        <v>1034</v>
      </c>
      <c r="B1021" s="5">
        <v>45700.458333333336</v>
      </c>
      <c r="C1021" s="1" t="s">
        <v>13</v>
      </c>
      <c r="D1021" s="1" t="s">
        <v>19</v>
      </c>
      <c r="E1021" s="1">
        <v>8</v>
      </c>
      <c r="F1021" s="1">
        <v>221.01</v>
      </c>
      <c r="G1021" s="1">
        <v>13.85</v>
      </c>
      <c r="H1021">
        <f t="shared" si="15"/>
        <v>1768.08</v>
      </c>
    </row>
    <row r="1022" spans="1:8" x14ac:dyDescent="0.25">
      <c r="A1022" s="1" t="s">
        <v>1035</v>
      </c>
      <c r="B1022" s="5">
        <v>45700.5</v>
      </c>
      <c r="C1022" s="1" t="s">
        <v>8</v>
      </c>
      <c r="D1022" s="1" t="s">
        <v>19</v>
      </c>
      <c r="E1022" s="1">
        <v>2</v>
      </c>
      <c r="F1022" s="1">
        <v>307.52999999999997</v>
      </c>
      <c r="G1022" s="1">
        <v>45.71</v>
      </c>
      <c r="H1022">
        <f t="shared" si="15"/>
        <v>615.05999999999995</v>
      </c>
    </row>
    <row r="1023" spans="1:8" x14ac:dyDescent="0.25">
      <c r="A1023" s="1" t="s">
        <v>1036</v>
      </c>
      <c r="B1023" s="5">
        <v>45700.541666666664</v>
      </c>
      <c r="C1023" s="1" t="s">
        <v>13</v>
      </c>
      <c r="D1023" s="1" t="s">
        <v>16</v>
      </c>
      <c r="E1023" s="1">
        <v>15</v>
      </c>
      <c r="F1023" s="1">
        <v>279.33999999999997</v>
      </c>
      <c r="G1023" s="1">
        <v>5.62</v>
      </c>
      <c r="H1023">
        <f t="shared" si="15"/>
        <v>4190.0999999999995</v>
      </c>
    </row>
    <row r="1024" spans="1:8" x14ac:dyDescent="0.25">
      <c r="A1024" s="1" t="s">
        <v>1037</v>
      </c>
      <c r="B1024" s="5">
        <v>45700.583333333336</v>
      </c>
      <c r="C1024" s="1" t="s">
        <v>23</v>
      </c>
      <c r="D1024" s="1" t="s">
        <v>37</v>
      </c>
      <c r="E1024" s="1">
        <v>9</v>
      </c>
      <c r="F1024" s="1">
        <v>196.14</v>
      </c>
      <c r="G1024" s="1">
        <v>29.54</v>
      </c>
      <c r="H1024">
        <f t="shared" si="15"/>
        <v>1765.2599999999998</v>
      </c>
    </row>
    <row r="1025" spans="1:8" x14ac:dyDescent="0.25">
      <c r="A1025" s="1" t="s">
        <v>1038</v>
      </c>
      <c r="B1025" s="5">
        <v>45700.625</v>
      </c>
      <c r="C1025" s="1" t="s">
        <v>23</v>
      </c>
      <c r="D1025" s="1" t="s">
        <v>19</v>
      </c>
      <c r="E1025" s="1">
        <v>19</v>
      </c>
      <c r="F1025" s="1">
        <v>180.45</v>
      </c>
      <c r="G1025" s="1">
        <v>24.04</v>
      </c>
      <c r="H1025">
        <f t="shared" si="15"/>
        <v>3428.5499999999997</v>
      </c>
    </row>
    <row r="1026" spans="1:8" x14ac:dyDescent="0.25">
      <c r="A1026" s="1" t="s">
        <v>1039</v>
      </c>
      <c r="B1026" s="5">
        <v>45700.666666666664</v>
      </c>
      <c r="C1026" s="1" t="s">
        <v>11</v>
      </c>
      <c r="D1026" s="1" t="s">
        <v>9</v>
      </c>
      <c r="E1026" s="1">
        <v>8</v>
      </c>
      <c r="F1026" s="1">
        <v>181.82</v>
      </c>
      <c r="G1026" s="1">
        <v>28.63</v>
      </c>
      <c r="H1026">
        <f t="shared" ref="H1026:H1089" si="16">E1026*F1026</f>
        <v>1454.56</v>
      </c>
    </row>
    <row r="1027" spans="1:8" x14ac:dyDescent="0.25">
      <c r="A1027" s="1" t="s">
        <v>1040</v>
      </c>
      <c r="B1027" s="5">
        <v>45700.708333333336</v>
      </c>
      <c r="C1027" s="1" t="s">
        <v>23</v>
      </c>
      <c r="D1027" s="1" t="s">
        <v>19</v>
      </c>
      <c r="E1027" s="1">
        <v>19</v>
      </c>
      <c r="F1027" s="1">
        <v>271.48</v>
      </c>
      <c r="G1027" s="1">
        <v>29.91</v>
      </c>
      <c r="H1027">
        <f t="shared" si="16"/>
        <v>5158.1200000000008</v>
      </c>
    </row>
    <row r="1028" spans="1:8" x14ac:dyDescent="0.25">
      <c r="A1028" s="1" t="s">
        <v>1041</v>
      </c>
      <c r="B1028" s="5">
        <v>45700.75</v>
      </c>
      <c r="C1028" s="1" t="s">
        <v>23</v>
      </c>
      <c r="D1028" s="1" t="s">
        <v>9</v>
      </c>
      <c r="E1028" s="1">
        <v>5</v>
      </c>
      <c r="F1028" s="1">
        <v>296.91000000000003</v>
      </c>
      <c r="G1028" s="1">
        <v>22.51</v>
      </c>
      <c r="H1028">
        <f t="shared" si="16"/>
        <v>1484.5500000000002</v>
      </c>
    </row>
    <row r="1029" spans="1:8" x14ac:dyDescent="0.25">
      <c r="A1029" s="1" t="s">
        <v>1042</v>
      </c>
      <c r="B1029" s="5">
        <v>45700.791666666664</v>
      </c>
      <c r="C1029" s="1" t="s">
        <v>8</v>
      </c>
      <c r="D1029" s="1" t="s">
        <v>16</v>
      </c>
      <c r="E1029" s="1">
        <v>11</v>
      </c>
      <c r="F1029" s="1">
        <v>211.78</v>
      </c>
      <c r="G1029" s="1">
        <v>49.92</v>
      </c>
      <c r="H1029">
        <f t="shared" si="16"/>
        <v>2329.58</v>
      </c>
    </row>
    <row r="1030" spans="1:8" x14ac:dyDescent="0.25">
      <c r="A1030" s="1" t="s">
        <v>1043</v>
      </c>
      <c r="B1030" s="5">
        <v>45700.833333333336</v>
      </c>
      <c r="C1030" s="1" t="s">
        <v>13</v>
      </c>
      <c r="D1030" s="1" t="s">
        <v>19</v>
      </c>
      <c r="E1030" s="1">
        <v>15</v>
      </c>
      <c r="F1030" s="1">
        <v>436.4</v>
      </c>
      <c r="G1030" s="1">
        <v>48.94</v>
      </c>
      <c r="H1030">
        <f t="shared" si="16"/>
        <v>6546</v>
      </c>
    </row>
    <row r="1031" spans="1:8" x14ac:dyDescent="0.25">
      <c r="A1031" s="1" t="s">
        <v>1044</v>
      </c>
      <c r="B1031" s="5">
        <v>45700.875</v>
      </c>
      <c r="C1031" s="1" t="s">
        <v>13</v>
      </c>
      <c r="D1031" s="1" t="s">
        <v>37</v>
      </c>
      <c r="E1031" s="1">
        <v>8</v>
      </c>
      <c r="F1031" s="1">
        <v>51.93</v>
      </c>
      <c r="G1031" s="1">
        <v>48.28</v>
      </c>
      <c r="H1031">
        <f t="shared" si="16"/>
        <v>415.44</v>
      </c>
    </row>
    <row r="1032" spans="1:8" x14ac:dyDescent="0.25">
      <c r="A1032" s="1" t="s">
        <v>1045</v>
      </c>
      <c r="B1032" s="5">
        <v>45700.916666666664</v>
      </c>
      <c r="C1032" s="1" t="s">
        <v>8</v>
      </c>
      <c r="D1032" s="1" t="s">
        <v>19</v>
      </c>
      <c r="E1032" s="1">
        <v>19</v>
      </c>
      <c r="F1032" s="1">
        <v>166.29</v>
      </c>
      <c r="G1032" s="1">
        <v>49.06</v>
      </c>
      <c r="H1032">
        <f t="shared" si="16"/>
        <v>3159.5099999999998</v>
      </c>
    </row>
    <row r="1033" spans="1:8" x14ac:dyDescent="0.25">
      <c r="A1033" s="1" t="s">
        <v>1046</v>
      </c>
      <c r="B1033" s="5">
        <v>45700.958333333336</v>
      </c>
      <c r="C1033" s="1" t="s">
        <v>11</v>
      </c>
      <c r="D1033" s="1" t="s">
        <v>19</v>
      </c>
      <c r="E1033" s="1">
        <v>8</v>
      </c>
      <c r="F1033" s="1">
        <v>197.59</v>
      </c>
      <c r="G1033" s="1">
        <v>40.69</v>
      </c>
      <c r="H1033">
        <f t="shared" si="16"/>
        <v>1580.72</v>
      </c>
    </row>
    <row r="1034" spans="1:8" x14ac:dyDescent="0.25">
      <c r="A1034" s="1" t="s">
        <v>1047</v>
      </c>
      <c r="B1034" s="5">
        <v>45701</v>
      </c>
      <c r="C1034" s="1" t="s">
        <v>13</v>
      </c>
      <c r="D1034" s="1" t="s">
        <v>19</v>
      </c>
      <c r="E1034" s="1">
        <v>19</v>
      </c>
      <c r="F1034" s="1">
        <v>22.85</v>
      </c>
      <c r="G1034" s="1">
        <v>49.49</v>
      </c>
      <c r="H1034">
        <f t="shared" si="16"/>
        <v>434.15000000000003</v>
      </c>
    </row>
    <row r="1035" spans="1:8" x14ac:dyDescent="0.25">
      <c r="A1035" s="1" t="s">
        <v>1048</v>
      </c>
      <c r="B1035" s="5">
        <v>45701.041666666664</v>
      </c>
      <c r="C1035" s="1" t="s">
        <v>23</v>
      </c>
      <c r="D1035" s="1" t="s">
        <v>16</v>
      </c>
      <c r="E1035" s="1">
        <v>18</v>
      </c>
      <c r="F1035" s="1">
        <v>174.07</v>
      </c>
      <c r="G1035" s="1">
        <v>45.16</v>
      </c>
      <c r="H1035">
        <f t="shared" si="16"/>
        <v>3133.2599999999998</v>
      </c>
    </row>
    <row r="1036" spans="1:8" x14ac:dyDescent="0.25">
      <c r="A1036" s="1" t="s">
        <v>1049</v>
      </c>
      <c r="B1036" s="5">
        <v>45701.083333333336</v>
      </c>
      <c r="C1036" s="1" t="s">
        <v>13</v>
      </c>
      <c r="D1036" s="1" t="s">
        <v>37</v>
      </c>
      <c r="E1036" s="1">
        <v>10</v>
      </c>
      <c r="F1036" s="1">
        <v>134.43</v>
      </c>
      <c r="G1036" s="1">
        <v>23.72</v>
      </c>
      <c r="H1036">
        <f t="shared" si="16"/>
        <v>1344.3000000000002</v>
      </c>
    </row>
    <row r="1037" spans="1:8" x14ac:dyDescent="0.25">
      <c r="A1037" s="1" t="s">
        <v>1050</v>
      </c>
      <c r="B1037" s="5">
        <v>45701.125</v>
      </c>
      <c r="C1037" s="1" t="s">
        <v>23</v>
      </c>
      <c r="D1037" s="1" t="s">
        <v>19</v>
      </c>
      <c r="E1037" s="1">
        <v>7</v>
      </c>
      <c r="F1037" s="1">
        <v>235.37</v>
      </c>
      <c r="G1037" s="1">
        <v>40.31</v>
      </c>
      <c r="H1037">
        <f t="shared" si="16"/>
        <v>1647.5900000000001</v>
      </c>
    </row>
    <row r="1038" spans="1:8" x14ac:dyDescent="0.25">
      <c r="A1038" s="1" t="s">
        <v>1051</v>
      </c>
      <c r="B1038" s="5">
        <v>45701.166666666664</v>
      </c>
      <c r="C1038" s="1" t="s">
        <v>11</v>
      </c>
      <c r="D1038" s="1" t="s">
        <v>37</v>
      </c>
      <c r="E1038" s="1">
        <v>9</v>
      </c>
      <c r="F1038" s="1">
        <v>161.66999999999999</v>
      </c>
      <c r="G1038" s="1">
        <v>46.04</v>
      </c>
      <c r="H1038">
        <f t="shared" si="16"/>
        <v>1455.03</v>
      </c>
    </row>
    <row r="1039" spans="1:8" x14ac:dyDescent="0.25">
      <c r="A1039" s="1" t="s">
        <v>1052</v>
      </c>
      <c r="B1039" s="5">
        <v>45701.208333333336</v>
      </c>
      <c r="C1039" s="1" t="s">
        <v>8</v>
      </c>
      <c r="D1039" s="1" t="s">
        <v>16</v>
      </c>
      <c r="E1039" s="1">
        <v>1</v>
      </c>
      <c r="F1039" s="1">
        <v>331.03</v>
      </c>
      <c r="G1039" s="1">
        <v>37.07</v>
      </c>
      <c r="H1039">
        <f t="shared" si="16"/>
        <v>331.03</v>
      </c>
    </row>
    <row r="1040" spans="1:8" x14ac:dyDescent="0.25">
      <c r="A1040" s="1" t="s">
        <v>1053</v>
      </c>
      <c r="B1040" s="5">
        <v>45701.25</v>
      </c>
      <c r="C1040" s="1" t="s">
        <v>13</v>
      </c>
      <c r="D1040" s="1" t="s">
        <v>9</v>
      </c>
      <c r="E1040" s="1">
        <v>19</v>
      </c>
      <c r="F1040" s="1">
        <v>237.07</v>
      </c>
      <c r="G1040" s="1">
        <v>24.03</v>
      </c>
      <c r="H1040">
        <f t="shared" si="16"/>
        <v>4504.33</v>
      </c>
    </row>
    <row r="1041" spans="1:8" x14ac:dyDescent="0.25">
      <c r="A1041" s="1" t="s">
        <v>1054</v>
      </c>
      <c r="B1041" s="5">
        <v>45701.291666666664</v>
      </c>
      <c r="C1041" s="1" t="s">
        <v>8</v>
      </c>
      <c r="D1041" s="1" t="s">
        <v>19</v>
      </c>
      <c r="E1041" s="1">
        <v>5</v>
      </c>
      <c r="F1041" s="1">
        <v>71.88</v>
      </c>
      <c r="G1041" s="1">
        <v>7.96</v>
      </c>
      <c r="H1041">
        <f t="shared" si="16"/>
        <v>359.4</v>
      </c>
    </row>
    <row r="1042" spans="1:8" x14ac:dyDescent="0.25">
      <c r="A1042" s="1" t="s">
        <v>1055</v>
      </c>
      <c r="B1042" s="5">
        <v>45701.333333333336</v>
      </c>
      <c r="C1042" s="1" t="s">
        <v>13</v>
      </c>
      <c r="D1042" s="1" t="s">
        <v>37</v>
      </c>
      <c r="E1042" s="1">
        <v>19</v>
      </c>
      <c r="F1042" s="1">
        <v>341.4</v>
      </c>
      <c r="G1042" s="1">
        <v>41.44</v>
      </c>
      <c r="H1042">
        <f t="shared" si="16"/>
        <v>6486.5999999999995</v>
      </c>
    </row>
    <row r="1043" spans="1:8" x14ac:dyDescent="0.25">
      <c r="A1043" s="1" t="s">
        <v>1056</v>
      </c>
      <c r="B1043" s="5">
        <v>45701.375</v>
      </c>
      <c r="C1043" s="1" t="s">
        <v>23</v>
      </c>
      <c r="D1043" s="1" t="s">
        <v>37</v>
      </c>
      <c r="E1043" s="1">
        <v>1</v>
      </c>
      <c r="F1043" s="1">
        <v>58.61</v>
      </c>
      <c r="G1043" s="1">
        <v>47.87</v>
      </c>
      <c r="H1043">
        <f t="shared" si="16"/>
        <v>58.61</v>
      </c>
    </row>
    <row r="1044" spans="1:8" x14ac:dyDescent="0.25">
      <c r="A1044" s="1" t="s">
        <v>1057</v>
      </c>
      <c r="B1044" s="5">
        <v>45701.416666666664</v>
      </c>
      <c r="C1044" s="1" t="s">
        <v>8</v>
      </c>
      <c r="D1044" s="1" t="s">
        <v>16</v>
      </c>
      <c r="E1044" s="1">
        <v>15</v>
      </c>
      <c r="F1044" s="1">
        <v>380.07</v>
      </c>
      <c r="G1044" s="1">
        <v>21.31</v>
      </c>
      <c r="H1044">
        <f t="shared" si="16"/>
        <v>5701.05</v>
      </c>
    </row>
    <row r="1045" spans="1:8" x14ac:dyDescent="0.25">
      <c r="A1045" s="1" t="s">
        <v>1058</v>
      </c>
      <c r="B1045" s="5">
        <v>45701.458333333336</v>
      </c>
      <c r="C1045" s="1" t="s">
        <v>13</v>
      </c>
      <c r="D1045" s="1" t="s">
        <v>19</v>
      </c>
      <c r="E1045" s="1">
        <v>16</v>
      </c>
      <c r="F1045" s="1">
        <v>420.2</v>
      </c>
      <c r="G1045" s="1">
        <v>11.84</v>
      </c>
      <c r="H1045">
        <f t="shared" si="16"/>
        <v>6723.2</v>
      </c>
    </row>
    <row r="1046" spans="1:8" x14ac:dyDescent="0.25">
      <c r="A1046" s="1" t="s">
        <v>1059</v>
      </c>
      <c r="B1046" s="5">
        <v>45701.5</v>
      </c>
      <c r="C1046" s="1" t="s">
        <v>23</v>
      </c>
      <c r="D1046" s="1" t="s">
        <v>9</v>
      </c>
      <c r="E1046" s="1">
        <v>7</v>
      </c>
      <c r="F1046" s="1">
        <v>155.6</v>
      </c>
      <c r="G1046" s="1">
        <v>19.690000000000001</v>
      </c>
      <c r="H1046">
        <f t="shared" si="16"/>
        <v>1089.2</v>
      </c>
    </row>
    <row r="1047" spans="1:8" x14ac:dyDescent="0.25">
      <c r="A1047" s="1" t="s">
        <v>1060</v>
      </c>
      <c r="B1047" s="5">
        <v>45701.541666666664</v>
      </c>
      <c r="C1047" s="1" t="s">
        <v>8</v>
      </c>
      <c r="D1047" s="1" t="s">
        <v>37</v>
      </c>
      <c r="E1047" s="1">
        <v>12</v>
      </c>
      <c r="F1047" s="1">
        <v>417.91</v>
      </c>
      <c r="G1047" s="1">
        <v>31.22</v>
      </c>
      <c r="H1047">
        <f t="shared" si="16"/>
        <v>5014.92</v>
      </c>
    </row>
    <row r="1048" spans="1:8" x14ac:dyDescent="0.25">
      <c r="A1048" s="1" t="s">
        <v>1061</v>
      </c>
      <c r="B1048" s="5">
        <v>45701.583333333336</v>
      </c>
      <c r="C1048" s="1" t="s">
        <v>8</v>
      </c>
      <c r="D1048" s="1" t="s">
        <v>19</v>
      </c>
      <c r="E1048" s="1">
        <v>8</v>
      </c>
      <c r="F1048" s="1">
        <v>360.06</v>
      </c>
      <c r="G1048" s="1">
        <v>19.260000000000002</v>
      </c>
      <c r="H1048">
        <f t="shared" si="16"/>
        <v>2880.48</v>
      </c>
    </row>
    <row r="1049" spans="1:8" x14ac:dyDescent="0.25">
      <c r="A1049" s="1" t="s">
        <v>1062</v>
      </c>
      <c r="B1049" s="5">
        <v>45701.625</v>
      </c>
      <c r="C1049" s="1" t="s">
        <v>13</v>
      </c>
      <c r="D1049" s="1" t="s">
        <v>9</v>
      </c>
      <c r="E1049" s="1">
        <v>5</v>
      </c>
      <c r="F1049" s="1">
        <v>416.3</v>
      </c>
      <c r="G1049" s="1">
        <v>32.479999999999997</v>
      </c>
      <c r="H1049">
        <f t="shared" si="16"/>
        <v>2081.5</v>
      </c>
    </row>
    <row r="1050" spans="1:8" x14ac:dyDescent="0.25">
      <c r="A1050" s="1" t="s">
        <v>1063</v>
      </c>
      <c r="B1050" s="5">
        <v>45701.666666666664</v>
      </c>
      <c r="C1050" s="1" t="s">
        <v>13</v>
      </c>
      <c r="D1050" s="1" t="s">
        <v>37</v>
      </c>
      <c r="E1050" s="1">
        <v>10</v>
      </c>
      <c r="F1050" s="1">
        <v>304.99</v>
      </c>
      <c r="G1050" s="1">
        <v>48.51</v>
      </c>
      <c r="H1050">
        <f t="shared" si="16"/>
        <v>3049.9</v>
      </c>
    </row>
    <row r="1051" spans="1:8" x14ac:dyDescent="0.25">
      <c r="A1051" s="1" t="s">
        <v>1064</v>
      </c>
      <c r="B1051" s="5">
        <v>45701.708333333336</v>
      </c>
      <c r="C1051" s="1" t="s">
        <v>13</v>
      </c>
      <c r="D1051" s="1" t="s">
        <v>37</v>
      </c>
      <c r="E1051" s="1">
        <v>5</v>
      </c>
      <c r="F1051" s="1">
        <v>117.89</v>
      </c>
      <c r="G1051" s="1">
        <v>35.18</v>
      </c>
      <c r="H1051">
        <f t="shared" si="16"/>
        <v>589.45000000000005</v>
      </c>
    </row>
    <row r="1052" spans="1:8" x14ac:dyDescent="0.25">
      <c r="A1052" s="1" t="s">
        <v>1065</v>
      </c>
      <c r="B1052" s="5">
        <v>45701.75</v>
      </c>
      <c r="C1052" s="1" t="s">
        <v>23</v>
      </c>
      <c r="D1052" s="1" t="s">
        <v>9</v>
      </c>
      <c r="E1052" s="1">
        <v>17</v>
      </c>
      <c r="F1052" s="1">
        <v>404.17</v>
      </c>
      <c r="G1052" s="1">
        <v>21.32</v>
      </c>
      <c r="H1052">
        <f t="shared" si="16"/>
        <v>6870.89</v>
      </c>
    </row>
    <row r="1053" spans="1:8" x14ac:dyDescent="0.25">
      <c r="A1053" s="1" t="s">
        <v>1066</v>
      </c>
      <c r="B1053" s="5">
        <v>45701.791666666664</v>
      </c>
      <c r="C1053" s="1" t="s">
        <v>13</v>
      </c>
      <c r="D1053" s="1" t="s">
        <v>9</v>
      </c>
      <c r="E1053" s="1">
        <v>5</v>
      </c>
      <c r="F1053" s="1">
        <v>95.56</v>
      </c>
      <c r="G1053" s="1">
        <v>47.11</v>
      </c>
      <c r="H1053">
        <f t="shared" si="16"/>
        <v>477.8</v>
      </c>
    </row>
    <row r="1054" spans="1:8" x14ac:dyDescent="0.25">
      <c r="A1054" s="1" t="s">
        <v>1067</v>
      </c>
      <c r="B1054" s="5">
        <v>45701.833333333336</v>
      </c>
      <c r="C1054" s="1" t="s">
        <v>8</v>
      </c>
      <c r="D1054" s="1" t="s">
        <v>16</v>
      </c>
      <c r="E1054" s="1">
        <v>15</v>
      </c>
      <c r="F1054" s="1">
        <v>108.07</v>
      </c>
      <c r="G1054" s="1">
        <v>30.45</v>
      </c>
      <c r="H1054">
        <f t="shared" si="16"/>
        <v>1621.05</v>
      </c>
    </row>
    <row r="1055" spans="1:8" x14ac:dyDescent="0.25">
      <c r="A1055" s="1" t="s">
        <v>1068</v>
      </c>
      <c r="B1055" s="5">
        <v>45701.875</v>
      </c>
      <c r="C1055" s="1" t="s">
        <v>8</v>
      </c>
      <c r="D1055" s="1" t="s">
        <v>19</v>
      </c>
      <c r="E1055" s="1">
        <v>13</v>
      </c>
      <c r="F1055" s="1">
        <v>133.28</v>
      </c>
      <c r="G1055" s="1">
        <v>10.78</v>
      </c>
      <c r="H1055">
        <f t="shared" si="16"/>
        <v>1732.64</v>
      </c>
    </row>
    <row r="1056" spans="1:8" x14ac:dyDescent="0.25">
      <c r="A1056" s="1" t="s">
        <v>1069</v>
      </c>
      <c r="B1056" s="5">
        <v>45701.916666666664</v>
      </c>
      <c r="C1056" s="1" t="s">
        <v>13</v>
      </c>
      <c r="D1056" s="1" t="s">
        <v>19</v>
      </c>
      <c r="E1056" s="1">
        <v>1</v>
      </c>
      <c r="F1056" s="1">
        <v>147.69999999999999</v>
      </c>
      <c r="G1056" s="1">
        <v>27.45</v>
      </c>
      <c r="H1056">
        <f t="shared" si="16"/>
        <v>147.69999999999999</v>
      </c>
    </row>
    <row r="1057" spans="1:8" x14ac:dyDescent="0.25">
      <c r="A1057" s="1" t="s">
        <v>1070</v>
      </c>
      <c r="B1057" s="5">
        <v>45701.958333333336</v>
      </c>
      <c r="C1057" s="1" t="s">
        <v>13</v>
      </c>
      <c r="D1057" s="1" t="s">
        <v>16</v>
      </c>
      <c r="E1057" s="1">
        <v>11</v>
      </c>
      <c r="F1057" s="1">
        <v>239.04</v>
      </c>
      <c r="G1057" s="1">
        <v>34.409999999999997</v>
      </c>
      <c r="H1057">
        <f t="shared" si="16"/>
        <v>2629.44</v>
      </c>
    </row>
    <row r="1058" spans="1:8" x14ac:dyDescent="0.25">
      <c r="A1058" s="1" t="s">
        <v>1071</v>
      </c>
      <c r="B1058" s="5">
        <v>45702</v>
      </c>
      <c r="C1058" s="1" t="s">
        <v>11</v>
      </c>
      <c r="D1058" s="1" t="s">
        <v>37</v>
      </c>
      <c r="E1058" s="1">
        <v>1</v>
      </c>
      <c r="F1058" s="1">
        <v>325.5</v>
      </c>
      <c r="G1058" s="1">
        <v>42.72</v>
      </c>
      <c r="H1058">
        <f t="shared" si="16"/>
        <v>325.5</v>
      </c>
    </row>
    <row r="1059" spans="1:8" x14ac:dyDescent="0.25">
      <c r="A1059" s="1" t="s">
        <v>1072</v>
      </c>
      <c r="B1059" s="5">
        <v>45702.041666666664</v>
      </c>
      <c r="C1059" s="1" t="s">
        <v>8</v>
      </c>
      <c r="D1059" s="1" t="s">
        <v>9</v>
      </c>
      <c r="E1059" s="1">
        <v>11</v>
      </c>
      <c r="F1059" s="1">
        <v>417.94</v>
      </c>
      <c r="G1059" s="1">
        <v>47.14</v>
      </c>
      <c r="H1059">
        <f t="shared" si="16"/>
        <v>4597.34</v>
      </c>
    </row>
    <row r="1060" spans="1:8" x14ac:dyDescent="0.25">
      <c r="A1060" s="1" t="s">
        <v>1073</v>
      </c>
      <c r="B1060" s="5">
        <v>45702.083333333336</v>
      </c>
      <c r="C1060" s="1" t="s">
        <v>23</v>
      </c>
      <c r="D1060" s="1" t="s">
        <v>9</v>
      </c>
      <c r="E1060" s="1">
        <v>18</v>
      </c>
      <c r="F1060" s="1">
        <v>53.93</v>
      </c>
      <c r="G1060" s="1">
        <v>19.28</v>
      </c>
      <c r="H1060">
        <f t="shared" si="16"/>
        <v>970.74</v>
      </c>
    </row>
    <row r="1061" spans="1:8" x14ac:dyDescent="0.25">
      <c r="A1061" s="1" t="s">
        <v>1074</v>
      </c>
      <c r="B1061" s="5">
        <v>45702.125</v>
      </c>
      <c r="C1061" s="1" t="s">
        <v>11</v>
      </c>
      <c r="D1061" s="1" t="s">
        <v>9</v>
      </c>
      <c r="E1061" s="1">
        <v>18</v>
      </c>
      <c r="F1061" s="1">
        <v>430.17</v>
      </c>
      <c r="G1061" s="1">
        <v>12</v>
      </c>
      <c r="H1061">
        <f t="shared" si="16"/>
        <v>7743.06</v>
      </c>
    </row>
    <row r="1062" spans="1:8" x14ac:dyDescent="0.25">
      <c r="A1062" s="1" t="s">
        <v>1075</v>
      </c>
      <c r="B1062" s="5">
        <v>45702.166666666664</v>
      </c>
      <c r="C1062" s="1" t="s">
        <v>13</v>
      </c>
      <c r="D1062" s="1" t="s">
        <v>37</v>
      </c>
      <c r="E1062" s="1">
        <v>16</v>
      </c>
      <c r="F1062" s="1">
        <v>415.81</v>
      </c>
      <c r="G1062" s="1">
        <v>8.32</v>
      </c>
      <c r="H1062">
        <f t="shared" si="16"/>
        <v>6652.96</v>
      </c>
    </row>
    <row r="1063" spans="1:8" x14ac:dyDescent="0.25">
      <c r="A1063" s="1" t="s">
        <v>1076</v>
      </c>
      <c r="B1063" s="5">
        <v>45702.208333333336</v>
      </c>
      <c r="C1063" s="1" t="s">
        <v>13</v>
      </c>
      <c r="D1063" s="1" t="s">
        <v>9</v>
      </c>
      <c r="E1063" s="1">
        <v>13</v>
      </c>
      <c r="F1063" s="1">
        <v>38.96</v>
      </c>
      <c r="G1063" s="1">
        <v>38.229999999999997</v>
      </c>
      <c r="H1063">
        <f t="shared" si="16"/>
        <v>506.48</v>
      </c>
    </row>
    <row r="1064" spans="1:8" x14ac:dyDescent="0.25">
      <c r="A1064" s="1" t="s">
        <v>1077</v>
      </c>
      <c r="B1064" s="5">
        <v>45702.25</v>
      </c>
      <c r="C1064" s="1" t="s">
        <v>8</v>
      </c>
      <c r="D1064" s="1" t="s">
        <v>9</v>
      </c>
      <c r="E1064" s="1">
        <v>7</v>
      </c>
      <c r="F1064" s="1">
        <v>172.06</v>
      </c>
      <c r="G1064" s="1">
        <v>40.78</v>
      </c>
      <c r="H1064">
        <f t="shared" si="16"/>
        <v>1204.42</v>
      </c>
    </row>
    <row r="1065" spans="1:8" x14ac:dyDescent="0.25">
      <c r="A1065" s="1" t="s">
        <v>1078</v>
      </c>
      <c r="B1065" s="5">
        <v>45702.291666666664</v>
      </c>
      <c r="C1065" s="1" t="s">
        <v>13</v>
      </c>
      <c r="D1065" s="1" t="s">
        <v>16</v>
      </c>
      <c r="E1065" s="1">
        <v>1</v>
      </c>
      <c r="F1065" s="1">
        <v>368.81</v>
      </c>
      <c r="G1065" s="1">
        <v>23.42</v>
      </c>
      <c r="H1065">
        <f t="shared" si="16"/>
        <v>368.81</v>
      </c>
    </row>
    <row r="1066" spans="1:8" x14ac:dyDescent="0.25">
      <c r="A1066" s="1" t="s">
        <v>1079</v>
      </c>
      <c r="B1066" s="5">
        <v>45702.333333333336</v>
      </c>
      <c r="C1066" s="1" t="s">
        <v>23</v>
      </c>
      <c r="D1066" s="1" t="s">
        <v>37</v>
      </c>
      <c r="E1066" s="1">
        <v>16</v>
      </c>
      <c r="F1066" s="1">
        <v>281.23</v>
      </c>
      <c r="G1066" s="1">
        <v>22.82</v>
      </c>
      <c r="H1066">
        <f t="shared" si="16"/>
        <v>4499.68</v>
      </c>
    </row>
    <row r="1067" spans="1:8" x14ac:dyDescent="0.25">
      <c r="A1067" s="1" t="s">
        <v>1080</v>
      </c>
      <c r="B1067" s="5">
        <v>45702.375</v>
      </c>
      <c r="C1067" s="1" t="s">
        <v>8</v>
      </c>
      <c r="D1067" s="1" t="s">
        <v>19</v>
      </c>
      <c r="E1067" s="1">
        <v>1</v>
      </c>
      <c r="F1067" s="1">
        <v>354.02</v>
      </c>
      <c r="G1067" s="1">
        <v>47.94</v>
      </c>
      <c r="H1067">
        <f t="shared" si="16"/>
        <v>354.02</v>
      </c>
    </row>
    <row r="1068" spans="1:8" x14ac:dyDescent="0.25">
      <c r="A1068" s="1" t="s">
        <v>1081</v>
      </c>
      <c r="B1068" s="5">
        <v>45702.416666666664</v>
      </c>
      <c r="C1068" s="1" t="s">
        <v>13</v>
      </c>
      <c r="D1068" s="1" t="s">
        <v>16</v>
      </c>
      <c r="E1068" s="1">
        <v>17</v>
      </c>
      <c r="F1068" s="1">
        <v>327.92</v>
      </c>
      <c r="G1068" s="1">
        <v>46.25</v>
      </c>
      <c r="H1068">
        <f t="shared" si="16"/>
        <v>5574.64</v>
      </c>
    </row>
    <row r="1069" spans="1:8" x14ac:dyDescent="0.25">
      <c r="A1069" s="1" t="s">
        <v>1082</v>
      </c>
      <c r="B1069" s="5">
        <v>45702.458333333336</v>
      </c>
      <c r="C1069" s="1" t="s">
        <v>8</v>
      </c>
      <c r="D1069" s="1" t="s">
        <v>16</v>
      </c>
      <c r="E1069" s="1">
        <v>6</v>
      </c>
      <c r="F1069" s="1">
        <v>231.35</v>
      </c>
      <c r="G1069" s="1">
        <v>15.5</v>
      </c>
      <c r="H1069">
        <f t="shared" si="16"/>
        <v>1388.1</v>
      </c>
    </row>
    <row r="1070" spans="1:8" x14ac:dyDescent="0.25">
      <c r="A1070" s="1" t="s">
        <v>1083</v>
      </c>
      <c r="B1070" s="5">
        <v>45702.5</v>
      </c>
      <c r="C1070" s="1" t="s">
        <v>13</v>
      </c>
      <c r="D1070" s="1" t="s">
        <v>19</v>
      </c>
      <c r="E1070" s="1">
        <v>2</v>
      </c>
      <c r="F1070" s="1">
        <v>33.409999999999997</v>
      </c>
      <c r="G1070" s="1">
        <v>40.14</v>
      </c>
      <c r="H1070">
        <f t="shared" si="16"/>
        <v>66.819999999999993</v>
      </c>
    </row>
    <row r="1071" spans="1:8" x14ac:dyDescent="0.25">
      <c r="A1071" s="1" t="s">
        <v>1084</v>
      </c>
      <c r="B1071" s="5">
        <v>45702.541666666664</v>
      </c>
      <c r="C1071" s="1" t="s">
        <v>13</v>
      </c>
      <c r="D1071" s="1" t="s">
        <v>16</v>
      </c>
      <c r="E1071" s="1">
        <v>17</v>
      </c>
      <c r="F1071" s="1">
        <v>269.36</v>
      </c>
      <c r="G1071" s="1">
        <v>33.020000000000003</v>
      </c>
      <c r="H1071">
        <f t="shared" si="16"/>
        <v>4579.12</v>
      </c>
    </row>
    <row r="1072" spans="1:8" x14ac:dyDescent="0.25">
      <c r="A1072" s="1" t="s">
        <v>1085</v>
      </c>
      <c r="B1072" s="5">
        <v>45702.583333333336</v>
      </c>
      <c r="C1072" s="1" t="s">
        <v>13</v>
      </c>
      <c r="D1072" s="1" t="s">
        <v>37</v>
      </c>
      <c r="E1072" s="1">
        <v>6</v>
      </c>
      <c r="F1072" s="1">
        <v>36.6</v>
      </c>
      <c r="G1072" s="1">
        <v>11.94</v>
      </c>
      <c r="H1072">
        <f t="shared" si="16"/>
        <v>219.60000000000002</v>
      </c>
    </row>
    <row r="1073" spans="1:8" x14ac:dyDescent="0.25">
      <c r="A1073" s="1" t="s">
        <v>1086</v>
      </c>
      <c r="B1073" s="5">
        <v>45702.625</v>
      </c>
      <c r="C1073" s="1" t="s">
        <v>23</v>
      </c>
      <c r="D1073" s="1" t="s">
        <v>9</v>
      </c>
      <c r="E1073" s="1">
        <v>14</v>
      </c>
      <c r="F1073" s="1">
        <v>277.82</v>
      </c>
      <c r="G1073" s="1">
        <v>21.05</v>
      </c>
      <c r="H1073">
        <f t="shared" si="16"/>
        <v>3889.48</v>
      </c>
    </row>
    <row r="1074" spans="1:8" x14ac:dyDescent="0.25">
      <c r="A1074" s="1" t="s">
        <v>1087</v>
      </c>
      <c r="B1074" s="5">
        <v>45702.666666666664</v>
      </c>
      <c r="C1074" s="1" t="s">
        <v>23</v>
      </c>
      <c r="D1074" s="1" t="s">
        <v>37</v>
      </c>
      <c r="E1074" s="1">
        <v>18</v>
      </c>
      <c r="F1074" s="1">
        <v>363.28</v>
      </c>
      <c r="G1074" s="1">
        <v>12.99</v>
      </c>
      <c r="H1074">
        <f t="shared" si="16"/>
        <v>6539.0399999999991</v>
      </c>
    </row>
    <row r="1075" spans="1:8" x14ac:dyDescent="0.25">
      <c r="A1075" s="1" t="s">
        <v>1088</v>
      </c>
      <c r="B1075" s="5">
        <v>45702.708333333336</v>
      </c>
      <c r="C1075" s="1" t="s">
        <v>8</v>
      </c>
      <c r="D1075" s="1" t="s">
        <v>19</v>
      </c>
      <c r="E1075" s="1">
        <v>6</v>
      </c>
      <c r="F1075" s="1">
        <v>269.68</v>
      </c>
      <c r="G1075" s="1">
        <v>18.28</v>
      </c>
      <c r="H1075">
        <f t="shared" si="16"/>
        <v>1618.08</v>
      </c>
    </row>
    <row r="1076" spans="1:8" x14ac:dyDescent="0.25">
      <c r="A1076" s="1" t="s">
        <v>1089</v>
      </c>
      <c r="B1076" s="5">
        <v>45702.75</v>
      </c>
      <c r="C1076" s="1" t="s">
        <v>13</v>
      </c>
      <c r="D1076" s="1" t="s">
        <v>19</v>
      </c>
      <c r="E1076" s="1">
        <v>10</v>
      </c>
      <c r="F1076" s="1">
        <v>448.71</v>
      </c>
      <c r="G1076" s="1">
        <v>32.69</v>
      </c>
      <c r="H1076">
        <f t="shared" si="16"/>
        <v>4487.0999999999995</v>
      </c>
    </row>
    <row r="1077" spans="1:8" x14ac:dyDescent="0.25">
      <c r="A1077" s="1" t="s">
        <v>1090</v>
      </c>
      <c r="B1077" s="5">
        <v>45702.791666666664</v>
      </c>
      <c r="C1077" s="1" t="s">
        <v>13</v>
      </c>
      <c r="D1077" s="1" t="s">
        <v>16</v>
      </c>
      <c r="E1077" s="1">
        <v>18</v>
      </c>
      <c r="F1077" s="1">
        <v>213.57</v>
      </c>
      <c r="G1077" s="1">
        <v>21.89</v>
      </c>
      <c r="H1077">
        <f t="shared" si="16"/>
        <v>3844.2599999999998</v>
      </c>
    </row>
    <row r="1078" spans="1:8" x14ac:dyDescent="0.25">
      <c r="A1078" s="1" t="s">
        <v>1091</v>
      </c>
      <c r="B1078" s="5">
        <v>45702.833333333336</v>
      </c>
      <c r="C1078" s="1" t="s">
        <v>23</v>
      </c>
      <c r="D1078" s="1" t="s">
        <v>37</v>
      </c>
      <c r="E1078" s="1">
        <v>9</v>
      </c>
      <c r="F1078" s="1">
        <v>340.87</v>
      </c>
      <c r="G1078" s="1">
        <v>22.73</v>
      </c>
      <c r="H1078">
        <f t="shared" si="16"/>
        <v>3067.83</v>
      </c>
    </row>
    <row r="1079" spans="1:8" x14ac:dyDescent="0.25">
      <c r="A1079" s="1" t="s">
        <v>1092</v>
      </c>
      <c r="B1079" s="5">
        <v>45702.875</v>
      </c>
      <c r="C1079" s="1" t="s">
        <v>13</v>
      </c>
      <c r="D1079" s="1" t="s">
        <v>37</v>
      </c>
      <c r="E1079" s="1">
        <v>8</v>
      </c>
      <c r="F1079" s="1">
        <v>305.39999999999998</v>
      </c>
      <c r="G1079" s="1">
        <v>29.28</v>
      </c>
      <c r="H1079">
        <f t="shared" si="16"/>
        <v>2443.1999999999998</v>
      </c>
    </row>
    <row r="1080" spans="1:8" x14ac:dyDescent="0.25">
      <c r="A1080" s="1" t="s">
        <v>1093</v>
      </c>
      <c r="B1080" s="5">
        <v>45702.916666666664</v>
      </c>
      <c r="C1080" s="1" t="s">
        <v>23</v>
      </c>
      <c r="D1080" s="1" t="s">
        <v>19</v>
      </c>
      <c r="E1080" s="1">
        <v>10</v>
      </c>
      <c r="F1080" s="1">
        <v>446.28</v>
      </c>
      <c r="G1080" s="1">
        <v>8.93</v>
      </c>
      <c r="H1080">
        <f t="shared" si="16"/>
        <v>4462.7999999999993</v>
      </c>
    </row>
    <row r="1081" spans="1:8" x14ac:dyDescent="0.25">
      <c r="A1081" s="1" t="s">
        <v>1094</v>
      </c>
      <c r="B1081" s="5">
        <v>45702.958333333336</v>
      </c>
      <c r="C1081" s="1" t="s">
        <v>13</v>
      </c>
      <c r="D1081" s="1" t="s">
        <v>37</v>
      </c>
      <c r="E1081" s="1">
        <v>17</v>
      </c>
      <c r="F1081" s="1">
        <v>325.39</v>
      </c>
      <c r="G1081" s="1">
        <v>38.25</v>
      </c>
      <c r="H1081">
        <f t="shared" si="16"/>
        <v>5531.63</v>
      </c>
    </row>
    <row r="1082" spans="1:8" x14ac:dyDescent="0.25">
      <c r="A1082" s="1" t="s">
        <v>1095</v>
      </c>
      <c r="B1082" s="5">
        <v>45703</v>
      </c>
      <c r="C1082" s="1" t="s">
        <v>8</v>
      </c>
      <c r="D1082" s="1" t="s">
        <v>19</v>
      </c>
      <c r="E1082" s="1">
        <v>6</v>
      </c>
      <c r="F1082" s="1">
        <v>86.77</v>
      </c>
      <c r="G1082" s="1">
        <v>23.08</v>
      </c>
      <c r="H1082">
        <f t="shared" si="16"/>
        <v>520.62</v>
      </c>
    </row>
    <row r="1083" spans="1:8" x14ac:dyDescent="0.25">
      <c r="A1083" s="1" t="s">
        <v>1096</v>
      </c>
      <c r="B1083" s="5">
        <v>45703.041666666664</v>
      </c>
      <c r="C1083" s="1" t="s">
        <v>13</v>
      </c>
      <c r="D1083" s="1" t="s">
        <v>37</v>
      </c>
      <c r="E1083" s="1">
        <v>14</v>
      </c>
      <c r="F1083" s="1">
        <v>430.67</v>
      </c>
      <c r="G1083" s="1">
        <v>26.62</v>
      </c>
      <c r="H1083">
        <f t="shared" si="16"/>
        <v>6029.38</v>
      </c>
    </row>
    <row r="1084" spans="1:8" x14ac:dyDescent="0.25">
      <c r="A1084" s="1" t="s">
        <v>1097</v>
      </c>
      <c r="B1084" s="5">
        <v>45703.083333333336</v>
      </c>
      <c r="C1084" s="1" t="s">
        <v>13</v>
      </c>
      <c r="D1084" s="1" t="s">
        <v>37</v>
      </c>
      <c r="E1084" s="1">
        <v>6</v>
      </c>
      <c r="F1084" s="1">
        <v>305.64999999999998</v>
      </c>
      <c r="G1084" s="1">
        <v>48.84</v>
      </c>
      <c r="H1084">
        <f t="shared" si="16"/>
        <v>1833.8999999999999</v>
      </c>
    </row>
    <row r="1085" spans="1:8" x14ac:dyDescent="0.25">
      <c r="A1085" s="1" t="s">
        <v>1098</v>
      </c>
      <c r="B1085" s="5">
        <v>45703.125</v>
      </c>
      <c r="C1085" s="1" t="s">
        <v>11</v>
      </c>
      <c r="D1085" s="1" t="s">
        <v>37</v>
      </c>
      <c r="E1085" s="1">
        <v>7</v>
      </c>
      <c r="F1085" s="1">
        <v>41.28</v>
      </c>
      <c r="G1085" s="1">
        <v>20.5</v>
      </c>
      <c r="H1085">
        <f t="shared" si="16"/>
        <v>288.96000000000004</v>
      </c>
    </row>
    <row r="1086" spans="1:8" x14ac:dyDescent="0.25">
      <c r="A1086" s="1" t="s">
        <v>1099</v>
      </c>
      <c r="B1086" s="5">
        <v>45703.166666666664</v>
      </c>
      <c r="C1086" s="1" t="s">
        <v>23</v>
      </c>
      <c r="D1086" s="1" t="s">
        <v>19</v>
      </c>
      <c r="E1086" s="1">
        <v>12</v>
      </c>
      <c r="F1086" s="1">
        <v>301.20999999999998</v>
      </c>
      <c r="G1086" s="1">
        <v>34.17</v>
      </c>
      <c r="H1086">
        <f t="shared" si="16"/>
        <v>3614.5199999999995</v>
      </c>
    </row>
    <row r="1087" spans="1:8" x14ac:dyDescent="0.25">
      <c r="A1087" s="1" t="s">
        <v>1100</v>
      </c>
      <c r="B1087" s="5">
        <v>45703.208333333336</v>
      </c>
      <c r="C1087" s="1" t="s">
        <v>13</v>
      </c>
      <c r="D1087" s="1" t="s">
        <v>16</v>
      </c>
      <c r="E1087" s="1">
        <v>3</v>
      </c>
      <c r="F1087" s="1">
        <v>399.22</v>
      </c>
      <c r="G1087" s="1">
        <v>22.66</v>
      </c>
      <c r="H1087">
        <f t="shared" si="16"/>
        <v>1197.6600000000001</v>
      </c>
    </row>
    <row r="1088" spans="1:8" x14ac:dyDescent="0.25">
      <c r="A1088" s="1" t="s">
        <v>1101</v>
      </c>
      <c r="B1088" s="5">
        <v>45703.25</v>
      </c>
      <c r="C1088" s="1" t="s">
        <v>13</v>
      </c>
      <c r="D1088" s="1" t="s">
        <v>37</v>
      </c>
      <c r="E1088" s="1">
        <v>14</v>
      </c>
      <c r="F1088" s="1">
        <v>266.22000000000003</v>
      </c>
      <c r="G1088" s="1">
        <v>45.24</v>
      </c>
      <c r="H1088">
        <f t="shared" si="16"/>
        <v>3727.0800000000004</v>
      </c>
    </row>
    <row r="1089" spans="1:8" x14ac:dyDescent="0.25">
      <c r="A1089" s="1" t="s">
        <v>1102</v>
      </c>
      <c r="B1089" s="5">
        <v>45703.291666666664</v>
      </c>
      <c r="C1089" s="1" t="s">
        <v>11</v>
      </c>
      <c r="D1089" s="1" t="s">
        <v>19</v>
      </c>
      <c r="E1089" s="1">
        <v>19</v>
      </c>
      <c r="F1089" s="1">
        <v>169.32</v>
      </c>
      <c r="G1089" s="1">
        <v>43.1</v>
      </c>
      <c r="H1089">
        <f t="shared" si="16"/>
        <v>3217.08</v>
      </c>
    </row>
    <row r="1090" spans="1:8" x14ac:dyDescent="0.25">
      <c r="A1090" s="1" t="s">
        <v>1103</v>
      </c>
      <c r="B1090" s="5">
        <v>45703.333333333336</v>
      </c>
      <c r="C1090" s="1" t="s">
        <v>11</v>
      </c>
      <c r="D1090" s="1" t="s">
        <v>19</v>
      </c>
      <c r="E1090" s="1">
        <v>16</v>
      </c>
      <c r="F1090" s="1">
        <v>372.19</v>
      </c>
      <c r="G1090" s="1">
        <v>15.87</v>
      </c>
      <c r="H1090">
        <f t="shared" ref="H1090:H1153" si="17">E1090*F1090</f>
        <v>5955.04</v>
      </c>
    </row>
    <row r="1091" spans="1:8" x14ac:dyDescent="0.25">
      <c r="A1091" s="1" t="s">
        <v>1104</v>
      </c>
      <c r="B1091" s="5">
        <v>45703.375</v>
      </c>
      <c r="C1091" s="1" t="s">
        <v>23</v>
      </c>
      <c r="D1091" s="1" t="s">
        <v>37</v>
      </c>
      <c r="E1091" s="1">
        <v>7</v>
      </c>
      <c r="F1091" s="1">
        <v>355.5</v>
      </c>
      <c r="G1091" s="1">
        <v>36.130000000000003</v>
      </c>
      <c r="H1091">
        <f t="shared" si="17"/>
        <v>2488.5</v>
      </c>
    </row>
    <row r="1092" spans="1:8" x14ac:dyDescent="0.25">
      <c r="A1092" s="1" t="s">
        <v>1105</v>
      </c>
      <c r="B1092" s="5">
        <v>45703.416666666664</v>
      </c>
      <c r="C1092" s="1" t="s">
        <v>11</v>
      </c>
      <c r="D1092" s="1" t="s">
        <v>37</v>
      </c>
      <c r="E1092" s="1">
        <v>8</v>
      </c>
      <c r="F1092" s="1">
        <v>251.95</v>
      </c>
      <c r="G1092" s="1">
        <v>7.93</v>
      </c>
      <c r="H1092">
        <f t="shared" si="17"/>
        <v>2015.6</v>
      </c>
    </row>
    <row r="1093" spans="1:8" x14ac:dyDescent="0.25">
      <c r="A1093" s="1" t="s">
        <v>1106</v>
      </c>
      <c r="B1093" s="5">
        <v>45703.458333333336</v>
      </c>
      <c r="C1093" s="1" t="s">
        <v>8</v>
      </c>
      <c r="D1093" s="1" t="s">
        <v>16</v>
      </c>
      <c r="E1093" s="1">
        <v>18</v>
      </c>
      <c r="F1093" s="1">
        <v>82.57</v>
      </c>
      <c r="G1093" s="1">
        <v>48.34</v>
      </c>
      <c r="H1093">
        <f t="shared" si="17"/>
        <v>1486.2599999999998</v>
      </c>
    </row>
    <row r="1094" spans="1:8" x14ac:dyDescent="0.25">
      <c r="A1094" s="1" t="s">
        <v>1107</v>
      </c>
      <c r="B1094" s="5">
        <v>45703.5</v>
      </c>
      <c r="C1094" s="1" t="s">
        <v>11</v>
      </c>
      <c r="D1094" s="1" t="s">
        <v>19</v>
      </c>
      <c r="E1094" s="1">
        <v>13</v>
      </c>
      <c r="F1094" s="1">
        <v>124.55</v>
      </c>
      <c r="G1094" s="1">
        <v>20.7</v>
      </c>
      <c r="H1094">
        <f t="shared" si="17"/>
        <v>1619.1499999999999</v>
      </c>
    </row>
    <row r="1095" spans="1:8" x14ac:dyDescent="0.25">
      <c r="A1095" s="1" t="s">
        <v>1108</v>
      </c>
      <c r="B1095" s="5">
        <v>45703.541666666664</v>
      </c>
      <c r="C1095" s="1" t="s">
        <v>8</v>
      </c>
      <c r="D1095" s="1" t="s">
        <v>19</v>
      </c>
      <c r="E1095" s="1">
        <v>9</v>
      </c>
      <c r="F1095" s="1">
        <v>336.37</v>
      </c>
      <c r="G1095" s="1">
        <v>42.43</v>
      </c>
      <c r="H1095">
        <f t="shared" si="17"/>
        <v>3027.33</v>
      </c>
    </row>
    <row r="1096" spans="1:8" x14ac:dyDescent="0.25">
      <c r="A1096" s="1" t="s">
        <v>1109</v>
      </c>
      <c r="B1096" s="5">
        <v>45703.583333333336</v>
      </c>
      <c r="C1096" s="1" t="s">
        <v>23</v>
      </c>
      <c r="D1096" s="1" t="s">
        <v>9</v>
      </c>
      <c r="E1096" s="1">
        <v>10</v>
      </c>
      <c r="F1096" s="1">
        <v>365.74</v>
      </c>
      <c r="G1096" s="1">
        <v>19.329999999999998</v>
      </c>
      <c r="H1096">
        <f t="shared" si="17"/>
        <v>3657.4</v>
      </c>
    </row>
    <row r="1097" spans="1:8" x14ac:dyDescent="0.25">
      <c r="A1097" s="1" t="s">
        <v>1110</v>
      </c>
      <c r="B1097" s="5">
        <v>45703.625</v>
      </c>
      <c r="C1097" s="1" t="s">
        <v>23</v>
      </c>
      <c r="D1097" s="1" t="s">
        <v>19</v>
      </c>
      <c r="E1097" s="1">
        <v>9</v>
      </c>
      <c r="F1097" s="1">
        <v>136.84</v>
      </c>
      <c r="G1097" s="1">
        <v>33.47</v>
      </c>
      <c r="H1097">
        <f t="shared" si="17"/>
        <v>1231.56</v>
      </c>
    </row>
    <row r="1098" spans="1:8" x14ac:dyDescent="0.25">
      <c r="A1098" s="1" t="s">
        <v>1111</v>
      </c>
      <c r="B1098" s="5">
        <v>45703.666666666664</v>
      </c>
      <c r="C1098" s="1" t="s">
        <v>23</v>
      </c>
      <c r="D1098" s="1" t="s">
        <v>16</v>
      </c>
      <c r="E1098" s="1">
        <v>15</v>
      </c>
      <c r="F1098" s="1">
        <v>175.39</v>
      </c>
      <c r="G1098" s="1">
        <v>49.26</v>
      </c>
      <c r="H1098">
        <f t="shared" si="17"/>
        <v>2630.85</v>
      </c>
    </row>
    <row r="1099" spans="1:8" x14ac:dyDescent="0.25">
      <c r="A1099" s="1" t="s">
        <v>1112</v>
      </c>
      <c r="B1099" s="5">
        <v>45703.708333333336</v>
      </c>
      <c r="C1099" s="1" t="s">
        <v>23</v>
      </c>
      <c r="D1099" s="1" t="s">
        <v>9</v>
      </c>
      <c r="E1099" s="1">
        <v>2</v>
      </c>
      <c r="F1099" s="1">
        <v>49.23</v>
      </c>
      <c r="G1099" s="1">
        <v>44.45</v>
      </c>
      <c r="H1099">
        <f t="shared" si="17"/>
        <v>98.46</v>
      </c>
    </row>
    <row r="1100" spans="1:8" x14ac:dyDescent="0.25">
      <c r="A1100" s="1" t="s">
        <v>1113</v>
      </c>
      <c r="B1100" s="5">
        <v>45703.75</v>
      </c>
      <c r="C1100" s="1" t="s">
        <v>23</v>
      </c>
      <c r="D1100" s="1" t="s">
        <v>9</v>
      </c>
      <c r="E1100" s="1">
        <v>13</v>
      </c>
      <c r="F1100" s="1">
        <v>325.5</v>
      </c>
      <c r="G1100" s="1">
        <v>12.22</v>
      </c>
      <c r="H1100">
        <f t="shared" si="17"/>
        <v>4231.5</v>
      </c>
    </row>
    <row r="1101" spans="1:8" x14ac:dyDescent="0.25">
      <c r="A1101" s="1" t="s">
        <v>1114</v>
      </c>
      <c r="B1101" s="5">
        <v>45703.791666666664</v>
      </c>
      <c r="C1101" s="1" t="s">
        <v>8</v>
      </c>
      <c r="D1101" s="1" t="s">
        <v>9</v>
      </c>
      <c r="E1101" s="1">
        <v>2</v>
      </c>
      <c r="F1101" s="1">
        <v>17.05</v>
      </c>
      <c r="G1101" s="1">
        <v>29.64</v>
      </c>
      <c r="H1101">
        <f t="shared" si="17"/>
        <v>34.1</v>
      </c>
    </row>
    <row r="1102" spans="1:8" x14ac:dyDescent="0.25">
      <c r="A1102" s="1" t="s">
        <v>1115</v>
      </c>
      <c r="B1102" s="5">
        <v>45703.833333333336</v>
      </c>
      <c r="C1102" s="1" t="s">
        <v>8</v>
      </c>
      <c r="D1102" s="1" t="s">
        <v>37</v>
      </c>
      <c r="E1102" s="1">
        <v>19</v>
      </c>
      <c r="F1102" s="1">
        <v>35.72</v>
      </c>
      <c r="G1102" s="1">
        <v>20.68</v>
      </c>
      <c r="H1102">
        <f t="shared" si="17"/>
        <v>678.68</v>
      </c>
    </row>
    <row r="1103" spans="1:8" x14ac:dyDescent="0.25">
      <c r="A1103" s="1" t="s">
        <v>1116</v>
      </c>
      <c r="B1103" s="5">
        <v>45703.875</v>
      </c>
      <c r="C1103" s="1" t="s">
        <v>23</v>
      </c>
      <c r="D1103" s="1" t="s">
        <v>37</v>
      </c>
      <c r="E1103" s="1">
        <v>2</v>
      </c>
      <c r="F1103" s="1">
        <v>17.39</v>
      </c>
      <c r="G1103" s="1">
        <v>24.55</v>
      </c>
      <c r="H1103">
        <f t="shared" si="17"/>
        <v>34.78</v>
      </c>
    </row>
    <row r="1104" spans="1:8" x14ac:dyDescent="0.25">
      <c r="A1104" s="1" t="s">
        <v>1117</v>
      </c>
      <c r="B1104" s="5">
        <v>45703.916666666664</v>
      </c>
      <c r="C1104" s="1" t="s">
        <v>11</v>
      </c>
      <c r="D1104" s="1" t="s">
        <v>19</v>
      </c>
      <c r="E1104" s="1">
        <v>3</v>
      </c>
      <c r="F1104" s="1">
        <v>295.89</v>
      </c>
      <c r="G1104" s="1">
        <v>20.079999999999998</v>
      </c>
      <c r="H1104">
        <f t="shared" si="17"/>
        <v>887.67</v>
      </c>
    </row>
    <row r="1105" spans="1:8" x14ac:dyDescent="0.25">
      <c r="A1105" s="1" t="s">
        <v>1118</v>
      </c>
      <c r="B1105" s="5">
        <v>45703.958333333336</v>
      </c>
      <c r="C1105" s="1" t="s">
        <v>13</v>
      </c>
      <c r="D1105" s="1" t="s">
        <v>9</v>
      </c>
      <c r="E1105" s="1">
        <v>6</v>
      </c>
      <c r="F1105" s="1">
        <v>196.85</v>
      </c>
      <c r="G1105" s="1">
        <v>20.12</v>
      </c>
      <c r="H1105">
        <f t="shared" si="17"/>
        <v>1181.0999999999999</v>
      </c>
    </row>
    <row r="1106" spans="1:8" x14ac:dyDescent="0.25">
      <c r="A1106" s="1" t="s">
        <v>1119</v>
      </c>
      <c r="B1106" s="5">
        <v>45704</v>
      </c>
      <c r="C1106" s="1" t="s">
        <v>23</v>
      </c>
      <c r="D1106" s="1" t="s">
        <v>16</v>
      </c>
      <c r="E1106" s="1">
        <v>3</v>
      </c>
      <c r="F1106" s="1">
        <v>144.78</v>
      </c>
      <c r="G1106" s="1">
        <v>29.41</v>
      </c>
      <c r="H1106">
        <f t="shared" si="17"/>
        <v>434.34000000000003</v>
      </c>
    </row>
    <row r="1107" spans="1:8" x14ac:dyDescent="0.25">
      <c r="A1107" s="1" t="s">
        <v>1120</v>
      </c>
      <c r="B1107" s="5">
        <v>45704.041666666664</v>
      </c>
      <c r="C1107" s="1" t="s">
        <v>11</v>
      </c>
      <c r="D1107" s="1" t="s">
        <v>37</v>
      </c>
      <c r="E1107" s="1">
        <v>10</v>
      </c>
      <c r="F1107" s="1">
        <v>412.07</v>
      </c>
      <c r="G1107" s="1">
        <v>13.64</v>
      </c>
      <c r="H1107">
        <f t="shared" si="17"/>
        <v>4120.7</v>
      </c>
    </row>
    <row r="1108" spans="1:8" x14ac:dyDescent="0.25">
      <c r="A1108" s="1" t="s">
        <v>1121</v>
      </c>
      <c r="B1108" s="5">
        <v>45704.083333333336</v>
      </c>
      <c r="C1108" s="1" t="s">
        <v>13</v>
      </c>
      <c r="D1108" s="1" t="s">
        <v>16</v>
      </c>
      <c r="E1108" s="1">
        <v>6</v>
      </c>
      <c r="F1108" s="1">
        <v>99.27</v>
      </c>
      <c r="G1108" s="1">
        <v>29.18</v>
      </c>
      <c r="H1108">
        <f t="shared" si="17"/>
        <v>595.62</v>
      </c>
    </row>
    <row r="1109" spans="1:8" x14ac:dyDescent="0.25">
      <c r="A1109" s="1" t="s">
        <v>1122</v>
      </c>
      <c r="B1109" s="5">
        <v>45704.125</v>
      </c>
      <c r="C1109" s="1" t="s">
        <v>23</v>
      </c>
      <c r="D1109" s="1" t="s">
        <v>16</v>
      </c>
      <c r="E1109" s="1">
        <v>16</v>
      </c>
      <c r="F1109" s="1">
        <v>184.68</v>
      </c>
      <c r="G1109" s="1">
        <v>17.55</v>
      </c>
      <c r="H1109">
        <f t="shared" si="17"/>
        <v>2954.88</v>
      </c>
    </row>
    <row r="1110" spans="1:8" x14ac:dyDescent="0.25">
      <c r="A1110" s="1" t="s">
        <v>1123</v>
      </c>
      <c r="B1110" s="5">
        <v>45704.166666666664</v>
      </c>
      <c r="C1110" s="1" t="s">
        <v>23</v>
      </c>
      <c r="D1110" s="1" t="s">
        <v>37</v>
      </c>
      <c r="E1110" s="1">
        <v>17</v>
      </c>
      <c r="F1110" s="1">
        <v>424.07</v>
      </c>
      <c r="G1110" s="1">
        <v>18</v>
      </c>
      <c r="H1110">
        <f t="shared" si="17"/>
        <v>7209.19</v>
      </c>
    </row>
    <row r="1111" spans="1:8" x14ac:dyDescent="0.25">
      <c r="A1111" s="1" t="s">
        <v>1124</v>
      </c>
      <c r="B1111" s="5">
        <v>45704.208333333336</v>
      </c>
      <c r="C1111" s="1" t="s">
        <v>8</v>
      </c>
      <c r="D1111" s="1" t="s">
        <v>37</v>
      </c>
      <c r="E1111" s="1">
        <v>19</v>
      </c>
      <c r="F1111" s="1">
        <v>201.08</v>
      </c>
      <c r="G1111" s="1">
        <v>38.24</v>
      </c>
      <c r="H1111">
        <f t="shared" si="17"/>
        <v>3820.5200000000004</v>
      </c>
    </row>
    <row r="1112" spans="1:8" x14ac:dyDescent="0.25">
      <c r="A1112" s="1" t="s">
        <v>1125</v>
      </c>
      <c r="B1112" s="5">
        <v>45704.25</v>
      </c>
      <c r="C1112" s="1" t="s">
        <v>13</v>
      </c>
      <c r="D1112" s="1" t="s">
        <v>37</v>
      </c>
      <c r="E1112" s="1">
        <v>3</v>
      </c>
      <c r="F1112" s="1">
        <v>256.51</v>
      </c>
      <c r="G1112" s="1">
        <v>6.33</v>
      </c>
      <c r="H1112">
        <f t="shared" si="17"/>
        <v>769.53</v>
      </c>
    </row>
    <row r="1113" spans="1:8" x14ac:dyDescent="0.25">
      <c r="A1113" s="1" t="s">
        <v>1126</v>
      </c>
      <c r="B1113" s="5">
        <v>45704.291666666664</v>
      </c>
      <c r="C1113" s="1" t="s">
        <v>13</v>
      </c>
      <c r="D1113" s="1" t="s">
        <v>37</v>
      </c>
      <c r="E1113" s="1">
        <v>18</v>
      </c>
      <c r="F1113" s="1">
        <v>50.41</v>
      </c>
      <c r="G1113" s="1">
        <v>22.14</v>
      </c>
      <c r="H1113">
        <f t="shared" si="17"/>
        <v>907.37999999999988</v>
      </c>
    </row>
    <row r="1114" spans="1:8" x14ac:dyDescent="0.25">
      <c r="A1114" s="1" t="s">
        <v>1127</v>
      </c>
      <c r="B1114" s="5">
        <v>45704.333333333336</v>
      </c>
      <c r="C1114" s="1" t="s">
        <v>11</v>
      </c>
      <c r="D1114" s="1" t="s">
        <v>9</v>
      </c>
      <c r="E1114" s="1">
        <v>7</v>
      </c>
      <c r="F1114" s="1">
        <v>358.83</v>
      </c>
      <c r="G1114" s="1">
        <v>23.34</v>
      </c>
      <c r="H1114">
        <f t="shared" si="17"/>
        <v>2511.81</v>
      </c>
    </row>
    <row r="1115" spans="1:8" x14ac:dyDescent="0.25">
      <c r="A1115" s="1" t="s">
        <v>1128</v>
      </c>
      <c r="B1115" s="5">
        <v>45704.375</v>
      </c>
      <c r="C1115" s="1" t="s">
        <v>8</v>
      </c>
      <c r="D1115" s="1" t="s">
        <v>9</v>
      </c>
      <c r="E1115" s="1">
        <v>9</v>
      </c>
      <c r="F1115" s="1">
        <v>199.19</v>
      </c>
      <c r="G1115" s="1">
        <v>26.83</v>
      </c>
      <c r="H1115">
        <f t="shared" si="17"/>
        <v>1792.71</v>
      </c>
    </row>
    <row r="1116" spans="1:8" x14ac:dyDescent="0.25">
      <c r="A1116" s="1" t="s">
        <v>1129</v>
      </c>
      <c r="B1116" s="5">
        <v>45704.416666666664</v>
      </c>
      <c r="C1116" s="1" t="s">
        <v>8</v>
      </c>
      <c r="D1116" s="1" t="s">
        <v>9</v>
      </c>
      <c r="E1116" s="1">
        <v>12</v>
      </c>
      <c r="F1116" s="1">
        <v>363.32</v>
      </c>
      <c r="G1116" s="1">
        <v>35.11</v>
      </c>
      <c r="H1116">
        <f t="shared" si="17"/>
        <v>4359.84</v>
      </c>
    </row>
    <row r="1117" spans="1:8" x14ac:dyDescent="0.25">
      <c r="A1117" s="1" t="s">
        <v>1130</v>
      </c>
      <c r="B1117" s="5">
        <v>45704.458333333336</v>
      </c>
      <c r="C1117" s="1" t="s">
        <v>8</v>
      </c>
      <c r="D1117" s="1" t="s">
        <v>9</v>
      </c>
      <c r="E1117" s="1">
        <v>5</v>
      </c>
      <c r="F1117" s="1">
        <v>125.78</v>
      </c>
      <c r="G1117" s="1">
        <v>21.64</v>
      </c>
      <c r="H1117">
        <f t="shared" si="17"/>
        <v>628.9</v>
      </c>
    </row>
    <row r="1118" spans="1:8" x14ac:dyDescent="0.25">
      <c r="A1118" s="1" t="s">
        <v>1131</v>
      </c>
      <c r="B1118" s="5">
        <v>45704.5</v>
      </c>
      <c r="C1118" s="1" t="s">
        <v>8</v>
      </c>
      <c r="D1118" s="1" t="s">
        <v>19</v>
      </c>
      <c r="E1118" s="1">
        <v>3</v>
      </c>
      <c r="F1118" s="1">
        <v>199.07</v>
      </c>
      <c r="G1118" s="1">
        <v>14.59</v>
      </c>
      <c r="H1118">
        <f t="shared" si="17"/>
        <v>597.21</v>
      </c>
    </row>
    <row r="1119" spans="1:8" x14ac:dyDescent="0.25">
      <c r="A1119" s="1" t="s">
        <v>1132</v>
      </c>
      <c r="B1119" s="5">
        <v>45704.541666666664</v>
      </c>
      <c r="C1119" s="1" t="s">
        <v>13</v>
      </c>
      <c r="D1119" s="1" t="s">
        <v>9</v>
      </c>
      <c r="E1119" s="1">
        <v>11</v>
      </c>
      <c r="F1119" s="1">
        <v>357.26</v>
      </c>
      <c r="G1119" s="1">
        <v>44.82</v>
      </c>
      <c r="H1119">
        <f t="shared" si="17"/>
        <v>3929.8599999999997</v>
      </c>
    </row>
    <row r="1120" spans="1:8" x14ac:dyDescent="0.25">
      <c r="A1120" s="1" t="s">
        <v>1133</v>
      </c>
      <c r="B1120" s="5">
        <v>45704.583333333336</v>
      </c>
      <c r="C1120" s="1" t="s">
        <v>13</v>
      </c>
      <c r="D1120" s="1" t="s">
        <v>37</v>
      </c>
      <c r="E1120" s="1">
        <v>4</v>
      </c>
      <c r="F1120" s="1">
        <v>438.65</v>
      </c>
      <c r="G1120" s="1">
        <v>49.15</v>
      </c>
      <c r="H1120">
        <f t="shared" si="17"/>
        <v>1754.6</v>
      </c>
    </row>
    <row r="1121" spans="1:8" x14ac:dyDescent="0.25">
      <c r="A1121" s="1" t="s">
        <v>1134</v>
      </c>
      <c r="B1121" s="5">
        <v>45704.625</v>
      </c>
      <c r="C1121" s="1" t="s">
        <v>23</v>
      </c>
      <c r="D1121" s="1" t="s">
        <v>16</v>
      </c>
      <c r="E1121" s="1">
        <v>5</v>
      </c>
      <c r="F1121" s="1">
        <v>41.41</v>
      </c>
      <c r="G1121" s="1">
        <v>5.9</v>
      </c>
      <c r="H1121">
        <f t="shared" si="17"/>
        <v>207.04999999999998</v>
      </c>
    </row>
    <row r="1122" spans="1:8" x14ac:dyDescent="0.25">
      <c r="A1122" s="1" t="s">
        <v>1135</v>
      </c>
      <c r="B1122" s="5">
        <v>45704.666666666664</v>
      </c>
      <c r="C1122" s="1" t="s">
        <v>23</v>
      </c>
      <c r="D1122" s="1" t="s">
        <v>9</v>
      </c>
      <c r="E1122" s="1">
        <v>1</v>
      </c>
      <c r="F1122" s="1">
        <v>368.51</v>
      </c>
      <c r="G1122" s="1">
        <v>29.59</v>
      </c>
      <c r="H1122">
        <f t="shared" si="17"/>
        <v>368.51</v>
      </c>
    </row>
    <row r="1123" spans="1:8" x14ac:dyDescent="0.25">
      <c r="A1123" s="1" t="s">
        <v>1136</v>
      </c>
      <c r="B1123" s="5">
        <v>45704.708333333336</v>
      </c>
      <c r="C1123" s="1" t="s">
        <v>8</v>
      </c>
      <c r="D1123" s="1" t="s">
        <v>19</v>
      </c>
      <c r="E1123" s="1">
        <v>18</v>
      </c>
      <c r="F1123" s="1">
        <v>146.15</v>
      </c>
      <c r="G1123" s="1">
        <v>20.38</v>
      </c>
      <c r="H1123">
        <f t="shared" si="17"/>
        <v>2630.7000000000003</v>
      </c>
    </row>
    <row r="1124" spans="1:8" x14ac:dyDescent="0.25">
      <c r="A1124" s="1" t="s">
        <v>1137</v>
      </c>
      <c r="B1124" s="5">
        <v>45704.75</v>
      </c>
      <c r="C1124" s="1" t="s">
        <v>8</v>
      </c>
      <c r="D1124" s="1" t="s">
        <v>37</v>
      </c>
      <c r="E1124" s="1">
        <v>12</v>
      </c>
      <c r="F1124" s="1">
        <v>254.8</v>
      </c>
      <c r="G1124" s="1">
        <v>17.46</v>
      </c>
      <c r="H1124">
        <f t="shared" si="17"/>
        <v>3057.6000000000004</v>
      </c>
    </row>
    <row r="1125" spans="1:8" x14ac:dyDescent="0.25">
      <c r="A1125" s="1" t="s">
        <v>1138</v>
      </c>
      <c r="B1125" s="5">
        <v>45704.791666666664</v>
      </c>
      <c r="C1125" s="1" t="s">
        <v>8</v>
      </c>
      <c r="D1125" s="1" t="s">
        <v>16</v>
      </c>
      <c r="E1125" s="1">
        <v>13</v>
      </c>
      <c r="F1125" s="1">
        <v>141.55000000000001</v>
      </c>
      <c r="G1125" s="1">
        <v>20.11</v>
      </c>
      <c r="H1125">
        <f t="shared" si="17"/>
        <v>1840.15</v>
      </c>
    </row>
    <row r="1126" spans="1:8" x14ac:dyDescent="0.25">
      <c r="A1126" s="1" t="s">
        <v>1139</v>
      </c>
      <c r="B1126" s="5">
        <v>45704.833333333336</v>
      </c>
      <c r="C1126" s="1" t="s">
        <v>23</v>
      </c>
      <c r="D1126" s="1" t="s">
        <v>16</v>
      </c>
      <c r="E1126" s="1">
        <v>9</v>
      </c>
      <c r="F1126" s="1">
        <v>282.04000000000002</v>
      </c>
      <c r="G1126" s="1">
        <v>33.75</v>
      </c>
      <c r="H1126">
        <f t="shared" si="17"/>
        <v>2538.36</v>
      </c>
    </row>
    <row r="1127" spans="1:8" x14ac:dyDescent="0.25">
      <c r="A1127" s="1" t="s">
        <v>1140</v>
      </c>
      <c r="B1127" s="5">
        <v>45704.875</v>
      </c>
      <c r="C1127" s="1" t="s">
        <v>11</v>
      </c>
      <c r="D1127" s="1" t="s">
        <v>9</v>
      </c>
      <c r="E1127" s="1">
        <v>2</v>
      </c>
      <c r="F1127" s="1">
        <v>169.23</v>
      </c>
      <c r="G1127" s="1">
        <v>13.58</v>
      </c>
      <c r="H1127">
        <f t="shared" si="17"/>
        <v>338.46</v>
      </c>
    </row>
    <row r="1128" spans="1:8" x14ac:dyDescent="0.25">
      <c r="A1128" s="1" t="s">
        <v>1141</v>
      </c>
      <c r="B1128" s="5">
        <v>45704.916666666664</v>
      </c>
      <c r="C1128" s="1" t="s">
        <v>11</v>
      </c>
      <c r="D1128" s="1" t="s">
        <v>16</v>
      </c>
      <c r="E1128" s="1">
        <v>5</v>
      </c>
      <c r="F1128" s="1">
        <v>160.46</v>
      </c>
      <c r="G1128" s="1">
        <v>46.08</v>
      </c>
      <c r="H1128">
        <f t="shared" si="17"/>
        <v>802.30000000000007</v>
      </c>
    </row>
    <row r="1129" spans="1:8" x14ac:dyDescent="0.25">
      <c r="A1129" s="1" t="s">
        <v>1142</v>
      </c>
      <c r="B1129" s="5">
        <v>45704.958333333336</v>
      </c>
      <c r="C1129" s="1" t="s">
        <v>23</v>
      </c>
      <c r="D1129" s="1" t="s">
        <v>9</v>
      </c>
      <c r="E1129" s="1">
        <v>13</v>
      </c>
      <c r="F1129" s="1">
        <v>31.98</v>
      </c>
      <c r="G1129" s="1">
        <v>25.98</v>
      </c>
      <c r="H1129">
        <f t="shared" si="17"/>
        <v>415.74</v>
      </c>
    </row>
    <row r="1130" spans="1:8" x14ac:dyDescent="0.25">
      <c r="A1130" s="1" t="s">
        <v>1143</v>
      </c>
      <c r="B1130" s="5">
        <v>45705</v>
      </c>
      <c r="C1130" s="1" t="s">
        <v>23</v>
      </c>
      <c r="D1130" s="1" t="s">
        <v>9</v>
      </c>
      <c r="E1130" s="1">
        <v>16</v>
      </c>
      <c r="F1130" s="1">
        <v>79.349999999999994</v>
      </c>
      <c r="G1130" s="1">
        <v>19.649999999999999</v>
      </c>
      <c r="H1130">
        <f t="shared" si="17"/>
        <v>1269.5999999999999</v>
      </c>
    </row>
    <row r="1131" spans="1:8" x14ac:dyDescent="0.25">
      <c r="A1131" s="1" t="s">
        <v>1144</v>
      </c>
      <c r="B1131" s="5">
        <v>45705.041666666664</v>
      </c>
      <c r="C1131" s="1" t="s">
        <v>23</v>
      </c>
      <c r="D1131" s="1" t="s">
        <v>37</v>
      </c>
      <c r="E1131" s="1">
        <v>16</v>
      </c>
      <c r="F1131" s="1">
        <v>413.97</v>
      </c>
      <c r="G1131" s="1">
        <v>39.450000000000003</v>
      </c>
      <c r="H1131">
        <f t="shared" si="17"/>
        <v>6623.52</v>
      </c>
    </row>
    <row r="1132" spans="1:8" x14ac:dyDescent="0.25">
      <c r="A1132" s="1" t="s">
        <v>1145</v>
      </c>
      <c r="B1132" s="5">
        <v>45705.083333333336</v>
      </c>
      <c r="C1132" s="1" t="s">
        <v>23</v>
      </c>
      <c r="D1132" s="1" t="s">
        <v>37</v>
      </c>
      <c r="E1132" s="1">
        <v>3</v>
      </c>
      <c r="F1132" s="1">
        <v>449.25</v>
      </c>
      <c r="G1132" s="1">
        <v>5.74</v>
      </c>
      <c r="H1132">
        <f t="shared" si="17"/>
        <v>1347.75</v>
      </c>
    </row>
    <row r="1133" spans="1:8" x14ac:dyDescent="0.25">
      <c r="A1133" s="1" t="s">
        <v>1146</v>
      </c>
      <c r="B1133" s="5">
        <v>45705.125</v>
      </c>
      <c r="C1133" s="1" t="s">
        <v>23</v>
      </c>
      <c r="D1133" s="1" t="s">
        <v>19</v>
      </c>
      <c r="E1133" s="1">
        <v>4</v>
      </c>
      <c r="F1133" s="1">
        <v>354.64</v>
      </c>
      <c r="G1133" s="1">
        <v>24.43</v>
      </c>
      <c r="H1133">
        <f t="shared" si="17"/>
        <v>1418.56</v>
      </c>
    </row>
    <row r="1134" spans="1:8" x14ac:dyDescent="0.25">
      <c r="A1134" s="1" t="s">
        <v>1147</v>
      </c>
      <c r="B1134" s="5">
        <v>45705.166666666664</v>
      </c>
      <c r="C1134" s="1" t="s">
        <v>23</v>
      </c>
      <c r="D1134" s="1" t="s">
        <v>37</v>
      </c>
      <c r="E1134" s="1">
        <v>11</v>
      </c>
      <c r="F1134" s="1">
        <v>140.12</v>
      </c>
      <c r="G1134" s="1">
        <v>20.99</v>
      </c>
      <c r="H1134">
        <f t="shared" si="17"/>
        <v>1541.3200000000002</v>
      </c>
    </row>
    <row r="1135" spans="1:8" x14ac:dyDescent="0.25">
      <c r="A1135" s="1" t="s">
        <v>1148</v>
      </c>
      <c r="B1135" s="5">
        <v>45705.208333333336</v>
      </c>
      <c r="C1135" s="1" t="s">
        <v>8</v>
      </c>
      <c r="D1135" s="1" t="s">
        <v>37</v>
      </c>
      <c r="E1135" s="1">
        <v>14</v>
      </c>
      <c r="F1135" s="1">
        <v>190.36</v>
      </c>
      <c r="G1135" s="1">
        <v>20.22</v>
      </c>
      <c r="H1135">
        <f t="shared" si="17"/>
        <v>2665.04</v>
      </c>
    </row>
    <row r="1136" spans="1:8" x14ac:dyDescent="0.25">
      <c r="A1136" s="1" t="s">
        <v>1149</v>
      </c>
      <c r="B1136" s="5">
        <v>45705.25</v>
      </c>
      <c r="C1136" s="1" t="s">
        <v>8</v>
      </c>
      <c r="D1136" s="1" t="s">
        <v>9</v>
      </c>
      <c r="E1136" s="1">
        <v>3</v>
      </c>
      <c r="F1136" s="1">
        <v>336.81</v>
      </c>
      <c r="G1136" s="1">
        <v>20.170000000000002</v>
      </c>
      <c r="H1136">
        <f t="shared" si="17"/>
        <v>1010.4300000000001</v>
      </c>
    </row>
    <row r="1137" spans="1:8" x14ac:dyDescent="0.25">
      <c r="A1137" s="1" t="s">
        <v>1150</v>
      </c>
      <c r="B1137" s="5">
        <v>45705.291666666664</v>
      </c>
      <c r="C1137" s="1" t="s">
        <v>8</v>
      </c>
      <c r="D1137" s="1" t="s">
        <v>37</v>
      </c>
      <c r="E1137" s="1">
        <v>16</v>
      </c>
      <c r="F1137" s="1">
        <v>436.32</v>
      </c>
      <c r="G1137" s="1">
        <v>6.41</v>
      </c>
      <c r="H1137">
        <f t="shared" si="17"/>
        <v>6981.12</v>
      </c>
    </row>
    <row r="1138" spans="1:8" x14ac:dyDescent="0.25">
      <c r="A1138" s="1" t="s">
        <v>1151</v>
      </c>
      <c r="B1138" s="5">
        <v>45705.333333333336</v>
      </c>
      <c r="C1138" s="1" t="s">
        <v>8</v>
      </c>
      <c r="D1138" s="1" t="s">
        <v>9</v>
      </c>
      <c r="E1138" s="1">
        <v>15</v>
      </c>
      <c r="F1138" s="1">
        <v>213.4</v>
      </c>
      <c r="G1138" s="1">
        <v>11.85</v>
      </c>
      <c r="H1138">
        <f t="shared" si="17"/>
        <v>3201</v>
      </c>
    </row>
    <row r="1139" spans="1:8" x14ac:dyDescent="0.25">
      <c r="A1139" s="1" t="s">
        <v>1152</v>
      </c>
      <c r="B1139" s="5">
        <v>45705.375</v>
      </c>
      <c r="C1139" s="1" t="s">
        <v>23</v>
      </c>
      <c r="D1139" s="1" t="s">
        <v>9</v>
      </c>
      <c r="E1139" s="1">
        <v>10</v>
      </c>
      <c r="F1139" s="1">
        <v>375.93</v>
      </c>
      <c r="G1139" s="1">
        <v>11.38</v>
      </c>
      <c r="H1139">
        <f t="shared" si="17"/>
        <v>3759.3</v>
      </c>
    </row>
    <row r="1140" spans="1:8" x14ac:dyDescent="0.25">
      <c r="A1140" s="1" t="s">
        <v>1153</v>
      </c>
      <c r="B1140" s="5">
        <v>45705.416666666664</v>
      </c>
      <c r="C1140" s="1" t="s">
        <v>11</v>
      </c>
      <c r="D1140" s="1" t="s">
        <v>37</v>
      </c>
      <c r="E1140" s="1">
        <v>9</v>
      </c>
      <c r="F1140" s="1">
        <v>439.17</v>
      </c>
      <c r="G1140" s="1">
        <v>49.49</v>
      </c>
      <c r="H1140">
        <f t="shared" si="17"/>
        <v>3952.53</v>
      </c>
    </row>
    <row r="1141" spans="1:8" x14ac:dyDescent="0.25">
      <c r="A1141" s="1" t="s">
        <v>1154</v>
      </c>
      <c r="B1141" s="5">
        <v>45705.458333333336</v>
      </c>
      <c r="C1141" s="1" t="s">
        <v>13</v>
      </c>
      <c r="D1141" s="1" t="s">
        <v>19</v>
      </c>
      <c r="E1141" s="1">
        <v>11</v>
      </c>
      <c r="F1141" s="1">
        <v>395.02</v>
      </c>
      <c r="G1141" s="1">
        <v>6</v>
      </c>
      <c r="H1141">
        <f t="shared" si="17"/>
        <v>4345.2199999999993</v>
      </c>
    </row>
    <row r="1142" spans="1:8" x14ac:dyDescent="0.25">
      <c r="A1142" s="1" t="s">
        <v>1155</v>
      </c>
      <c r="B1142" s="5">
        <v>45705.5</v>
      </c>
      <c r="C1142" s="1" t="s">
        <v>23</v>
      </c>
      <c r="D1142" s="1" t="s">
        <v>19</v>
      </c>
      <c r="E1142" s="1">
        <v>16</v>
      </c>
      <c r="F1142" s="1">
        <v>114.2</v>
      </c>
      <c r="G1142" s="1">
        <v>12.52</v>
      </c>
      <c r="H1142">
        <f t="shared" si="17"/>
        <v>1827.2</v>
      </c>
    </row>
    <row r="1143" spans="1:8" x14ac:dyDescent="0.25">
      <c r="A1143" s="1" t="s">
        <v>1156</v>
      </c>
      <c r="B1143" s="5">
        <v>45705.541666666664</v>
      </c>
      <c r="C1143" s="1" t="s">
        <v>13</v>
      </c>
      <c r="D1143" s="1" t="s">
        <v>16</v>
      </c>
      <c r="E1143" s="1">
        <v>10</v>
      </c>
      <c r="F1143" s="1">
        <v>18.989999999999998</v>
      </c>
      <c r="G1143" s="1">
        <v>48.84</v>
      </c>
      <c r="H1143">
        <f t="shared" si="17"/>
        <v>189.89999999999998</v>
      </c>
    </row>
    <row r="1144" spans="1:8" x14ac:dyDescent="0.25">
      <c r="A1144" s="1" t="s">
        <v>1157</v>
      </c>
      <c r="B1144" s="5">
        <v>45705.583333333336</v>
      </c>
      <c r="C1144" s="1" t="s">
        <v>11</v>
      </c>
      <c r="D1144" s="1" t="s">
        <v>16</v>
      </c>
      <c r="E1144" s="1">
        <v>17</v>
      </c>
      <c r="F1144" s="1">
        <v>229.31</v>
      </c>
      <c r="G1144" s="1">
        <v>33.270000000000003</v>
      </c>
      <c r="H1144">
        <f t="shared" si="17"/>
        <v>3898.27</v>
      </c>
    </row>
    <row r="1145" spans="1:8" x14ac:dyDescent="0.25">
      <c r="A1145" s="1" t="s">
        <v>1158</v>
      </c>
      <c r="B1145" s="5">
        <v>45705.625</v>
      </c>
      <c r="C1145" s="1" t="s">
        <v>8</v>
      </c>
      <c r="D1145" s="1" t="s">
        <v>37</v>
      </c>
      <c r="E1145" s="1">
        <v>19</v>
      </c>
      <c r="F1145" s="1">
        <v>246.38</v>
      </c>
      <c r="G1145" s="1">
        <v>25.28</v>
      </c>
      <c r="H1145">
        <f t="shared" si="17"/>
        <v>4681.22</v>
      </c>
    </row>
    <row r="1146" spans="1:8" x14ac:dyDescent="0.25">
      <c r="A1146" s="1" t="s">
        <v>1159</v>
      </c>
      <c r="B1146" s="5">
        <v>45705.666666666664</v>
      </c>
      <c r="C1146" s="1" t="s">
        <v>11</v>
      </c>
      <c r="D1146" s="1" t="s">
        <v>19</v>
      </c>
      <c r="E1146" s="1">
        <v>2</v>
      </c>
      <c r="F1146" s="1">
        <v>102.94</v>
      </c>
      <c r="G1146" s="1">
        <v>8.5399999999999991</v>
      </c>
      <c r="H1146">
        <f t="shared" si="17"/>
        <v>205.88</v>
      </c>
    </row>
    <row r="1147" spans="1:8" x14ac:dyDescent="0.25">
      <c r="A1147" s="1" t="s">
        <v>1160</v>
      </c>
      <c r="B1147" s="5">
        <v>45705.708333333336</v>
      </c>
      <c r="C1147" s="1" t="s">
        <v>23</v>
      </c>
      <c r="D1147" s="1" t="s">
        <v>9</v>
      </c>
      <c r="E1147" s="1">
        <v>2</v>
      </c>
      <c r="F1147" s="1">
        <v>139.19</v>
      </c>
      <c r="G1147" s="1">
        <v>35.130000000000003</v>
      </c>
      <c r="H1147">
        <f t="shared" si="17"/>
        <v>278.38</v>
      </c>
    </row>
    <row r="1148" spans="1:8" x14ac:dyDescent="0.25">
      <c r="A1148" s="1" t="s">
        <v>1161</v>
      </c>
      <c r="B1148" s="5">
        <v>45705.75</v>
      </c>
      <c r="C1148" s="1" t="s">
        <v>8</v>
      </c>
      <c r="D1148" s="1" t="s">
        <v>16</v>
      </c>
      <c r="E1148" s="1">
        <v>6</v>
      </c>
      <c r="F1148" s="1">
        <v>347.96</v>
      </c>
      <c r="G1148" s="1">
        <v>11.2</v>
      </c>
      <c r="H1148">
        <f t="shared" si="17"/>
        <v>2087.7599999999998</v>
      </c>
    </row>
    <row r="1149" spans="1:8" x14ac:dyDescent="0.25">
      <c r="A1149" s="1" t="s">
        <v>1162</v>
      </c>
      <c r="B1149" s="5">
        <v>45705.791666666664</v>
      </c>
      <c r="C1149" s="1" t="s">
        <v>23</v>
      </c>
      <c r="D1149" s="1" t="s">
        <v>9</v>
      </c>
      <c r="E1149" s="1">
        <v>19</v>
      </c>
      <c r="F1149" s="1">
        <v>219.87</v>
      </c>
      <c r="G1149" s="1">
        <v>35.200000000000003</v>
      </c>
      <c r="H1149">
        <f t="shared" si="17"/>
        <v>4177.53</v>
      </c>
    </row>
    <row r="1150" spans="1:8" x14ac:dyDescent="0.25">
      <c r="A1150" s="1" t="s">
        <v>1163</v>
      </c>
      <c r="B1150" s="5">
        <v>45705.833333333336</v>
      </c>
      <c r="C1150" s="1" t="s">
        <v>8</v>
      </c>
      <c r="D1150" s="1" t="s">
        <v>16</v>
      </c>
      <c r="E1150" s="1">
        <v>8</v>
      </c>
      <c r="F1150" s="1">
        <v>153.38999999999999</v>
      </c>
      <c r="G1150" s="1">
        <v>49.06</v>
      </c>
      <c r="H1150">
        <f t="shared" si="17"/>
        <v>1227.1199999999999</v>
      </c>
    </row>
    <row r="1151" spans="1:8" x14ac:dyDescent="0.25">
      <c r="A1151" s="1" t="s">
        <v>1164</v>
      </c>
      <c r="B1151" s="5">
        <v>45705.875</v>
      </c>
      <c r="C1151" s="1" t="s">
        <v>13</v>
      </c>
      <c r="D1151" s="1" t="s">
        <v>37</v>
      </c>
      <c r="E1151" s="1">
        <v>3</v>
      </c>
      <c r="F1151" s="1">
        <v>286.02999999999997</v>
      </c>
      <c r="G1151" s="1">
        <v>28.94</v>
      </c>
      <c r="H1151">
        <f t="shared" si="17"/>
        <v>858.08999999999992</v>
      </c>
    </row>
    <row r="1152" spans="1:8" x14ac:dyDescent="0.25">
      <c r="A1152" s="1" t="s">
        <v>1165</v>
      </c>
      <c r="B1152" s="5">
        <v>45705.916666666664</v>
      </c>
      <c r="C1152" s="1" t="s">
        <v>13</v>
      </c>
      <c r="D1152" s="1" t="s">
        <v>19</v>
      </c>
      <c r="E1152" s="1">
        <v>14</v>
      </c>
      <c r="F1152" s="1">
        <v>299.12</v>
      </c>
      <c r="G1152" s="1">
        <v>14.63</v>
      </c>
      <c r="H1152">
        <f t="shared" si="17"/>
        <v>4187.68</v>
      </c>
    </row>
    <row r="1153" spans="1:8" x14ac:dyDescent="0.25">
      <c r="A1153" s="1" t="s">
        <v>1166</v>
      </c>
      <c r="B1153" s="5">
        <v>45705.958333333336</v>
      </c>
      <c r="C1153" s="1" t="s">
        <v>13</v>
      </c>
      <c r="D1153" s="1" t="s">
        <v>16</v>
      </c>
      <c r="E1153" s="1">
        <v>16</v>
      </c>
      <c r="F1153" s="1">
        <v>349.8</v>
      </c>
      <c r="G1153" s="1">
        <v>33.14</v>
      </c>
      <c r="H1153">
        <f t="shared" si="17"/>
        <v>5596.8</v>
      </c>
    </row>
    <row r="1154" spans="1:8" x14ac:dyDescent="0.25">
      <c r="A1154" s="1" t="s">
        <v>1167</v>
      </c>
      <c r="B1154" s="5">
        <v>45706</v>
      </c>
      <c r="C1154" s="1" t="s">
        <v>11</v>
      </c>
      <c r="D1154" s="1" t="s">
        <v>19</v>
      </c>
      <c r="E1154" s="1">
        <v>1</v>
      </c>
      <c r="F1154" s="1">
        <v>83.59</v>
      </c>
      <c r="G1154" s="1">
        <v>28.08</v>
      </c>
      <c r="H1154">
        <f t="shared" ref="H1154:H1217" si="18">E1154*F1154</f>
        <v>83.59</v>
      </c>
    </row>
    <row r="1155" spans="1:8" x14ac:dyDescent="0.25">
      <c r="A1155" s="1" t="s">
        <v>1168</v>
      </c>
      <c r="B1155" s="5">
        <v>45706.041666666664</v>
      </c>
      <c r="C1155" s="1" t="s">
        <v>23</v>
      </c>
      <c r="D1155" s="1" t="s">
        <v>9</v>
      </c>
      <c r="E1155" s="1">
        <v>3</v>
      </c>
      <c r="F1155" s="1">
        <v>337.69</v>
      </c>
      <c r="G1155" s="1">
        <v>28.99</v>
      </c>
      <c r="H1155">
        <f t="shared" si="18"/>
        <v>1013.0699999999999</v>
      </c>
    </row>
    <row r="1156" spans="1:8" x14ac:dyDescent="0.25">
      <c r="A1156" s="1" t="s">
        <v>1169</v>
      </c>
      <c r="B1156" s="5">
        <v>45706.083333333336</v>
      </c>
      <c r="C1156" s="1" t="s">
        <v>11</v>
      </c>
      <c r="D1156" s="1" t="s">
        <v>37</v>
      </c>
      <c r="E1156" s="1">
        <v>18</v>
      </c>
      <c r="F1156" s="1">
        <v>275.95</v>
      </c>
      <c r="G1156" s="1">
        <v>26.51</v>
      </c>
      <c r="H1156">
        <f t="shared" si="18"/>
        <v>4967.0999999999995</v>
      </c>
    </row>
    <row r="1157" spans="1:8" x14ac:dyDescent="0.25">
      <c r="A1157" s="1" t="s">
        <v>1170</v>
      </c>
      <c r="B1157" s="5">
        <v>45706.125</v>
      </c>
      <c r="C1157" s="1" t="s">
        <v>13</v>
      </c>
      <c r="D1157" s="1" t="s">
        <v>19</v>
      </c>
      <c r="E1157" s="1">
        <v>9</v>
      </c>
      <c r="F1157" s="1">
        <v>40.51</v>
      </c>
      <c r="G1157" s="1">
        <v>35.32</v>
      </c>
      <c r="H1157">
        <f t="shared" si="18"/>
        <v>364.59</v>
      </c>
    </row>
    <row r="1158" spans="1:8" x14ac:dyDescent="0.25">
      <c r="A1158" s="1" t="s">
        <v>1171</v>
      </c>
      <c r="B1158" s="5">
        <v>45706.166666666664</v>
      </c>
      <c r="C1158" s="1" t="s">
        <v>23</v>
      </c>
      <c r="D1158" s="1" t="s">
        <v>37</v>
      </c>
      <c r="E1158" s="1">
        <v>6</v>
      </c>
      <c r="F1158" s="1">
        <v>353.3</v>
      </c>
      <c r="G1158" s="1">
        <v>30.74</v>
      </c>
      <c r="H1158">
        <f t="shared" si="18"/>
        <v>2119.8000000000002</v>
      </c>
    </row>
    <row r="1159" spans="1:8" x14ac:dyDescent="0.25">
      <c r="A1159" s="1" t="s">
        <v>1172</v>
      </c>
      <c r="B1159" s="5">
        <v>45706.208333333336</v>
      </c>
      <c r="C1159" s="1" t="s">
        <v>13</v>
      </c>
      <c r="D1159" s="1" t="s">
        <v>19</v>
      </c>
      <c r="E1159" s="1">
        <v>1</v>
      </c>
      <c r="F1159" s="1">
        <v>181.95</v>
      </c>
      <c r="G1159" s="1">
        <v>49.41</v>
      </c>
      <c r="H1159">
        <f t="shared" si="18"/>
        <v>181.95</v>
      </c>
    </row>
    <row r="1160" spans="1:8" x14ac:dyDescent="0.25">
      <c r="A1160" s="1" t="s">
        <v>1173</v>
      </c>
      <c r="B1160" s="5">
        <v>45706.25</v>
      </c>
      <c r="C1160" s="1" t="s">
        <v>11</v>
      </c>
      <c r="D1160" s="1" t="s">
        <v>9</v>
      </c>
      <c r="E1160" s="1">
        <v>10</v>
      </c>
      <c r="F1160" s="1">
        <v>159.05000000000001</v>
      </c>
      <c r="G1160" s="1">
        <v>42.16</v>
      </c>
      <c r="H1160">
        <f t="shared" si="18"/>
        <v>1590.5</v>
      </c>
    </row>
    <row r="1161" spans="1:8" x14ac:dyDescent="0.25">
      <c r="A1161" s="1" t="s">
        <v>1174</v>
      </c>
      <c r="B1161" s="5">
        <v>45706.291666666664</v>
      </c>
      <c r="C1161" s="1" t="s">
        <v>11</v>
      </c>
      <c r="D1161" s="1" t="s">
        <v>9</v>
      </c>
      <c r="E1161" s="1">
        <v>6</v>
      </c>
      <c r="F1161" s="1">
        <v>210.19</v>
      </c>
      <c r="G1161" s="1">
        <v>16.91</v>
      </c>
      <c r="H1161">
        <f t="shared" si="18"/>
        <v>1261.1399999999999</v>
      </c>
    </row>
    <row r="1162" spans="1:8" x14ac:dyDescent="0.25">
      <c r="A1162" s="1" t="s">
        <v>1175</v>
      </c>
      <c r="B1162" s="5">
        <v>45706.333333333336</v>
      </c>
      <c r="C1162" s="1" t="s">
        <v>11</v>
      </c>
      <c r="D1162" s="1" t="s">
        <v>37</v>
      </c>
      <c r="E1162" s="1">
        <v>12</v>
      </c>
      <c r="F1162" s="1">
        <v>165.91</v>
      </c>
      <c r="G1162" s="1">
        <v>37.659999999999997</v>
      </c>
      <c r="H1162">
        <f t="shared" si="18"/>
        <v>1990.92</v>
      </c>
    </row>
    <row r="1163" spans="1:8" x14ac:dyDescent="0.25">
      <c r="A1163" s="1" t="s">
        <v>1176</v>
      </c>
      <c r="B1163" s="5">
        <v>45706.375</v>
      </c>
      <c r="C1163" s="1" t="s">
        <v>13</v>
      </c>
      <c r="D1163" s="1" t="s">
        <v>9</v>
      </c>
      <c r="E1163" s="1">
        <v>4</v>
      </c>
      <c r="F1163" s="1">
        <v>162.49</v>
      </c>
      <c r="G1163" s="1">
        <v>14.64</v>
      </c>
      <c r="H1163">
        <f t="shared" si="18"/>
        <v>649.96</v>
      </c>
    </row>
    <row r="1164" spans="1:8" x14ac:dyDescent="0.25">
      <c r="A1164" s="1" t="s">
        <v>1177</v>
      </c>
      <c r="B1164" s="5">
        <v>45706.416666666664</v>
      </c>
      <c r="C1164" s="1" t="s">
        <v>23</v>
      </c>
      <c r="D1164" s="1" t="s">
        <v>16</v>
      </c>
      <c r="E1164" s="1">
        <v>13</v>
      </c>
      <c r="F1164" s="1">
        <v>366.61</v>
      </c>
      <c r="G1164" s="1">
        <v>40.21</v>
      </c>
      <c r="H1164">
        <f t="shared" si="18"/>
        <v>4765.93</v>
      </c>
    </row>
    <row r="1165" spans="1:8" x14ac:dyDescent="0.25">
      <c r="A1165" s="1" t="s">
        <v>1178</v>
      </c>
      <c r="B1165" s="5">
        <v>45706.458333333336</v>
      </c>
      <c r="C1165" s="1" t="s">
        <v>23</v>
      </c>
      <c r="D1165" s="1" t="s">
        <v>19</v>
      </c>
      <c r="E1165" s="1">
        <v>17</v>
      </c>
      <c r="F1165" s="1">
        <v>69.599999999999994</v>
      </c>
      <c r="G1165" s="1">
        <v>11.64</v>
      </c>
      <c r="H1165">
        <f t="shared" si="18"/>
        <v>1183.1999999999998</v>
      </c>
    </row>
    <row r="1166" spans="1:8" x14ac:dyDescent="0.25">
      <c r="A1166" s="1" t="s">
        <v>1179</v>
      </c>
      <c r="B1166" s="5">
        <v>45706.5</v>
      </c>
      <c r="C1166" s="1" t="s">
        <v>13</v>
      </c>
      <c r="D1166" s="1" t="s">
        <v>9</v>
      </c>
      <c r="E1166" s="1">
        <v>8</v>
      </c>
      <c r="F1166" s="1">
        <v>437.23</v>
      </c>
      <c r="G1166" s="1">
        <v>26.31</v>
      </c>
      <c r="H1166">
        <f t="shared" si="18"/>
        <v>3497.84</v>
      </c>
    </row>
    <row r="1167" spans="1:8" x14ac:dyDescent="0.25">
      <c r="A1167" s="1" t="s">
        <v>1180</v>
      </c>
      <c r="B1167" s="5">
        <v>45706.541666666664</v>
      </c>
      <c r="C1167" s="1" t="s">
        <v>23</v>
      </c>
      <c r="D1167" s="1" t="s">
        <v>16</v>
      </c>
      <c r="E1167" s="1">
        <v>3</v>
      </c>
      <c r="F1167" s="1">
        <v>256.62</v>
      </c>
      <c r="G1167" s="1">
        <v>40.58</v>
      </c>
      <c r="H1167">
        <f t="shared" si="18"/>
        <v>769.86</v>
      </c>
    </row>
    <row r="1168" spans="1:8" x14ac:dyDescent="0.25">
      <c r="A1168" s="1" t="s">
        <v>1181</v>
      </c>
      <c r="B1168" s="5">
        <v>45706.583333333336</v>
      </c>
      <c r="C1168" s="1" t="s">
        <v>13</v>
      </c>
      <c r="D1168" s="1" t="s">
        <v>37</v>
      </c>
      <c r="E1168" s="1">
        <v>12</v>
      </c>
      <c r="F1168" s="1">
        <v>94.98</v>
      </c>
      <c r="G1168" s="1">
        <v>17.61</v>
      </c>
      <c r="H1168">
        <f t="shared" si="18"/>
        <v>1139.76</v>
      </c>
    </row>
    <row r="1169" spans="1:8" x14ac:dyDescent="0.25">
      <c r="A1169" s="1" t="s">
        <v>1182</v>
      </c>
      <c r="B1169" s="5">
        <v>45706.625</v>
      </c>
      <c r="C1169" s="1" t="s">
        <v>23</v>
      </c>
      <c r="D1169" s="1" t="s">
        <v>16</v>
      </c>
      <c r="E1169" s="1">
        <v>7</v>
      </c>
      <c r="F1169" s="1">
        <v>72.510000000000005</v>
      </c>
      <c r="G1169" s="1">
        <v>42.67</v>
      </c>
      <c r="H1169">
        <f t="shared" si="18"/>
        <v>507.57000000000005</v>
      </c>
    </row>
    <row r="1170" spans="1:8" x14ac:dyDescent="0.25">
      <c r="A1170" s="1" t="s">
        <v>1183</v>
      </c>
      <c r="B1170" s="5">
        <v>45706.666666666664</v>
      </c>
      <c r="C1170" s="1" t="s">
        <v>8</v>
      </c>
      <c r="D1170" s="1" t="s">
        <v>37</v>
      </c>
      <c r="E1170" s="1">
        <v>12</v>
      </c>
      <c r="F1170" s="1">
        <v>272.51</v>
      </c>
      <c r="G1170" s="1">
        <v>33.99</v>
      </c>
      <c r="H1170">
        <f t="shared" si="18"/>
        <v>3270.12</v>
      </c>
    </row>
    <row r="1171" spans="1:8" x14ac:dyDescent="0.25">
      <c r="A1171" s="1" t="s">
        <v>1184</v>
      </c>
      <c r="B1171" s="5">
        <v>45706.708333333336</v>
      </c>
      <c r="C1171" s="1" t="s">
        <v>8</v>
      </c>
      <c r="D1171" s="1" t="s">
        <v>37</v>
      </c>
      <c r="E1171" s="1">
        <v>2</v>
      </c>
      <c r="F1171" s="1">
        <v>290.54000000000002</v>
      </c>
      <c r="G1171" s="1">
        <v>22.89</v>
      </c>
      <c r="H1171">
        <f t="shared" si="18"/>
        <v>581.08000000000004</v>
      </c>
    </row>
    <row r="1172" spans="1:8" x14ac:dyDescent="0.25">
      <c r="A1172" s="1" t="s">
        <v>1185</v>
      </c>
      <c r="B1172" s="5">
        <v>45706.75</v>
      </c>
      <c r="C1172" s="1" t="s">
        <v>11</v>
      </c>
      <c r="D1172" s="1" t="s">
        <v>19</v>
      </c>
      <c r="E1172" s="1">
        <v>14</v>
      </c>
      <c r="F1172" s="1">
        <v>38.54</v>
      </c>
      <c r="G1172" s="1">
        <v>24.05</v>
      </c>
      <c r="H1172">
        <f t="shared" si="18"/>
        <v>539.55999999999995</v>
      </c>
    </row>
    <row r="1173" spans="1:8" x14ac:dyDescent="0.25">
      <c r="A1173" s="1" t="s">
        <v>1186</v>
      </c>
      <c r="B1173" s="5">
        <v>45706.791666666664</v>
      </c>
      <c r="C1173" s="1" t="s">
        <v>8</v>
      </c>
      <c r="D1173" s="1" t="s">
        <v>19</v>
      </c>
      <c r="E1173" s="1">
        <v>5</v>
      </c>
      <c r="F1173" s="1">
        <v>121.08</v>
      </c>
      <c r="G1173" s="1">
        <v>46.67</v>
      </c>
      <c r="H1173">
        <f t="shared" si="18"/>
        <v>605.4</v>
      </c>
    </row>
    <row r="1174" spans="1:8" x14ac:dyDescent="0.25">
      <c r="A1174" s="1" t="s">
        <v>1187</v>
      </c>
      <c r="B1174" s="5">
        <v>45706.833333333336</v>
      </c>
      <c r="C1174" s="1" t="s">
        <v>8</v>
      </c>
      <c r="D1174" s="1" t="s">
        <v>16</v>
      </c>
      <c r="E1174" s="1">
        <v>9</v>
      </c>
      <c r="F1174" s="1">
        <v>361.13</v>
      </c>
      <c r="G1174" s="1">
        <v>14.8</v>
      </c>
      <c r="H1174">
        <f t="shared" si="18"/>
        <v>3250.17</v>
      </c>
    </row>
    <row r="1175" spans="1:8" x14ac:dyDescent="0.25">
      <c r="A1175" s="1" t="s">
        <v>1188</v>
      </c>
      <c r="B1175" s="5">
        <v>45706.875</v>
      </c>
      <c r="C1175" s="1" t="s">
        <v>8</v>
      </c>
      <c r="D1175" s="1" t="s">
        <v>19</v>
      </c>
      <c r="E1175" s="1">
        <v>11</v>
      </c>
      <c r="F1175" s="1">
        <v>37.06</v>
      </c>
      <c r="G1175" s="1">
        <v>36.200000000000003</v>
      </c>
      <c r="H1175">
        <f t="shared" si="18"/>
        <v>407.66</v>
      </c>
    </row>
    <row r="1176" spans="1:8" x14ac:dyDescent="0.25">
      <c r="A1176" s="1" t="s">
        <v>1189</v>
      </c>
      <c r="B1176" s="5">
        <v>45706.916666666664</v>
      </c>
      <c r="C1176" s="1" t="s">
        <v>13</v>
      </c>
      <c r="D1176" s="1" t="s">
        <v>19</v>
      </c>
      <c r="E1176" s="1">
        <v>5</v>
      </c>
      <c r="F1176" s="1">
        <v>387.04</v>
      </c>
      <c r="G1176" s="1">
        <v>36.83</v>
      </c>
      <c r="H1176">
        <f t="shared" si="18"/>
        <v>1935.2</v>
      </c>
    </row>
    <row r="1177" spans="1:8" x14ac:dyDescent="0.25">
      <c r="A1177" s="1" t="s">
        <v>1190</v>
      </c>
      <c r="B1177" s="5">
        <v>45706.958333333336</v>
      </c>
      <c r="C1177" s="1" t="s">
        <v>8</v>
      </c>
      <c r="D1177" s="1" t="s">
        <v>19</v>
      </c>
      <c r="E1177" s="1">
        <v>3</v>
      </c>
      <c r="F1177" s="1">
        <v>301.47000000000003</v>
      </c>
      <c r="G1177" s="1">
        <v>46.51</v>
      </c>
      <c r="H1177">
        <f t="shared" si="18"/>
        <v>904.41000000000008</v>
      </c>
    </row>
    <row r="1178" spans="1:8" x14ac:dyDescent="0.25">
      <c r="A1178" s="1" t="s">
        <v>1191</v>
      </c>
      <c r="B1178" s="5">
        <v>45707</v>
      </c>
      <c r="C1178" s="1" t="s">
        <v>8</v>
      </c>
      <c r="D1178" s="1" t="s">
        <v>16</v>
      </c>
      <c r="E1178" s="1">
        <v>17</v>
      </c>
      <c r="F1178" s="1">
        <v>204.26</v>
      </c>
      <c r="G1178" s="1">
        <v>37.090000000000003</v>
      </c>
      <c r="H1178">
        <f t="shared" si="18"/>
        <v>3472.42</v>
      </c>
    </row>
    <row r="1179" spans="1:8" x14ac:dyDescent="0.25">
      <c r="A1179" s="1" t="s">
        <v>1192</v>
      </c>
      <c r="B1179" s="5">
        <v>45707.041666666664</v>
      </c>
      <c r="C1179" s="1" t="s">
        <v>11</v>
      </c>
      <c r="D1179" s="1" t="s">
        <v>9</v>
      </c>
      <c r="E1179" s="1">
        <v>2</v>
      </c>
      <c r="F1179" s="1">
        <v>166.03</v>
      </c>
      <c r="G1179" s="1">
        <v>31.3</v>
      </c>
      <c r="H1179">
        <f t="shared" si="18"/>
        <v>332.06</v>
      </c>
    </row>
    <row r="1180" spans="1:8" x14ac:dyDescent="0.25">
      <c r="A1180" s="1" t="s">
        <v>1193</v>
      </c>
      <c r="B1180" s="5">
        <v>45707.083333333336</v>
      </c>
      <c r="C1180" s="1" t="s">
        <v>8</v>
      </c>
      <c r="D1180" s="1" t="s">
        <v>19</v>
      </c>
      <c r="E1180" s="1">
        <v>1</v>
      </c>
      <c r="F1180" s="1">
        <v>23.86</v>
      </c>
      <c r="G1180" s="1">
        <v>45.61</v>
      </c>
      <c r="H1180">
        <f t="shared" si="18"/>
        <v>23.86</v>
      </c>
    </row>
    <row r="1181" spans="1:8" x14ac:dyDescent="0.25">
      <c r="A1181" s="1" t="s">
        <v>1194</v>
      </c>
      <c r="B1181" s="5">
        <v>45707.125</v>
      </c>
      <c r="C1181" s="1" t="s">
        <v>8</v>
      </c>
      <c r="D1181" s="1" t="s">
        <v>19</v>
      </c>
      <c r="E1181" s="1">
        <v>7</v>
      </c>
      <c r="F1181" s="1">
        <v>374.06</v>
      </c>
      <c r="G1181" s="1">
        <v>42.31</v>
      </c>
      <c r="H1181">
        <f t="shared" si="18"/>
        <v>2618.42</v>
      </c>
    </row>
    <row r="1182" spans="1:8" x14ac:dyDescent="0.25">
      <c r="A1182" s="1" t="s">
        <v>1195</v>
      </c>
      <c r="B1182" s="5">
        <v>45707.166666666664</v>
      </c>
      <c r="C1182" s="1" t="s">
        <v>23</v>
      </c>
      <c r="D1182" s="1" t="s">
        <v>16</v>
      </c>
      <c r="E1182" s="1">
        <v>14</v>
      </c>
      <c r="F1182" s="1">
        <v>77.510000000000005</v>
      </c>
      <c r="G1182" s="1">
        <v>37.25</v>
      </c>
      <c r="H1182">
        <f t="shared" si="18"/>
        <v>1085.1400000000001</v>
      </c>
    </row>
    <row r="1183" spans="1:8" x14ac:dyDescent="0.25">
      <c r="A1183" s="1" t="s">
        <v>1196</v>
      </c>
      <c r="B1183" s="5">
        <v>45707.208333333336</v>
      </c>
      <c r="C1183" s="1" t="s">
        <v>11</v>
      </c>
      <c r="D1183" s="1" t="s">
        <v>9</v>
      </c>
      <c r="E1183" s="1">
        <v>5</v>
      </c>
      <c r="F1183" s="1">
        <v>150</v>
      </c>
      <c r="G1183" s="1">
        <v>6.47</v>
      </c>
      <c r="H1183">
        <f t="shared" si="18"/>
        <v>750</v>
      </c>
    </row>
    <row r="1184" spans="1:8" x14ac:dyDescent="0.25">
      <c r="A1184" s="1" t="s">
        <v>1197</v>
      </c>
      <c r="B1184" s="5">
        <v>45707.25</v>
      </c>
      <c r="C1184" s="1" t="s">
        <v>11</v>
      </c>
      <c r="D1184" s="1" t="s">
        <v>19</v>
      </c>
      <c r="E1184" s="1">
        <v>19</v>
      </c>
      <c r="F1184" s="1">
        <v>262.77999999999997</v>
      </c>
      <c r="G1184" s="1">
        <v>21.81</v>
      </c>
      <c r="H1184">
        <f t="shared" si="18"/>
        <v>4992.82</v>
      </c>
    </row>
    <row r="1185" spans="1:8" x14ac:dyDescent="0.25">
      <c r="A1185" s="1" t="s">
        <v>1198</v>
      </c>
      <c r="B1185" s="5">
        <v>45707.291666666664</v>
      </c>
      <c r="C1185" s="1" t="s">
        <v>11</v>
      </c>
      <c r="D1185" s="1" t="s">
        <v>37</v>
      </c>
      <c r="E1185" s="1">
        <v>11</v>
      </c>
      <c r="F1185" s="1">
        <v>122.38</v>
      </c>
      <c r="G1185" s="1">
        <v>33.44</v>
      </c>
      <c r="H1185">
        <f t="shared" si="18"/>
        <v>1346.1799999999998</v>
      </c>
    </row>
    <row r="1186" spans="1:8" x14ac:dyDescent="0.25">
      <c r="A1186" s="1" t="s">
        <v>1199</v>
      </c>
      <c r="B1186" s="5">
        <v>45707.333333333336</v>
      </c>
      <c r="C1186" s="1" t="s">
        <v>11</v>
      </c>
      <c r="D1186" s="1" t="s">
        <v>16</v>
      </c>
      <c r="E1186" s="1">
        <v>2</v>
      </c>
      <c r="F1186" s="1">
        <v>231.51</v>
      </c>
      <c r="G1186" s="1">
        <v>28.5</v>
      </c>
      <c r="H1186">
        <f t="shared" si="18"/>
        <v>463.02</v>
      </c>
    </row>
    <row r="1187" spans="1:8" x14ac:dyDescent="0.25">
      <c r="A1187" s="1" t="s">
        <v>1200</v>
      </c>
      <c r="B1187" s="5">
        <v>45707.375</v>
      </c>
      <c r="C1187" s="1" t="s">
        <v>11</v>
      </c>
      <c r="D1187" s="1" t="s">
        <v>19</v>
      </c>
      <c r="E1187" s="1">
        <v>8</v>
      </c>
      <c r="F1187" s="1">
        <v>367.16</v>
      </c>
      <c r="G1187" s="1">
        <v>19.37</v>
      </c>
      <c r="H1187">
        <f t="shared" si="18"/>
        <v>2937.28</v>
      </c>
    </row>
    <row r="1188" spans="1:8" x14ac:dyDescent="0.25">
      <c r="A1188" s="1" t="s">
        <v>1201</v>
      </c>
      <c r="B1188" s="5">
        <v>45707.416666666664</v>
      </c>
      <c r="C1188" s="1" t="s">
        <v>11</v>
      </c>
      <c r="D1188" s="1" t="s">
        <v>19</v>
      </c>
      <c r="E1188" s="1">
        <v>9</v>
      </c>
      <c r="F1188" s="1">
        <v>219.95</v>
      </c>
      <c r="G1188" s="1">
        <v>11.5</v>
      </c>
      <c r="H1188">
        <f t="shared" si="18"/>
        <v>1979.55</v>
      </c>
    </row>
    <row r="1189" spans="1:8" x14ac:dyDescent="0.25">
      <c r="A1189" s="1" t="s">
        <v>1202</v>
      </c>
      <c r="B1189" s="5">
        <v>45707.458333333336</v>
      </c>
      <c r="C1189" s="1" t="s">
        <v>13</v>
      </c>
      <c r="D1189" s="1" t="s">
        <v>37</v>
      </c>
      <c r="E1189" s="1">
        <v>3</v>
      </c>
      <c r="F1189" s="1">
        <v>427.83</v>
      </c>
      <c r="G1189" s="1">
        <v>29.88</v>
      </c>
      <c r="H1189">
        <f t="shared" si="18"/>
        <v>1283.49</v>
      </c>
    </row>
    <row r="1190" spans="1:8" x14ac:dyDescent="0.25">
      <c r="A1190" s="1" t="s">
        <v>1203</v>
      </c>
      <c r="B1190" s="5">
        <v>45707.5</v>
      </c>
      <c r="C1190" s="1" t="s">
        <v>8</v>
      </c>
      <c r="D1190" s="1" t="s">
        <v>37</v>
      </c>
      <c r="E1190" s="1">
        <v>2</v>
      </c>
      <c r="F1190" s="1">
        <v>383.74</v>
      </c>
      <c r="G1190" s="1">
        <v>17.87</v>
      </c>
      <c r="H1190">
        <f t="shared" si="18"/>
        <v>767.48</v>
      </c>
    </row>
    <row r="1191" spans="1:8" x14ac:dyDescent="0.25">
      <c r="A1191" s="1" t="s">
        <v>1204</v>
      </c>
      <c r="B1191" s="5">
        <v>45707.541666666664</v>
      </c>
      <c r="C1191" s="1" t="s">
        <v>11</v>
      </c>
      <c r="D1191" s="1" t="s">
        <v>16</v>
      </c>
      <c r="E1191" s="1">
        <v>7</v>
      </c>
      <c r="F1191" s="1">
        <v>160.21</v>
      </c>
      <c r="G1191" s="1">
        <v>15.49</v>
      </c>
      <c r="H1191">
        <f t="shared" si="18"/>
        <v>1121.47</v>
      </c>
    </row>
    <row r="1192" spans="1:8" x14ac:dyDescent="0.25">
      <c r="A1192" s="1" t="s">
        <v>1205</v>
      </c>
      <c r="B1192" s="5">
        <v>45707.583333333336</v>
      </c>
      <c r="C1192" s="1" t="s">
        <v>8</v>
      </c>
      <c r="D1192" s="1" t="s">
        <v>16</v>
      </c>
      <c r="E1192" s="1">
        <v>5</v>
      </c>
      <c r="F1192" s="1">
        <v>189.28</v>
      </c>
      <c r="G1192" s="1">
        <v>22.95</v>
      </c>
      <c r="H1192">
        <f t="shared" si="18"/>
        <v>946.4</v>
      </c>
    </row>
    <row r="1193" spans="1:8" x14ac:dyDescent="0.25">
      <c r="A1193" s="1" t="s">
        <v>1206</v>
      </c>
      <c r="B1193" s="5">
        <v>45707.625</v>
      </c>
      <c r="C1193" s="1" t="s">
        <v>8</v>
      </c>
      <c r="D1193" s="1" t="s">
        <v>37</v>
      </c>
      <c r="E1193" s="1">
        <v>5</v>
      </c>
      <c r="F1193" s="1">
        <v>199.44</v>
      </c>
      <c r="G1193" s="1">
        <v>40.35</v>
      </c>
      <c r="H1193">
        <f t="shared" si="18"/>
        <v>997.2</v>
      </c>
    </row>
    <row r="1194" spans="1:8" x14ac:dyDescent="0.25">
      <c r="A1194" s="1" t="s">
        <v>1207</v>
      </c>
      <c r="B1194" s="5">
        <v>45707.666666666664</v>
      </c>
      <c r="C1194" s="1" t="s">
        <v>13</v>
      </c>
      <c r="D1194" s="1" t="s">
        <v>16</v>
      </c>
      <c r="E1194" s="1">
        <v>13</v>
      </c>
      <c r="F1194" s="1">
        <v>287.57</v>
      </c>
      <c r="G1194" s="1">
        <v>26.95</v>
      </c>
      <c r="H1194">
        <f t="shared" si="18"/>
        <v>3738.41</v>
      </c>
    </row>
    <row r="1195" spans="1:8" x14ac:dyDescent="0.25">
      <c r="A1195" s="1" t="s">
        <v>1208</v>
      </c>
      <c r="B1195" s="5">
        <v>45707.708333333336</v>
      </c>
      <c r="C1195" s="1" t="s">
        <v>11</v>
      </c>
      <c r="D1195" s="1" t="s">
        <v>37</v>
      </c>
      <c r="E1195" s="1">
        <v>6</v>
      </c>
      <c r="F1195" s="1">
        <v>140.11000000000001</v>
      </c>
      <c r="G1195" s="1">
        <v>14.74</v>
      </c>
      <c r="H1195">
        <f t="shared" si="18"/>
        <v>840.66000000000008</v>
      </c>
    </row>
    <row r="1196" spans="1:8" x14ac:dyDescent="0.25">
      <c r="A1196" s="1" t="s">
        <v>1209</v>
      </c>
      <c r="B1196" s="5">
        <v>45707.75</v>
      </c>
      <c r="C1196" s="1" t="s">
        <v>23</v>
      </c>
      <c r="D1196" s="1" t="s">
        <v>19</v>
      </c>
      <c r="E1196" s="1">
        <v>18</v>
      </c>
      <c r="F1196" s="1">
        <v>436.64</v>
      </c>
      <c r="G1196" s="1">
        <v>10.26</v>
      </c>
      <c r="H1196">
        <f t="shared" si="18"/>
        <v>7859.5199999999995</v>
      </c>
    </row>
    <row r="1197" spans="1:8" x14ac:dyDescent="0.25">
      <c r="A1197" s="1" t="s">
        <v>1210</v>
      </c>
      <c r="B1197" s="5">
        <v>45707.791666666664</v>
      </c>
      <c r="C1197" s="1" t="s">
        <v>13</v>
      </c>
      <c r="D1197" s="1" t="s">
        <v>37</v>
      </c>
      <c r="E1197" s="1">
        <v>2</v>
      </c>
      <c r="F1197" s="1">
        <v>279.97000000000003</v>
      </c>
      <c r="G1197" s="1">
        <v>27.45</v>
      </c>
      <c r="H1197">
        <f t="shared" si="18"/>
        <v>559.94000000000005</v>
      </c>
    </row>
    <row r="1198" spans="1:8" x14ac:dyDescent="0.25">
      <c r="A1198" s="1" t="s">
        <v>1211</v>
      </c>
      <c r="B1198" s="5">
        <v>45707.833333333336</v>
      </c>
      <c r="C1198" s="1" t="s">
        <v>23</v>
      </c>
      <c r="D1198" s="1" t="s">
        <v>37</v>
      </c>
      <c r="E1198" s="1">
        <v>6</v>
      </c>
      <c r="F1198" s="1">
        <v>189.04</v>
      </c>
      <c r="G1198" s="1">
        <v>40.75</v>
      </c>
      <c r="H1198">
        <f t="shared" si="18"/>
        <v>1134.24</v>
      </c>
    </row>
    <row r="1199" spans="1:8" x14ac:dyDescent="0.25">
      <c r="A1199" s="1" t="s">
        <v>1212</v>
      </c>
      <c r="B1199" s="5">
        <v>45707.875</v>
      </c>
      <c r="C1199" s="1" t="s">
        <v>8</v>
      </c>
      <c r="D1199" s="1" t="s">
        <v>9</v>
      </c>
      <c r="E1199" s="1">
        <v>9</v>
      </c>
      <c r="F1199" s="1">
        <v>295.76</v>
      </c>
      <c r="G1199" s="1">
        <v>34.380000000000003</v>
      </c>
      <c r="H1199">
        <f t="shared" si="18"/>
        <v>2661.84</v>
      </c>
    </row>
    <row r="1200" spans="1:8" x14ac:dyDescent="0.25">
      <c r="A1200" s="1" t="s">
        <v>1213</v>
      </c>
      <c r="B1200" s="5">
        <v>45707.916666666664</v>
      </c>
      <c r="C1200" s="1" t="s">
        <v>8</v>
      </c>
      <c r="D1200" s="1" t="s">
        <v>37</v>
      </c>
      <c r="E1200" s="1">
        <v>3</v>
      </c>
      <c r="F1200" s="1">
        <v>187.3</v>
      </c>
      <c r="G1200" s="1">
        <v>15.45</v>
      </c>
      <c r="H1200">
        <f t="shared" si="18"/>
        <v>561.90000000000009</v>
      </c>
    </row>
    <row r="1201" spans="1:8" x14ac:dyDescent="0.25">
      <c r="A1201" s="1" t="s">
        <v>1214</v>
      </c>
      <c r="B1201" s="5">
        <v>45707.958333333336</v>
      </c>
      <c r="C1201" s="1" t="s">
        <v>13</v>
      </c>
      <c r="D1201" s="1" t="s">
        <v>37</v>
      </c>
      <c r="E1201" s="1">
        <v>1</v>
      </c>
      <c r="F1201" s="1">
        <v>370.83</v>
      </c>
      <c r="G1201" s="1">
        <v>24.65</v>
      </c>
      <c r="H1201">
        <f t="shared" si="18"/>
        <v>370.83</v>
      </c>
    </row>
    <row r="1202" spans="1:8" x14ac:dyDescent="0.25">
      <c r="A1202" s="1" t="s">
        <v>1215</v>
      </c>
      <c r="B1202" s="5">
        <v>45708</v>
      </c>
      <c r="C1202" s="1" t="s">
        <v>13</v>
      </c>
      <c r="D1202" s="1" t="s">
        <v>9</v>
      </c>
      <c r="E1202" s="1">
        <v>1</v>
      </c>
      <c r="F1202" s="1">
        <v>262.23</v>
      </c>
      <c r="G1202" s="1">
        <v>43.49</v>
      </c>
      <c r="H1202">
        <f t="shared" si="18"/>
        <v>262.23</v>
      </c>
    </row>
    <row r="1203" spans="1:8" x14ac:dyDescent="0.25">
      <c r="A1203" s="1" t="s">
        <v>1216</v>
      </c>
      <c r="B1203" s="5">
        <v>45708.041666666664</v>
      </c>
      <c r="C1203" s="1" t="s">
        <v>23</v>
      </c>
      <c r="D1203" s="1" t="s">
        <v>16</v>
      </c>
      <c r="E1203" s="1">
        <v>19</v>
      </c>
      <c r="F1203" s="1">
        <v>33.74</v>
      </c>
      <c r="G1203" s="1">
        <v>12.99</v>
      </c>
      <c r="H1203">
        <f t="shared" si="18"/>
        <v>641.06000000000006</v>
      </c>
    </row>
    <row r="1204" spans="1:8" x14ac:dyDescent="0.25">
      <c r="A1204" s="1" t="s">
        <v>1217</v>
      </c>
      <c r="B1204" s="5">
        <v>45708.083333333336</v>
      </c>
      <c r="C1204" s="1" t="s">
        <v>11</v>
      </c>
      <c r="D1204" s="1" t="s">
        <v>9</v>
      </c>
      <c r="E1204" s="1">
        <v>5</v>
      </c>
      <c r="F1204" s="1">
        <v>92.3</v>
      </c>
      <c r="G1204" s="1">
        <v>28.94</v>
      </c>
      <c r="H1204">
        <f t="shared" si="18"/>
        <v>461.5</v>
      </c>
    </row>
    <row r="1205" spans="1:8" x14ac:dyDescent="0.25">
      <c r="A1205" s="1" t="s">
        <v>1218</v>
      </c>
      <c r="B1205" s="5">
        <v>45708.125</v>
      </c>
      <c r="C1205" s="1" t="s">
        <v>23</v>
      </c>
      <c r="D1205" s="1" t="s">
        <v>19</v>
      </c>
      <c r="E1205" s="1">
        <v>13</v>
      </c>
      <c r="F1205" s="1">
        <v>391.34</v>
      </c>
      <c r="G1205" s="1">
        <v>21.03</v>
      </c>
      <c r="H1205">
        <f t="shared" si="18"/>
        <v>5087.42</v>
      </c>
    </row>
    <row r="1206" spans="1:8" x14ac:dyDescent="0.25">
      <c r="A1206" s="1" t="s">
        <v>1219</v>
      </c>
      <c r="B1206" s="5">
        <v>45708.166666666664</v>
      </c>
      <c r="C1206" s="1" t="s">
        <v>13</v>
      </c>
      <c r="D1206" s="1" t="s">
        <v>9</v>
      </c>
      <c r="E1206" s="1">
        <v>19</v>
      </c>
      <c r="F1206" s="1">
        <v>260.08</v>
      </c>
      <c r="G1206" s="1">
        <v>10.59</v>
      </c>
      <c r="H1206">
        <f t="shared" si="18"/>
        <v>4941.5199999999995</v>
      </c>
    </row>
    <row r="1207" spans="1:8" x14ac:dyDescent="0.25">
      <c r="A1207" s="1" t="s">
        <v>1220</v>
      </c>
      <c r="B1207" s="5">
        <v>45708.208333333336</v>
      </c>
      <c r="C1207" s="1" t="s">
        <v>23</v>
      </c>
      <c r="D1207" s="1" t="s">
        <v>19</v>
      </c>
      <c r="E1207" s="1">
        <v>12</v>
      </c>
      <c r="F1207" s="1">
        <v>428.42</v>
      </c>
      <c r="G1207" s="1">
        <v>7.25</v>
      </c>
      <c r="H1207">
        <f t="shared" si="18"/>
        <v>5141.04</v>
      </c>
    </row>
    <row r="1208" spans="1:8" x14ac:dyDescent="0.25">
      <c r="A1208" s="1" t="s">
        <v>1221</v>
      </c>
      <c r="B1208" s="5">
        <v>45708.25</v>
      </c>
      <c r="C1208" s="1" t="s">
        <v>13</v>
      </c>
      <c r="D1208" s="1" t="s">
        <v>16</v>
      </c>
      <c r="E1208" s="1">
        <v>16</v>
      </c>
      <c r="F1208" s="1">
        <v>46.97</v>
      </c>
      <c r="G1208" s="1">
        <v>30.01</v>
      </c>
      <c r="H1208">
        <f t="shared" si="18"/>
        <v>751.52</v>
      </c>
    </row>
    <row r="1209" spans="1:8" x14ac:dyDescent="0.25">
      <c r="A1209" s="1" t="s">
        <v>1222</v>
      </c>
      <c r="B1209" s="5">
        <v>45708.291666666664</v>
      </c>
      <c r="C1209" s="1" t="s">
        <v>23</v>
      </c>
      <c r="D1209" s="1" t="s">
        <v>9</v>
      </c>
      <c r="E1209" s="1">
        <v>19</v>
      </c>
      <c r="F1209" s="1">
        <v>143.79</v>
      </c>
      <c r="G1209" s="1">
        <v>5.93</v>
      </c>
      <c r="H1209">
        <f t="shared" si="18"/>
        <v>2732.0099999999998</v>
      </c>
    </row>
    <row r="1210" spans="1:8" x14ac:dyDescent="0.25">
      <c r="A1210" s="1" t="s">
        <v>1223</v>
      </c>
      <c r="B1210" s="5">
        <v>45708.333333333336</v>
      </c>
      <c r="C1210" s="1" t="s">
        <v>13</v>
      </c>
      <c r="D1210" s="1" t="s">
        <v>9</v>
      </c>
      <c r="E1210" s="1">
        <v>3</v>
      </c>
      <c r="F1210" s="1">
        <v>99.59</v>
      </c>
      <c r="G1210" s="1">
        <v>9.66</v>
      </c>
      <c r="H1210">
        <f t="shared" si="18"/>
        <v>298.77</v>
      </c>
    </row>
    <row r="1211" spans="1:8" x14ac:dyDescent="0.25">
      <c r="A1211" s="1" t="s">
        <v>1224</v>
      </c>
      <c r="B1211" s="5">
        <v>45708.375</v>
      </c>
      <c r="C1211" s="1" t="s">
        <v>13</v>
      </c>
      <c r="D1211" s="1" t="s">
        <v>16</v>
      </c>
      <c r="E1211" s="1">
        <v>12</v>
      </c>
      <c r="F1211" s="1">
        <v>256.14</v>
      </c>
      <c r="G1211" s="1">
        <v>20.64</v>
      </c>
      <c r="H1211">
        <f t="shared" si="18"/>
        <v>3073.68</v>
      </c>
    </row>
    <row r="1212" spans="1:8" x14ac:dyDescent="0.25">
      <c r="A1212" s="1" t="s">
        <v>1225</v>
      </c>
      <c r="B1212" s="5">
        <v>45708.416666666664</v>
      </c>
      <c r="C1212" s="1" t="s">
        <v>13</v>
      </c>
      <c r="D1212" s="1" t="s">
        <v>19</v>
      </c>
      <c r="E1212" s="1">
        <v>5</v>
      </c>
      <c r="F1212" s="1">
        <v>181.82</v>
      </c>
      <c r="G1212" s="1">
        <v>6.96</v>
      </c>
      <c r="H1212">
        <f t="shared" si="18"/>
        <v>909.09999999999991</v>
      </c>
    </row>
    <row r="1213" spans="1:8" x14ac:dyDescent="0.25">
      <c r="A1213" s="1" t="s">
        <v>1226</v>
      </c>
      <c r="B1213" s="5">
        <v>45708.458333333336</v>
      </c>
      <c r="C1213" s="1" t="s">
        <v>11</v>
      </c>
      <c r="D1213" s="1" t="s">
        <v>9</v>
      </c>
      <c r="E1213" s="1">
        <v>2</v>
      </c>
      <c r="F1213" s="1">
        <v>83.84</v>
      </c>
      <c r="G1213" s="1">
        <v>23.02</v>
      </c>
      <c r="H1213">
        <f t="shared" si="18"/>
        <v>167.68</v>
      </c>
    </row>
    <row r="1214" spans="1:8" x14ac:dyDescent="0.25">
      <c r="A1214" s="1" t="s">
        <v>1227</v>
      </c>
      <c r="B1214" s="5">
        <v>45708.5</v>
      </c>
      <c r="C1214" s="1" t="s">
        <v>23</v>
      </c>
      <c r="D1214" s="1" t="s">
        <v>19</v>
      </c>
      <c r="E1214" s="1">
        <v>7</v>
      </c>
      <c r="F1214" s="1">
        <v>294.77999999999997</v>
      </c>
      <c r="G1214" s="1">
        <v>10.87</v>
      </c>
      <c r="H1214">
        <f t="shared" si="18"/>
        <v>2063.46</v>
      </c>
    </row>
    <row r="1215" spans="1:8" x14ac:dyDescent="0.25">
      <c r="A1215" s="1" t="s">
        <v>1228</v>
      </c>
      <c r="B1215" s="5">
        <v>45708.541666666664</v>
      </c>
      <c r="C1215" s="1" t="s">
        <v>23</v>
      </c>
      <c r="D1215" s="1" t="s">
        <v>9</v>
      </c>
      <c r="E1215" s="1">
        <v>13</v>
      </c>
      <c r="F1215" s="1">
        <v>248.52</v>
      </c>
      <c r="G1215" s="1">
        <v>20.74</v>
      </c>
      <c r="H1215">
        <f t="shared" si="18"/>
        <v>3230.76</v>
      </c>
    </row>
    <row r="1216" spans="1:8" x14ac:dyDescent="0.25">
      <c r="A1216" s="1" t="s">
        <v>1229</v>
      </c>
      <c r="B1216" s="5">
        <v>45708.583333333336</v>
      </c>
      <c r="C1216" s="1" t="s">
        <v>23</v>
      </c>
      <c r="D1216" s="1" t="s">
        <v>37</v>
      </c>
      <c r="E1216" s="1">
        <v>15</v>
      </c>
      <c r="F1216" s="1">
        <v>134.87</v>
      </c>
      <c r="G1216" s="1">
        <v>40.6</v>
      </c>
      <c r="H1216">
        <f t="shared" si="18"/>
        <v>2023.0500000000002</v>
      </c>
    </row>
    <row r="1217" spans="1:8" x14ac:dyDescent="0.25">
      <c r="A1217" s="1" t="s">
        <v>1230</v>
      </c>
      <c r="B1217" s="5">
        <v>45708.625</v>
      </c>
      <c r="C1217" s="1" t="s">
        <v>13</v>
      </c>
      <c r="D1217" s="1" t="s">
        <v>9</v>
      </c>
      <c r="E1217" s="1">
        <v>3</v>
      </c>
      <c r="F1217" s="1">
        <v>223.96</v>
      </c>
      <c r="G1217" s="1">
        <v>33.19</v>
      </c>
      <c r="H1217">
        <f t="shared" si="18"/>
        <v>671.88</v>
      </c>
    </row>
    <row r="1218" spans="1:8" x14ac:dyDescent="0.25">
      <c r="A1218" s="1" t="s">
        <v>1231</v>
      </c>
      <c r="B1218" s="5">
        <v>45708.666666666664</v>
      </c>
      <c r="C1218" s="1" t="s">
        <v>23</v>
      </c>
      <c r="D1218" s="1" t="s">
        <v>16</v>
      </c>
      <c r="E1218" s="1">
        <v>5</v>
      </c>
      <c r="F1218" s="1">
        <v>339.52</v>
      </c>
      <c r="G1218" s="1">
        <v>25.04</v>
      </c>
      <c r="H1218">
        <f t="shared" ref="H1218:H1281" si="19">E1218*F1218</f>
        <v>1697.6</v>
      </c>
    </row>
    <row r="1219" spans="1:8" x14ac:dyDescent="0.25">
      <c r="A1219" s="1" t="s">
        <v>1232</v>
      </c>
      <c r="B1219" s="5">
        <v>45708.708333333336</v>
      </c>
      <c r="C1219" s="1" t="s">
        <v>23</v>
      </c>
      <c r="D1219" s="1" t="s">
        <v>16</v>
      </c>
      <c r="E1219" s="1">
        <v>8</v>
      </c>
      <c r="F1219" s="1">
        <v>104.69</v>
      </c>
      <c r="G1219" s="1">
        <v>9.1300000000000008</v>
      </c>
      <c r="H1219">
        <f t="shared" si="19"/>
        <v>837.52</v>
      </c>
    </row>
    <row r="1220" spans="1:8" x14ac:dyDescent="0.25">
      <c r="A1220" s="1" t="s">
        <v>1233</v>
      </c>
      <c r="B1220" s="5">
        <v>45708.75</v>
      </c>
      <c r="C1220" s="1" t="s">
        <v>13</v>
      </c>
      <c r="D1220" s="1" t="s">
        <v>19</v>
      </c>
      <c r="E1220" s="1">
        <v>1</v>
      </c>
      <c r="F1220" s="1">
        <v>142.77000000000001</v>
      </c>
      <c r="G1220" s="1">
        <v>32.86</v>
      </c>
      <c r="H1220">
        <f t="shared" si="19"/>
        <v>142.77000000000001</v>
      </c>
    </row>
    <row r="1221" spans="1:8" x14ac:dyDescent="0.25">
      <c r="A1221" s="1" t="s">
        <v>1234</v>
      </c>
      <c r="B1221" s="5">
        <v>45708.791666666664</v>
      </c>
      <c r="C1221" s="1" t="s">
        <v>8</v>
      </c>
      <c r="D1221" s="1" t="s">
        <v>9</v>
      </c>
      <c r="E1221" s="1">
        <v>8</v>
      </c>
      <c r="F1221" s="1">
        <v>165.89</v>
      </c>
      <c r="G1221" s="1">
        <v>12.37</v>
      </c>
      <c r="H1221">
        <f t="shared" si="19"/>
        <v>1327.12</v>
      </c>
    </row>
    <row r="1222" spans="1:8" x14ac:dyDescent="0.25">
      <c r="A1222" s="1" t="s">
        <v>1235</v>
      </c>
      <c r="B1222" s="5">
        <v>45708.833333333336</v>
      </c>
      <c r="C1222" s="1" t="s">
        <v>13</v>
      </c>
      <c r="D1222" s="1" t="s">
        <v>19</v>
      </c>
      <c r="E1222" s="1">
        <v>18</v>
      </c>
      <c r="F1222" s="1">
        <v>339.95</v>
      </c>
      <c r="G1222" s="1">
        <v>8.4499999999999993</v>
      </c>
      <c r="H1222">
        <f t="shared" si="19"/>
        <v>6119.0999999999995</v>
      </c>
    </row>
    <row r="1223" spans="1:8" x14ac:dyDescent="0.25">
      <c r="A1223" s="1" t="s">
        <v>1236</v>
      </c>
      <c r="B1223" s="5">
        <v>45708.875</v>
      </c>
      <c r="C1223" s="1" t="s">
        <v>23</v>
      </c>
      <c r="D1223" s="1" t="s">
        <v>19</v>
      </c>
      <c r="E1223" s="1">
        <v>16</v>
      </c>
      <c r="F1223" s="1">
        <v>383.49</v>
      </c>
      <c r="G1223" s="1">
        <v>34.880000000000003</v>
      </c>
      <c r="H1223">
        <f t="shared" si="19"/>
        <v>6135.84</v>
      </c>
    </row>
    <row r="1224" spans="1:8" x14ac:dyDescent="0.25">
      <c r="A1224" s="1" t="s">
        <v>1237</v>
      </c>
      <c r="B1224" s="5">
        <v>45708.916666666664</v>
      </c>
      <c r="C1224" s="1" t="s">
        <v>13</v>
      </c>
      <c r="D1224" s="1" t="s">
        <v>37</v>
      </c>
      <c r="E1224" s="1">
        <v>18</v>
      </c>
      <c r="F1224" s="1">
        <v>179.04</v>
      </c>
      <c r="G1224" s="1">
        <v>46.04</v>
      </c>
      <c r="H1224">
        <f t="shared" si="19"/>
        <v>3222.72</v>
      </c>
    </row>
    <row r="1225" spans="1:8" x14ac:dyDescent="0.25">
      <c r="A1225" s="1" t="s">
        <v>1238</v>
      </c>
      <c r="B1225" s="5">
        <v>45708.958333333336</v>
      </c>
      <c r="C1225" s="1" t="s">
        <v>8</v>
      </c>
      <c r="D1225" s="1" t="s">
        <v>37</v>
      </c>
      <c r="E1225" s="1">
        <v>12</v>
      </c>
      <c r="F1225" s="1">
        <v>144.38</v>
      </c>
      <c r="G1225" s="1">
        <v>25.73</v>
      </c>
      <c r="H1225">
        <f t="shared" si="19"/>
        <v>1732.56</v>
      </c>
    </row>
    <row r="1226" spans="1:8" x14ac:dyDescent="0.25">
      <c r="A1226" s="1" t="s">
        <v>1239</v>
      </c>
      <c r="B1226" s="5">
        <v>45709</v>
      </c>
      <c r="C1226" s="1" t="s">
        <v>13</v>
      </c>
      <c r="D1226" s="1" t="s">
        <v>16</v>
      </c>
      <c r="E1226" s="1">
        <v>13</v>
      </c>
      <c r="F1226" s="1">
        <v>401.96</v>
      </c>
      <c r="G1226" s="1">
        <v>6.84</v>
      </c>
      <c r="H1226">
        <f t="shared" si="19"/>
        <v>5225.4799999999996</v>
      </c>
    </row>
    <row r="1227" spans="1:8" x14ac:dyDescent="0.25">
      <c r="A1227" s="1" t="s">
        <v>1240</v>
      </c>
      <c r="B1227" s="5">
        <v>45709.041666666664</v>
      </c>
      <c r="C1227" s="1" t="s">
        <v>23</v>
      </c>
      <c r="D1227" s="1" t="s">
        <v>19</v>
      </c>
      <c r="E1227" s="1">
        <v>13</v>
      </c>
      <c r="F1227" s="1">
        <v>449.72</v>
      </c>
      <c r="G1227" s="1">
        <v>44.61</v>
      </c>
      <c r="H1227">
        <f t="shared" si="19"/>
        <v>5846.3600000000006</v>
      </c>
    </row>
    <row r="1228" spans="1:8" x14ac:dyDescent="0.25">
      <c r="A1228" s="1" t="s">
        <v>1241</v>
      </c>
      <c r="B1228" s="5">
        <v>45709.083333333336</v>
      </c>
      <c r="C1228" s="1" t="s">
        <v>8</v>
      </c>
      <c r="D1228" s="1" t="s">
        <v>16</v>
      </c>
      <c r="E1228" s="1">
        <v>10</v>
      </c>
      <c r="F1228" s="1">
        <v>306.77</v>
      </c>
      <c r="G1228" s="1">
        <v>8.01</v>
      </c>
      <c r="H1228">
        <f t="shared" si="19"/>
        <v>3067.7</v>
      </c>
    </row>
    <row r="1229" spans="1:8" x14ac:dyDescent="0.25">
      <c r="A1229" s="1" t="s">
        <v>1242</v>
      </c>
      <c r="B1229" s="5">
        <v>45709.125</v>
      </c>
      <c r="C1229" s="1" t="s">
        <v>11</v>
      </c>
      <c r="D1229" s="1" t="s">
        <v>9</v>
      </c>
      <c r="E1229" s="1">
        <v>7</v>
      </c>
      <c r="F1229" s="1">
        <v>445.65</v>
      </c>
      <c r="G1229" s="1">
        <v>44.04</v>
      </c>
      <c r="H1229">
        <f t="shared" si="19"/>
        <v>3119.5499999999997</v>
      </c>
    </row>
    <row r="1230" spans="1:8" x14ac:dyDescent="0.25">
      <c r="A1230" s="1" t="s">
        <v>1243</v>
      </c>
      <c r="B1230" s="5">
        <v>45709.166666666664</v>
      </c>
      <c r="C1230" s="1" t="s">
        <v>23</v>
      </c>
      <c r="D1230" s="1" t="s">
        <v>19</v>
      </c>
      <c r="E1230" s="1">
        <v>14</v>
      </c>
      <c r="F1230" s="1">
        <v>302.26</v>
      </c>
      <c r="G1230" s="1">
        <v>22.63</v>
      </c>
      <c r="H1230">
        <f t="shared" si="19"/>
        <v>4231.6399999999994</v>
      </c>
    </row>
    <row r="1231" spans="1:8" x14ac:dyDescent="0.25">
      <c r="A1231" s="1" t="s">
        <v>1244</v>
      </c>
      <c r="B1231" s="5">
        <v>45709.208333333336</v>
      </c>
      <c r="C1231" s="1" t="s">
        <v>8</v>
      </c>
      <c r="D1231" s="1" t="s">
        <v>19</v>
      </c>
      <c r="E1231" s="1">
        <v>16</v>
      </c>
      <c r="F1231" s="1">
        <v>334.19</v>
      </c>
      <c r="G1231" s="1">
        <v>21.44</v>
      </c>
      <c r="H1231">
        <f t="shared" si="19"/>
        <v>5347.04</v>
      </c>
    </row>
    <row r="1232" spans="1:8" x14ac:dyDescent="0.25">
      <c r="A1232" s="1" t="s">
        <v>1245</v>
      </c>
      <c r="B1232" s="5">
        <v>45709.25</v>
      </c>
      <c r="C1232" s="1" t="s">
        <v>8</v>
      </c>
      <c r="D1232" s="1" t="s">
        <v>9</v>
      </c>
      <c r="E1232" s="1">
        <v>15</v>
      </c>
      <c r="F1232" s="1">
        <v>184.37</v>
      </c>
      <c r="G1232" s="1">
        <v>29.43</v>
      </c>
      <c r="H1232">
        <f t="shared" si="19"/>
        <v>2765.55</v>
      </c>
    </row>
    <row r="1233" spans="1:8" x14ac:dyDescent="0.25">
      <c r="A1233" s="1" t="s">
        <v>1246</v>
      </c>
      <c r="B1233" s="5">
        <v>45709.291666666664</v>
      </c>
      <c r="C1233" s="1" t="s">
        <v>11</v>
      </c>
      <c r="D1233" s="1" t="s">
        <v>9</v>
      </c>
      <c r="E1233" s="1">
        <v>12</v>
      </c>
      <c r="F1233" s="1">
        <v>203.62</v>
      </c>
      <c r="G1233" s="1">
        <v>48.07</v>
      </c>
      <c r="H1233">
        <f t="shared" si="19"/>
        <v>2443.44</v>
      </c>
    </row>
    <row r="1234" spans="1:8" x14ac:dyDescent="0.25">
      <c r="A1234" s="1" t="s">
        <v>1247</v>
      </c>
      <c r="B1234" s="5">
        <v>45709.333333333336</v>
      </c>
      <c r="C1234" s="1" t="s">
        <v>13</v>
      </c>
      <c r="D1234" s="1" t="s">
        <v>16</v>
      </c>
      <c r="E1234" s="1">
        <v>9</v>
      </c>
      <c r="F1234" s="1">
        <v>78.13</v>
      </c>
      <c r="G1234" s="1">
        <v>45.44</v>
      </c>
      <c r="H1234">
        <f t="shared" si="19"/>
        <v>703.17</v>
      </c>
    </row>
    <row r="1235" spans="1:8" x14ac:dyDescent="0.25">
      <c r="A1235" s="1" t="s">
        <v>1248</v>
      </c>
      <c r="B1235" s="5">
        <v>45709.375</v>
      </c>
      <c r="C1235" s="1" t="s">
        <v>13</v>
      </c>
      <c r="D1235" s="1" t="s">
        <v>16</v>
      </c>
      <c r="E1235" s="1">
        <v>8</v>
      </c>
      <c r="F1235" s="1">
        <v>372.98</v>
      </c>
      <c r="G1235" s="1">
        <v>26.16</v>
      </c>
      <c r="H1235">
        <f t="shared" si="19"/>
        <v>2983.84</v>
      </c>
    </row>
    <row r="1236" spans="1:8" x14ac:dyDescent="0.25">
      <c r="A1236" s="1" t="s">
        <v>1249</v>
      </c>
      <c r="B1236" s="5">
        <v>45709.416666666664</v>
      </c>
      <c r="C1236" s="1" t="s">
        <v>23</v>
      </c>
      <c r="D1236" s="1" t="s">
        <v>9</v>
      </c>
      <c r="E1236" s="1">
        <v>18</v>
      </c>
      <c r="F1236" s="1">
        <v>420.05</v>
      </c>
      <c r="G1236" s="1">
        <v>36.31</v>
      </c>
      <c r="H1236">
        <f t="shared" si="19"/>
        <v>7560.9000000000005</v>
      </c>
    </row>
    <row r="1237" spans="1:8" x14ac:dyDescent="0.25">
      <c r="A1237" s="1" t="s">
        <v>1250</v>
      </c>
      <c r="B1237" s="5">
        <v>45709.458333333336</v>
      </c>
      <c r="C1237" s="1" t="s">
        <v>11</v>
      </c>
      <c r="D1237" s="1" t="s">
        <v>16</v>
      </c>
      <c r="E1237" s="1">
        <v>18</v>
      </c>
      <c r="F1237" s="1">
        <v>286.38</v>
      </c>
      <c r="G1237" s="1">
        <v>31.12</v>
      </c>
      <c r="H1237">
        <f t="shared" si="19"/>
        <v>5154.84</v>
      </c>
    </row>
    <row r="1238" spans="1:8" x14ac:dyDescent="0.25">
      <c r="A1238" s="1" t="s">
        <v>1251</v>
      </c>
      <c r="B1238" s="5">
        <v>45709.5</v>
      </c>
      <c r="C1238" s="1" t="s">
        <v>13</v>
      </c>
      <c r="D1238" s="1" t="s">
        <v>9</v>
      </c>
      <c r="E1238" s="1">
        <v>13</v>
      </c>
      <c r="F1238" s="1">
        <v>164.81</v>
      </c>
      <c r="G1238" s="1">
        <v>36.21</v>
      </c>
      <c r="H1238">
        <f t="shared" si="19"/>
        <v>2142.5300000000002</v>
      </c>
    </row>
    <row r="1239" spans="1:8" x14ac:dyDescent="0.25">
      <c r="A1239" s="1" t="s">
        <v>1252</v>
      </c>
      <c r="B1239" s="5">
        <v>45709.541666666664</v>
      </c>
      <c r="C1239" s="1" t="s">
        <v>11</v>
      </c>
      <c r="D1239" s="1" t="s">
        <v>19</v>
      </c>
      <c r="E1239" s="1">
        <v>18</v>
      </c>
      <c r="F1239" s="1">
        <v>82.42</v>
      </c>
      <c r="G1239" s="1">
        <v>42.32</v>
      </c>
      <c r="H1239">
        <f t="shared" si="19"/>
        <v>1483.56</v>
      </c>
    </row>
    <row r="1240" spans="1:8" x14ac:dyDescent="0.25">
      <c r="A1240" s="1" t="s">
        <v>1253</v>
      </c>
      <c r="B1240" s="5">
        <v>45709.583333333336</v>
      </c>
      <c r="C1240" s="1" t="s">
        <v>13</v>
      </c>
      <c r="D1240" s="1" t="s">
        <v>19</v>
      </c>
      <c r="E1240" s="1">
        <v>15</v>
      </c>
      <c r="F1240" s="1">
        <v>130.71</v>
      </c>
      <c r="G1240" s="1">
        <v>6.55</v>
      </c>
      <c r="H1240">
        <f t="shared" si="19"/>
        <v>1960.65</v>
      </c>
    </row>
    <row r="1241" spans="1:8" x14ac:dyDescent="0.25">
      <c r="A1241" s="1" t="s">
        <v>1254</v>
      </c>
      <c r="B1241" s="5">
        <v>45709.625</v>
      </c>
      <c r="C1241" s="1" t="s">
        <v>8</v>
      </c>
      <c r="D1241" s="1" t="s">
        <v>37</v>
      </c>
      <c r="E1241" s="1">
        <v>4</v>
      </c>
      <c r="F1241" s="1">
        <v>126.48</v>
      </c>
      <c r="G1241" s="1">
        <v>19.66</v>
      </c>
      <c r="H1241">
        <f t="shared" si="19"/>
        <v>505.92</v>
      </c>
    </row>
    <row r="1242" spans="1:8" x14ac:dyDescent="0.25">
      <c r="A1242" s="1" t="s">
        <v>1255</v>
      </c>
      <c r="B1242" s="5">
        <v>45709.666666666664</v>
      </c>
      <c r="C1242" s="1" t="s">
        <v>13</v>
      </c>
      <c r="D1242" s="1" t="s">
        <v>19</v>
      </c>
      <c r="E1242" s="1">
        <v>17</v>
      </c>
      <c r="F1242" s="1">
        <v>282.08</v>
      </c>
      <c r="G1242" s="1">
        <v>48.17</v>
      </c>
      <c r="H1242">
        <f t="shared" si="19"/>
        <v>4795.3599999999997</v>
      </c>
    </row>
    <row r="1243" spans="1:8" x14ac:dyDescent="0.25">
      <c r="A1243" s="1" t="s">
        <v>1256</v>
      </c>
      <c r="B1243" s="5">
        <v>45709.708333333336</v>
      </c>
      <c r="C1243" s="1" t="s">
        <v>11</v>
      </c>
      <c r="D1243" s="1" t="s">
        <v>9</v>
      </c>
      <c r="E1243" s="1">
        <v>5</v>
      </c>
      <c r="F1243" s="1">
        <v>426.12</v>
      </c>
      <c r="G1243" s="1">
        <v>47.72</v>
      </c>
      <c r="H1243">
        <f t="shared" si="19"/>
        <v>2130.6</v>
      </c>
    </row>
    <row r="1244" spans="1:8" x14ac:dyDescent="0.25">
      <c r="A1244" s="1" t="s">
        <v>1257</v>
      </c>
      <c r="B1244" s="5">
        <v>45709.75</v>
      </c>
      <c r="C1244" s="1" t="s">
        <v>8</v>
      </c>
      <c r="D1244" s="1" t="s">
        <v>16</v>
      </c>
      <c r="E1244" s="1">
        <v>16</v>
      </c>
      <c r="F1244" s="1">
        <v>36.47</v>
      </c>
      <c r="G1244" s="1">
        <v>5.5</v>
      </c>
      <c r="H1244">
        <f t="shared" si="19"/>
        <v>583.52</v>
      </c>
    </row>
    <row r="1245" spans="1:8" x14ac:dyDescent="0.25">
      <c r="A1245" s="1" t="s">
        <v>1258</v>
      </c>
      <c r="B1245" s="5">
        <v>45709.791666666664</v>
      </c>
      <c r="C1245" s="1" t="s">
        <v>8</v>
      </c>
      <c r="D1245" s="1" t="s">
        <v>37</v>
      </c>
      <c r="E1245" s="1">
        <v>9</v>
      </c>
      <c r="F1245" s="1">
        <v>15.94</v>
      </c>
      <c r="G1245" s="1">
        <v>14.06</v>
      </c>
      <c r="H1245">
        <f t="shared" si="19"/>
        <v>143.46</v>
      </c>
    </row>
    <row r="1246" spans="1:8" x14ac:dyDescent="0.25">
      <c r="A1246" s="1" t="s">
        <v>1259</v>
      </c>
      <c r="B1246" s="5">
        <v>45709.833333333336</v>
      </c>
      <c r="C1246" s="1" t="s">
        <v>8</v>
      </c>
      <c r="D1246" s="1" t="s">
        <v>16</v>
      </c>
      <c r="E1246" s="1">
        <v>10</v>
      </c>
      <c r="F1246" s="1">
        <v>276.27999999999997</v>
      </c>
      <c r="G1246" s="1">
        <v>49.72</v>
      </c>
      <c r="H1246">
        <f t="shared" si="19"/>
        <v>2762.7999999999997</v>
      </c>
    </row>
    <row r="1247" spans="1:8" x14ac:dyDescent="0.25">
      <c r="A1247" s="1" t="s">
        <v>1260</v>
      </c>
      <c r="B1247" s="5">
        <v>45709.875</v>
      </c>
      <c r="C1247" s="1" t="s">
        <v>11</v>
      </c>
      <c r="D1247" s="1" t="s">
        <v>9</v>
      </c>
      <c r="E1247" s="1">
        <v>18</v>
      </c>
      <c r="F1247" s="1">
        <v>138.91999999999999</v>
      </c>
      <c r="G1247" s="1">
        <v>27.18</v>
      </c>
      <c r="H1247">
        <f t="shared" si="19"/>
        <v>2500.56</v>
      </c>
    </row>
    <row r="1248" spans="1:8" x14ac:dyDescent="0.25">
      <c r="A1248" s="1" t="s">
        <v>1261</v>
      </c>
      <c r="B1248" s="5">
        <v>45709.916666666664</v>
      </c>
      <c r="C1248" s="1" t="s">
        <v>23</v>
      </c>
      <c r="D1248" s="1" t="s">
        <v>19</v>
      </c>
      <c r="E1248" s="1">
        <v>17</v>
      </c>
      <c r="F1248" s="1">
        <v>398.1</v>
      </c>
      <c r="G1248" s="1">
        <v>30.78</v>
      </c>
      <c r="H1248">
        <f t="shared" si="19"/>
        <v>6767.7000000000007</v>
      </c>
    </row>
    <row r="1249" spans="1:8" x14ac:dyDescent="0.25">
      <c r="A1249" s="1" t="s">
        <v>1262</v>
      </c>
      <c r="B1249" s="5">
        <v>45709.958333333336</v>
      </c>
      <c r="C1249" s="1" t="s">
        <v>23</v>
      </c>
      <c r="D1249" s="1" t="s">
        <v>37</v>
      </c>
      <c r="E1249" s="1">
        <v>18</v>
      </c>
      <c r="F1249" s="1">
        <v>157.69</v>
      </c>
      <c r="G1249" s="1">
        <v>12.49</v>
      </c>
      <c r="H1249">
        <f t="shared" si="19"/>
        <v>2838.42</v>
      </c>
    </row>
    <row r="1250" spans="1:8" x14ac:dyDescent="0.25">
      <c r="A1250" s="1" t="s">
        <v>1263</v>
      </c>
      <c r="B1250" s="5">
        <v>45710</v>
      </c>
      <c r="C1250" s="1" t="s">
        <v>23</v>
      </c>
      <c r="D1250" s="1" t="s">
        <v>9</v>
      </c>
      <c r="E1250" s="1">
        <v>7</v>
      </c>
      <c r="F1250" s="1">
        <v>141.38999999999999</v>
      </c>
      <c r="G1250" s="1">
        <v>45.25</v>
      </c>
      <c r="H1250">
        <f t="shared" si="19"/>
        <v>989.7299999999999</v>
      </c>
    </row>
    <row r="1251" spans="1:8" x14ac:dyDescent="0.25">
      <c r="A1251" s="1" t="s">
        <v>1264</v>
      </c>
      <c r="B1251" s="5">
        <v>45710.041666666664</v>
      </c>
      <c r="C1251" s="1" t="s">
        <v>11</v>
      </c>
      <c r="D1251" s="1" t="s">
        <v>37</v>
      </c>
      <c r="E1251" s="1">
        <v>4</v>
      </c>
      <c r="F1251" s="1">
        <v>132.6</v>
      </c>
      <c r="G1251" s="1">
        <v>15.41</v>
      </c>
      <c r="H1251">
        <f t="shared" si="19"/>
        <v>530.4</v>
      </c>
    </row>
    <row r="1252" spans="1:8" x14ac:dyDescent="0.25">
      <c r="A1252" s="1" t="s">
        <v>1265</v>
      </c>
      <c r="B1252" s="5">
        <v>45710.083333333336</v>
      </c>
      <c r="C1252" s="1" t="s">
        <v>8</v>
      </c>
      <c r="D1252" s="1" t="s">
        <v>37</v>
      </c>
      <c r="E1252" s="1">
        <v>5</v>
      </c>
      <c r="F1252" s="1">
        <v>78.44</v>
      </c>
      <c r="G1252" s="1">
        <v>13.53</v>
      </c>
      <c r="H1252">
        <f t="shared" si="19"/>
        <v>392.2</v>
      </c>
    </row>
    <row r="1253" spans="1:8" x14ac:dyDescent="0.25">
      <c r="A1253" s="1" t="s">
        <v>1266</v>
      </c>
      <c r="B1253" s="5">
        <v>45710.125</v>
      </c>
      <c r="C1253" s="1" t="s">
        <v>23</v>
      </c>
      <c r="D1253" s="1" t="s">
        <v>19</v>
      </c>
      <c r="E1253" s="1">
        <v>16</v>
      </c>
      <c r="F1253" s="1">
        <v>268.17</v>
      </c>
      <c r="G1253" s="1">
        <v>15.27</v>
      </c>
      <c r="H1253">
        <f t="shared" si="19"/>
        <v>4290.72</v>
      </c>
    </row>
    <row r="1254" spans="1:8" x14ac:dyDescent="0.25">
      <c r="A1254" s="1" t="s">
        <v>1267</v>
      </c>
      <c r="B1254" s="5">
        <v>45710.166666666664</v>
      </c>
      <c r="C1254" s="1" t="s">
        <v>11</v>
      </c>
      <c r="D1254" s="1" t="s">
        <v>9</v>
      </c>
      <c r="E1254" s="1">
        <v>3</v>
      </c>
      <c r="F1254" s="1">
        <v>88.59</v>
      </c>
      <c r="G1254" s="1">
        <v>46.38</v>
      </c>
      <c r="H1254">
        <f t="shared" si="19"/>
        <v>265.77</v>
      </c>
    </row>
    <row r="1255" spans="1:8" x14ac:dyDescent="0.25">
      <c r="A1255" s="1" t="s">
        <v>1268</v>
      </c>
      <c r="B1255" s="5">
        <v>45710.208333333336</v>
      </c>
      <c r="C1255" s="1" t="s">
        <v>23</v>
      </c>
      <c r="D1255" s="1" t="s">
        <v>16</v>
      </c>
      <c r="E1255" s="1">
        <v>18</v>
      </c>
      <c r="F1255" s="1">
        <v>200</v>
      </c>
      <c r="G1255" s="1">
        <v>36.630000000000003</v>
      </c>
      <c r="H1255">
        <f t="shared" si="19"/>
        <v>3600</v>
      </c>
    </row>
    <row r="1256" spans="1:8" x14ac:dyDescent="0.25">
      <c r="A1256" s="1" t="s">
        <v>1269</v>
      </c>
      <c r="B1256" s="5">
        <v>45710.25</v>
      </c>
      <c r="C1256" s="1" t="s">
        <v>13</v>
      </c>
      <c r="D1256" s="1" t="s">
        <v>37</v>
      </c>
      <c r="E1256" s="1">
        <v>14</v>
      </c>
      <c r="F1256" s="1">
        <v>215.79</v>
      </c>
      <c r="G1256" s="1">
        <v>39.590000000000003</v>
      </c>
      <c r="H1256">
        <f t="shared" si="19"/>
        <v>3021.06</v>
      </c>
    </row>
    <row r="1257" spans="1:8" x14ac:dyDescent="0.25">
      <c r="A1257" s="1" t="s">
        <v>1270</v>
      </c>
      <c r="B1257" s="5">
        <v>45710.291666666664</v>
      </c>
      <c r="C1257" s="1" t="s">
        <v>23</v>
      </c>
      <c r="D1257" s="1" t="s">
        <v>37</v>
      </c>
      <c r="E1257" s="1">
        <v>15</v>
      </c>
      <c r="F1257" s="1">
        <v>24.4</v>
      </c>
      <c r="G1257" s="1">
        <v>21.97</v>
      </c>
      <c r="H1257">
        <f t="shared" si="19"/>
        <v>366</v>
      </c>
    </row>
    <row r="1258" spans="1:8" x14ac:dyDescent="0.25">
      <c r="A1258" s="1" t="s">
        <v>1271</v>
      </c>
      <c r="B1258" s="5">
        <v>45710.333333333336</v>
      </c>
      <c r="C1258" s="1" t="s">
        <v>23</v>
      </c>
      <c r="D1258" s="1" t="s">
        <v>16</v>
      </c>
      <c r="E1258" s="1">
        <v>17</v>
      </c>
      <c r="F1258" s="1">
        <v>22.8</v>
      </c>
      <c r="G1258" s="1">
        <v>45.91</v>
      </c>
      <c r="H1258">
        <f t="shared" si="19"/>
        <v>387.6</v>
      </c>
    </row>
    <row r="1259" spans="1:8" x14ac:dyDescent="0.25">
      <c r="A1259" s="1" t="s">
        <v>1272</v>
      </c>
      <c r="B1259" s="5">
        <v>45710.375</v>
      </c>
      <c r="C1259" s="1" t="s">
        <v>8</v>
      </c>
      <c r="D1259" s="1" t="s">
        <v>9</v>
      </c>
      <c r="E1259" s="1">
        <v>1</v>
      </c>
      <c r="F1259" s="1">
        <v>241.53</v>
      </c>
      <c r="G1259" s="1">
        <v>40.520000000000003</v>
      </c>
      <c r="H1259">
        <f t="shared" si="19"/>
        <v>241.53</v>
      </c>
    </row>
    <row r="1260" spans="1:8" x14ac:dyDescent="0.25">
      <c r="A1260" s="1" t="s">
        <v>1273</v>
      </c>
      <c r="B1260" s="5">
        <v>45710.416666666664</v>
      </c>
      <c r="C1260" s="1" t="s">
        <v>11</v>
      </c>
      <c r="D1260" s="1" t="s">
        <v>37</v>
      </c>
      <c r="E1260" s="1">
        <v>17</v>
      </c>
      <c r="F1260" s="1">
        <v>317.93</v>
      </c>
      <c r="G1260" s="1">
        <v>38.78</v>
      </c>
      <c r="H1260">
        <f t="shared" si="19"/>
        <v>5404.81</v>
      </c>
    </row>
    <row r="1261" spans="1:8" x14ac:dyDescent="0.25">
      <c r="A1261" s="1" t="s">
        <v>1274</v>
      </c>
      <c r="B1261" s="5">
        <v>45710.458333333336</v>
      </c>
      <c r="C1261" s="1" t="s">
        <v>8</v>
      </c>
      <c r="D1261" s="1" t="s">
        <v>37</v>
      </c>
      <c r="E1261" s="1">
        <v>11</v>
      </c>
      <c r="F1261" s="1">
        <v>424.86</v>
      </c>
      <c r="G1261" s="1">
        <v>48.69</v>
      </c>
      <c r="H1261">
        <f t="shared" si="19"/>
        <v>4673.46</v>
      </c>
    </row>
    <row r="1262" spans="1:8" x14ac:dyDescent="0.25">
      <c r="A1262" s="1" t="s">
        <v>1275</v>
      </c>
      <c r="B1262" s="5">
        <v>45710.5</v>
      </c>
      <c r="C1262" s="1" t="s">
        <v>8</v>
      </c>
      <c r="D1262" s="1" t="s">
        <v>37</v>
      </c>
      <c r="E1262" s="1">
        <v>17</v>
      </c>
      <c r="F1262" s="1">
        <v>93.33</v>
      </c>
      <c r="G1262" s="1">
        <v>21.48</v>
      </c>
      <c r="H1262">
        <f t="shared" si="19"/>
        <v>1586.61</v>
      </c>
    </row>
    <row r="1263" spans="1:8" x14ac:dyDescent="0.25">
      <c r="A1263" s="1" t="s">
        <v>1276</v>
      </c>
      <c r="B1263" s="5">
        <v>45710.541666666664</v>
      </c>
      <c r="C1263" s="1" t="s">
        <v>8</v>
      </c>
      <c r="D1263" s="1" t="s">
        <v>9</v>
      </c>
      <c r="E1263" s="1">
        <v>14</v>
      </c>
      <c r="F1263" s="1">
        <v>60.37</v>
      </c>
      <c r="G1263" s="1">
        <v>32.49</v>
      </c>
      <c r="H1263">
        <f t="shared" si="19"/>
        <v>845.18</v>
      </c>
    </row>
    <row r="1264" spans="1:8" x14ac:dyDescent="0.25">
      <c r="A1264" s="1" t="s">
        <v>1277</v>
      </c>
      <c r="B1264" s="5">
        <v>45710.583333333336</v>
      </c>
      <c r="C1264" s="1" t="s">
        <v>8</v>
      </c>
      <c r="D1264" s="1" t="s">
        <v>9</v>
      </c>
      <c r="E1264" s="1">
        <v>19</v>
      </c>
      <c r="F1264" s="1">
        <v>38.130000000000003</v>
      </c>
      <c r="G1264" s="1">
        <v>45.95</v>
      </c>
      <c r="H1264">
        <f t="shared" si="19"/>
        <v>724.47</v>
      </c>
    </row>
    <row r="1265" spans="1:8" x14ac:dyDescent="0.25">
      <c r="A1265" s="1" t="s">
        <v>1278</v>
      </c>
      <c r="B1265" s="5">
        <v>45710.625</v>
      </c>
      <c r="C1265" s="1" t="s">
        <v>8</v>
      </c>
      <c r="D1265" s="1" t="s">
        <v>16</v>
      </c>
      <c r="E1265" s="1">
        <v>7</v>
      </c>
      <c r="F1265" s="1">
        <v>204.96</v>
      </c>
      <c r="G1265" s="1">
        <v>40.590000000000003</v>
      </c>
      <c r="H1265">
        <f t="shared" si="19"/>
        <v>1434.72</v>
      </c>
    </row>
    <row r="1266" spans="1:8" x14ac:dyDescent="0.25">
      <c r="A1266" s="1" t="s">
        <v>1279</v>
      </c>
      <c r="B1266" s="5">
        <v>45710.666666666664</v>
      </c>
      <c r="C1266" s="1" t="s">
        <v>23</v>
      </c>
      <c r="D1266" s="1" t="s">
        <v>9</v>
      </c>
      <c r="E1266" s="1">
        <v>13</v>
      </c>
      <c r="F1266" s="1">
        <v>286.26</v>
      </c>
      <c r="G1266" s="1">
        <v>30.35</v>
      </c>
      <c r="H1266">
        <f t="shared" si="19"/>
        <v>3721.38</v>
      </c>
    </row>
    <row r="1267" spans="1:8" x14ac:dyDescent="0.25">
      <c r="A1267" s="1" t="s">
        <v>1280</v>
      </c>
      <c r="B1267" s="5">
        <v>45710.708333333336</v>
      </c>
      <c r="C1267" s="1" t="s">
        <v>8</v>
      </c>
      <c r="D1267" s="1" t="s">
        <v>9</v>
      </c>
      <c r="E1267" s="1">
        <v>18</v>
      </c>
      <c r="F1267" s="1">
        <v>380.72</v>
      </c>
      <c r="G1267" s="1">
        <v>8.43</v>
      </c>
      <c r="H1267">
        <f t="shared" si="19"/>
        <v>6852.9600000000009</v>
      </c>
    </row>
    <row r="1268" spans="1:8" x14ac:dyDescent="0.25">
      <c r="A1268" s="1" t="s">
        <v>1281</v>
      </c>
      <c r="B1268" s="5">
        <v>45710.75</v>
      </c>
      <c r="C1268" s="1" t="s">
        <v>8</v>
      </c>
      <c r="D1268" s="1" t="s">
        <v>19</v>
      </c>
      <c r="E1268" s="1">
        <v>14</v>
      </c>
      <c r="F1268" s="1">
        <v>312.11</v>
      </c>
      <c r="G1268" s="1">
        <v>34.369999999999997</v>
      </c>
      <c r="H1268">
        <f t="shared" si="19"/>
        <v>4369.54</v>
      </c>
    </row>
    <row r="1269" spans="1:8" x14ac:dyDescent="0.25">
      <c r="A1269" s="1" t="s">
        <v>1282</v>
      </c>
      <c r="B1269" s="5">
        <v>45710.791666666664</v>
      </c>
      <c r="C1269" s="1" t="s">
        <v>11</v>
      </c>
      <c r="D1269" s="1" t="s">
        <v>16</v>
      </c>
      <c r="E1269" s="1">
        <v>1</v>
      </c>
      <c r="F1269" s="1">
        <v>106.03</v>
      </c>
      <c r="G1269" s="1">
        <v>28.7</v>
      </c>
      <c r="H1269">
        <f t="shared" si="19"/>
        <v>106.03</v>
      </c>
    </row>
    <row r="1270" spans="1:8" x14ac:dyDescent="0.25">
      <c r="A1270" s="1" t="s">
        <v>1283</v>
      </c>
      <c r="B1270" s="5">
        <v>45710.833333333336</v>
      </c>
      <c r="C1270" s="1" t="s">
        <v>13</v>
      </c>
      <c r="D1270" s="1" t="s">
        <v>37</v>
      </c>
      <c r="E1270" s="1">
        <v>7</v>
      </c>
      <c r="F1270" s="1">
        <v>216.14</v>
      </c>
      <c r="G1270" s="1">
        <v>13.29</v>
      </c>
      <c r="H1270">
        <f t="shared" si="19"/>
        <v>1512.98</v>
      </c>
    </row>
    <row r="1271" spans="1:8" x14ac:dyDescent="0.25">
      <c r="A1271" s="1" t="s">
        <v>1284</v>
      </c>
      <c r="B1271" s="5">
        <v>45710.875</v>
      </c>
      <c r="C1271" s="1" t="s">
        <v>23</v>
      </c>
      <c r="D1271" s="1" t="s">
        <v>9</v>
      </c>
      <c r="E1271" s="1">
        <v>8</v>
      </c>
      <c r="F1271" s="1">
        <v>411.05</v>
      </c>
      <c r="G1271" s="1">
        <v>44.7</v>
      </c>
      <c r="H1271">
        <f t="shared" si="19"/>
        <v>3288.4</v>
      </c>
    </row>
    <row r="1272" spans="1:8" x14ac:dyDescent="0.25">
      <c r="A1272" s="1" t="s">
        <v>1285</v>
      </c>
      <c r="B1272" s="5">
        <v>45710.916666666664</v>
      </c>
      <c r="C1272" s="1" t="s">
        <v>23</v>
      </c>
      <c r="D1272" s="1" t="s">
        <v>37</v>
      </c>
      <c r="E1272" s="1">
        <v>18</v>
      </c>
      <c r="F1272" s="1">
        <v>157.47</v>
      </c>
      <c r="G1272" s="1">
        <v>20.45</v>
      </c>
      <c r="H1272">
        <f t="shared" si="19"/>
        <v>2834.46</v>
      </c>
    </row>
    <row r="1273" spans="1:8" x14ac:dyDescent="0.25">
      <c r="A1273" s="1" t="s">
        <v>1286</v>
      </c>
      <c r="B1273" s="5">
        <v>45710.958333333336</v>
      </c>
      <c r="C1273" s="1" t="s">
        <v>23</v>
      </c>
      <c r="D1273" s="1" t="s">
        <v>37</v>
      </c>
      <c r="E1273" s="1">
        <v>9</v>
      </c>
      <c r="F1273" s="1">
        <v>232.2</v>
      </c>
      <c r="G1273" s="1">
        <v>22.44</v>
      </c>
      <c r="H1273">
        <f t="shared" si="19"/>
        <v>2089.7999999999997</v>
      </c>
    </row>
    <row r="1274" spans="1:8" x14ac:dyDescent="0.25">
      <c r="A1274" s="1" t="s">
        <v>1287</v>
      </c>
      <c r="B1274" s="5">
        <v>45711</v>
      </c>
      <c r="C1274" s="1" t="s">
        <v>8</v>
      </c>
      <c r="D1274" s="1" t="s">
        <v>19</v>
      </c>
      <c r="E1274" s="1">
        <v>1</v>
      </c>
      <c r="F1274" s="1">
        <v>432</v>
      </c>
      <c r="G1274" s="1">
        <v>35.26</v>
      </c>
      <c r="H1274">
        <f t="shared" si="19"/>
        <v>432</v>
      </c>
    </row>
    <row r="1275" spans="1:8" x14ac:dyDescent="0.25">
      <c r="A1275" s="1" t="s">
        <v>1288</v>
      </c>
      <c r="B1275" s="5">
        <v>45711.041666666664</v>
      </c>
      <c r="C1275" s="1" t="s">
        <v>8</v>
      </c>
      <c r="D1275" s="1" t="s">
        <v>9</v>
      </c>
      <c r="E1275" s="1">
        <v>17</v>
      </c>
      <c r="F1275" s="1">
        <v>334.73</v>
      </c>
      <c r="G1275" s="1">
        <v>27</v>
      </c>
      <c r="H1275">
        <f t="shared" si="19"/>
        <v>5690.41</v>
      </c>
    </row>
    <row r="1276" spans="1:8" x14ac:dyDescent="0.25">
      <c r="A1276" s="1" t="s">
        <v>1289</v>
      </c>
      <c r="B1276" s="5">
        <v>45711.083333333336</v>
      </c>
      <c r="C1276" s="1" t="s">
        <v>8</v>
      </c>
      <c r="D1276" s="1" t="s">
        <v>16</v>
      </c>
      <c r="E1276" s="1">
        <v>19</v>
      </c>
      <c r="F1276" s="1">
        <v>340.39</v>
      </c>
      <c r="G1276" s="1">
        <v>9.02</v>
      </c>
      <c r="H1276">
        <f t="shared" si="19"/>
        <v>6467.41</v>
      </c>
    </row>
    <row r="1277" spans="1:8" x14ac:dyDescent="0.25">
      <c r="A1277" s="1" t="s">
        <v>1290</v>
      </c>
      <c r="B1277" s="5">
        <v>45711.125</v>
      </c>
      <c r="C1277" s="1" t="s">
        <v>11</v>
      </c>
      <c r="D1277" s="1" t="s">
        <v>9</v>
      </c>
      <c r="E1277" s="1">
        <v>6</v>
      </c>
      <c r="F1277" s="1">
        <v>125.14</v>
      </c>
      <c r="G1277" s="1">
        <v>22.43</v>
      </c>
      <c r="H1277">
        <f t="shared" si="19"/>
        <v>750.84</v>
      </c>
    </row>
    <row r="1278" spans="1:8" x14ac:dyDescent="0.25">
      <c r="A1278" s="1" t="s">
        <v>1291</v>
      </c>
      <c r="B1278" s="5">
        <v>45711.166666666664</v>
      </c>
      <c r="C1278" s="1" t="s">
        <v>13</v>
      </c>
      <c r="D1278" s="1" t="s">
        <v>37</v>
      </c>
      <c r="E1278" s="1">
        <v>3</v>
      </c>
      <c r="F1278" s="1">
        <v>195.69</v>
      </c>
      <c r="G1278" s="1">
        <v>9.25</v>
      </c>
      <c r="H1278">
        <f t="shared" si="19"/>
        <v>587.06999999999994</v>
      </c>
    </row>
    <row r="1279" spans="1:8" x14ac:dyDescent="0.25">
      <c r="A1279" s="1" t="s">
        <v>1292</v>
      </c>
      <c r="B1279" s="5">
        <v>45711.208333333336</v>
      </c>
      <c r="C1279" s="1" t="s">
        <v>8</v>
      </c>
      <c r="D1279" s="1" t="s">
        <v>16</v>
      </c>
      <c r="E1279" s="1">
        <v>5</v>
      </c>
      <c r="F1279" s="1">
        <v>51.28</v>
      </c>
      <c r="G1279" s="1">
        <v>13.58</v>
      </c>
      <c r="H1279">
        <f t="shared" si="19"/>
        <v>256.39999999999998</v>
      </c>
    </row>
    <row r="1280" spans="1:8" x14ac:dyDescent="0.25">
      <c r="A1280" s="1" t="s">
        <v>1293</v>
      </c>
      <c r="B1280" s="5">
        <v>45711.25</v>
      </c>
      <c r="C1280" s="1" t="s">
        <v>13</v>
      </c>
      <c r="D1280" s="1" t="s">
        <v>9</v>
      </c>
      <c r="E1280" s="1">
        <v>2</v>
      </c>
      <c r="F1280" s="1">
        <v>279.04000000000002</v>
      </c>
      <c r="G1280" s="1">
        <v>5.32</v>
      </c>
      <c r="H1280">
        <f t="shared" si="19"/>
        <v>558.08000000000004</v>
      </c>
    </row>
    <row r="1281" spans="1:8" x14ac:dyDescent="0.25">
      <c r="A1281" s="1" t="s">
        <v>1294</v>
      </c>
      <c r="B1281" s="5">
        <v>45711.291666666664</v>
      </c>
      <c r="C1281" s="1" t="s">
        <v>11</v>
      </c>
      <c r="D1281" s="1" t="s">
        <v>37</v>
      </c>
      <c r="E1281" s="1">
        <v>4</v>
      </c>
      <c r="F1281" s="1">
        <v>60.57</v>
      </c>
      <c r="G1281" s="1">
        <v>13.16</v>
      </c>
      <c r="H1281">
        <f t="shared" si="19"/>
        <v>242.28</v>
      </c>
    </row>
    <row r="1282" spans="1:8" x14ac:dyDescent="0.25">
      <c r="A1282" s="1" t="s">
        <v>1295</v>
      </c>
      <c r="B1282" s="5">
        <v>45711.333333333336</v>
      </c>
      <c r="C1282" s="1" t="s">
        <v>23</v>
      </c>
      <c r="D1282" s="1" t="s">
        <v>37</v>
      </c>
      <c r="E1282" s="1">
        <v>10</v>
      </c>
      <c r="F1282" s="1">
        <v>378.7</v>
      </c>
      <c r="G1282" s="1">
        <v>19.87</v>
      </c>
      <c r="H1282">
        <f t="shared" ref="H1282:H1345" si="20">E1282*F1282</f>
        <v>3787</v>
      </c>
    </row>
    <row r="1283" spans="1:8" x14ac:dyDescent="0.25">
      <c r="A1283" s="1" t="s">
        <v>1296</v>
      </c>
      <c r="B1283" s="5">
        <v>45711.375</v>
      </c>
      <c r="C1283" s="1" t="s">
        <v>8</v>
      </c>
      <c r="D1283" s="1" t="s">
        <v>19</v>
      </c>
      <c r="E1283" s="1">
        <v>10</v>
      </c>
      <c r="F1283" s="1">
        <v>369.42</v>
      </c>
      <c r="G1283" s="1">
        <v>29.22</v>
      </c>
      <c r="H1283">
        <f t="shared" si="20"/>
        <v>3694.2000000000003</v>
      </c>
    </row>
    <row r="1284" spans="1:8" x14ac:dyDescent="0.25">
      <c r="A1284" s="1" t="s">
        <v>1297</v>
      </c>
      <c r="B1284" s="5">
        <v>45711.416666666664</v>
      </c>
      <c r="C1284" s="1" t="s">
        <v>13</v>
      </c>
      <c r="D1284" s="1" t="s">
        <v>19</v>
      </c>
      <c r="E1284" s="1">
        <v>11</v>
      </c>
      <c r="F1284" s="1">
        <v>247.35</v>
      </c>
      <c r="G1284" s="1">
        <v>46.37</v>
      </c>
      <c r="H1284">
        <f t="shared" si="20"/>
        <v>2720.85</v>
      </c>
    </row>
    <row r="1285" spans="1:8" x14ac:dyDescent="0.25">
      <c r="A1285" s="1" t="s">
        <v>1298</v>
      </c>
      <c r="B1285" s="5">
        <v>45711.458333333336</v>
      </c>
      <c r="C1285" s="1" t="s">
        <v>13</v>
      </c>
      <c r="D1285" s="1" t="s">
        <v>19</v>
      </c>
      <c r="E1285" s="1">
        <v>16</v>
      </c>
      <c r="F1285" s="1">
        <v>76.84</v>
      </c>
      <c r="G1285" s="1">
        <v>29.31</v>
      </c>
      <c r="H1285">
        <f t="shared" si="20"/>
        <v>1229.44</v>
      </c>
    </row>
    <row r="1286" spans="1:8" x14ac:dyDescent="0.25">
      <c r="A1286" s="1" t="s">
        <v>1299</v>
      </c>
      <c r="B1286" s="5">
        <v>45711.5</v>
      </c>
      <c r="C1286" s="1" t="s">
        <v>8</v>
      </c>
      <c r="D1286" s="1" t="s">
        <v>37</v>
      </c>
      <c r="E1286" s="1">
        <v>17</v>
      </c>
      <c r="F1286" s="1">
        <v>26.61</v>
      </c>
      <c r="G1286" s="1">
        <v>36.75</v>
      </c>
      <c r="H1286">
        <f t="shared" si="20"/>
        <v>452.37</v>
      </c>
    </row>
    <row r="1287" spans="1:8" x14ac:dyDescent="0.25">
      <c r="A1287" s="1" t="s">
        <v>1300</v>
      </c>
      <c r="B1287" s="5">
        <v>45711.541666666664</v>
      </c>
      <c r="C1287" s="1" t="s">
        <v>23</v>
      </c>
      <c r="D1287" s="1" t="s">
        <v>9</v>
      </c>
      <c r="E1287" s="1">
        <v>16</v>
      </c>
      <c r="F1287" s="1">
        <v>361.67</v>
      </c>
      <c r="G1287" s="1">
        <v>21.1</v>
      </c>
      <c r="H1287">
        <f t="shared" si="20"/>
        <v>5786.72</v>
      </c>
    </row>
    <row r="1288" spans="1:8" x14ac:dyDescent="0.25">
      <c r="A1288" s="1" t="s">
        <v>1301</v>
      </c>
      <c r="B1288" s="5">
        <v>45711.583333333336</v>
      </c>
      <c r="C1288" s="1" t="s">
        <v>23</v>
      </c>
      <c r="D1288" s="1" t="s">
        <v>19</v>
      </c>
      <c r="E1288" s="1">
        <v>7</v>
      </c>
      <c r="F1288" s="1">
        <v>276.26</v>
      </c>
      <c r="G1288" s="1">
        <v>38.82</v>
      </c>
      <c r="H1288">
        <f t="shared" si="20"/>
        <v>1933.82</v>
      </c>
    </row>
    <row r="1289" spans="1:8" x14ac:dyDescent="0.25">
      <c r="A1289" s="1" t="s">
        <v>1302</v>
      </c>
      <c r="B1289" s="5">
        <v>45711.625</v>
      </c>
      <c r="C1289" s="1" t="s">
        <v>23</v>
      </c>
      <c r="D1289" s="1" t="s">
        <v>9</v>
      </c>
      <c r="E1289" s="1">
        <v>16</v>
      </c>
      <c r="F1289" s="1">
        <v>324.39999999999998</v>
      </c>
      <c r="G1289" s="1">
        <v>32.92</v>
      </c>
      <c r="H1289">
        <f t="shared" si="20"/>
        <v>5190.3999999999996</v>
      </c>
    </row>
    <row r="1290" spans="1:8" x14ac:dyDescent="0.25">
      <c r="A1290" s="1" t="s">
        <v>1303</v>
      </c>
      <c r="B1290" s="5">
        <v>45711.666666666664</v>
      </c>
      <c r="C1290" s="1" t="s">
        <v>11</v>
      </c>
      <c r="D1290" s="1" t="s">
        <v>19</v>
      </c>
      <c r="E1290" s="1">
        <v>3</v>
      </c>
      <c r="F1290" s="1">
        <v>147.5</v>
      </c>
      <c r="G1290" s="1">
        <v>25.69</v>
      </c>
      <c r="H1290">
        <f t="shared" si="20"/>
        <v>442.5</v>
      </c>
    </row>
    <row r="1291" spans="1:8" x14ac:dyDescent="0.25">
      <c r="A1291" s="1" t="s">
        <v>1304</v>
      </c>
      <c r="B1291" s="5">
        <v>45711.708333333336</v>
      </c>
      <c r="C1291" s="1" t="s">
        <v>13</v>
      </c>
      <c r="D1291" s="1" t="s">
        <v>16</v>
      </c>
      <c r="E1291" s="1">
        <v>16</v>
      </c>
      <c r="F1291" s="1">
        <v>236.87</v>
      </c>
      <c r="G1291" s="1">
        <v>13.72</v>
      </c>
      <c r="H1291">
        <f t="shared" si="20"/>
        <v>3789.92</v>
      </c>
    </row>
    <row r="1292" spans="1:8" x14ac:dyDescent="0.25">
      <c r="A1292" s="1" t="s">
        <v>1305</v>
      </c>
      <c r="B1292" s="5">
        <v>45711.75</v>
      </c>
      <c r="C1292" s="1" t="s">
        <v>13</v>
      </c>
      <c r="D1292" s="1" t="s">
        <v>16</v>
      </c>
      <c r="E1292" s="1">
        <v>8</v>
      </c>
      <c r="F1292" s="1">
        <v>340.15</v>
      </c>
      <c r="G1292" s="1">
        <v>18.66</v>
      </c>
      <c r="H1292">
        <f t="shared" si="20"/>
        <v>2721.2</v>
      </c>
    </row>
    <row r="1293" spans="1:8" x14ac:dyDescent="0.25">
      <c r="A1293" s="1" t="s">
        <v>1306</v>
      </c>
      <c r="B1293" s="5">
        <v>45711.791666666664</v>
      </c>
      <c r="C1293" s="1" t="s">
        <v>13</v>
      </c>
      <c r="D1293" s="1" t="s">
        <v>19</v>
      </c>
      <c r="E1293" s="1">
        <v>12</v>
      </c>
      <c r="F1293" s="1">
        <v>216.48</v>
      </c>
      <c r="G1293" s="1">
        <v>32.94</v>
      </c>
      <c r="H1293">
        <f t="shared" si="20"/>
        <v>2597.7599999999998</v>
      </c>
    </row>
    <row r="1294" spans="1:8" x14ac:dyDescent="0.25">
      <c r="A1294" s="1" t="s">
        <v>1307</v>
      </c>
      <c r="B1294" s="5">
        <v>45711.833333333336</v>
      </c>
      <c r="C1294" s="1" t="s">
        <v>11</v>
      </c>
      <c r="D1294" s="1" t="s">
        <v>37</v>
      </c>
      <c r="E1294" s="1">
        <v>3</v>
      </c>
      <c r="F1294" s="1">
        <v>276.8</v>
      </c>
      <c r="G1294" s="1">
        <v>24.17</v>
      </c>
      <c r="H1294">
        <f t="shared" si="20"/>
        <v>830.40000000000009</v>
      </c>
    </row>
    <row r="1295" spans="1:8" x14ac:dyDescent="0.25">
      <c r="A1295" s="1" t="s">
        <v>1308</v>
      </c>
      <c r="B1295" s="5">
        <v>45711.875</v>
      </c>
      <c r="C1295" s="1" t="s">
        <v>13</v>
      </c>
      <c r="D1295" s="1" t="s">
        <v>19</v>
      </c>
      <c r="E1295" s="1">
        <v>17</v>
      </c>
      <c r="F1295" s="1">
        <v>358.64</v>
      </c>
      <c r="G1295" s="1">
        <v>45.02</v>
      </c>
      <c r="H1295">
        <f t="shared" si="20"/>
        <v>6096.88</v>
      </c>
    </row>
    <row r="1296" spans="1:8" x14ac:dyDescent="0.25">
      <c r="A1296" s="1" t="s">
        <v>1309</v>
      </c>
      <c r="B1296" s="5">
        <v>45711.916666666664</v>
      </c>
      <c r="C1296" s="1" t="s">
        <v>11</v>
      </c>
      <c r="D1296" s="1" t="s">
        <v>19</v>
      </c>
      <c r="E1296" s="1">
        <v>18</v>
      </c>
      <c r="F1296" s="1">
        <v>109.01</v>
      </c>
      <c r="G1296" s="1">
        <v>15.57</v>
      </c>
      <c r="H1296">
        <f t="shared" si="20"/>
        <v>1962.18</v>
      </c>
    </row>
    <row r="1297" spans="1:8" x14ac:dyDescent="0.25">
      <c r="A1297" s="1" t="s">
        <v>1310</v>
      </c>
      <c r="B1297" s="5">
        <v>45711.958333333336</v>
      </c>
      <c r="C1297" s="1" t="s">
        <v>23</v>
      </c>
      <c r="D1297" s="1" t="s">
        <v>37</v>
      </c>
      <c r="E1297" s="1">
        <v>11</v>
      </c>
      <c r="F1297" s="1">
        <v>44.15</v>
      </c>
      <c r="G1297" s="1">
        <v>8.2899999999999991</v>
      </c>
      <c r="H1297">
        <f t="shared" si="20"/>
        <v>485.65</v>
      </c>
    </row>
    <row r="1298" spans="1:8" x14ac:dyDescent="0.25">
      <c r="A1298" s="1" t="s">
        <v>1311</v>
      </c>
      <c r="B1298" s="5">
        <v>45712</v>
      </c>
      <c r="C1298" s="1" t="s">
        <v>8</v>
      </c>
      <c r="D1298" s="1" t="s">
        <v>16</v>
      </c>
      <c r="E1298" s="1">
        <v>4</v>
      </c>
      <c r="F1298" s="1">
        <v>246.58</v>
      </c>
      <c r="G1298" s="1">
        <v>31.52</v>
      </c>
      <c r="H1298">
        <f t="shared" si="20"/>
        <v>986.32</v>
      </c>
    </row>
    <row r="1299" spans="1:8" x14ac:dyDescent="0.25">
      <c r="A1299" s="1" t="s">
        <v>1312</v>
      </c>
      <c r="B1299" s="5">
        <v>45712.041666666664</v>
      </c>
      <c r="C1299" s="1" t="s">
        <v>13</v>
      </c>
      <c r="D1299" s="1" t="s">
        <v>9</v>
      </c>
      <c r="E1299" s="1">
        <v>16</v>
      </c>
      <c r="F1299" s="1">
        <v>42.49</v>
      </c>
      <c r="G1299" s="1">
        <v>44.87</v>
      </c>
      <c r="H1299">
        <f t="shared" si="20"/>
        <v>679.84</v>
      </c>
    </row>
    <row r="1300" spans="1:8" x14ac:dyDescent="0.25">
      <c r="A1300" s="1" t="s">
        <v>1313</v>
      </c>
      <c r="B1300" s="5">
        <v>45712.083333333336</v>
      </c>
      <c r="C1300" s="1" t="s">
        <v>13</v>
      </c>
      <c r="D1300" s="1" t="s">
        <v>19</v>
      </c>
      <c r="E1300" s="1">
        <v>17</v>
      </c>
      <c r="F1300" s="1">
        <v>348.57</v>
      </c>
      <c r="G1300" s="1">
        <v>21.41</v>
      </c>
      <c r="H1300">
        <f t="shared" si="20"/>
        <v>5925.69</v>
      </c>
    </row>
    <row r="1301" spans="1:8" x14ac:dyDescent="0.25">
      <c r="A1301" s="1" t="s">
        <v>1314</v>
      </c>
      <c r="B1301" s="5">
        <v>45712.125</v>
      </c>
      <c r="C1301" s="1" t="s">
        <v>23</v>
      </c>
      <c r="D1301" s="1" t="s">
        <v>37</v>
      </c>
      <c r="E1301" s="1">
        <v>9</v>
      </c>
      <c r="F1301" s="1">
        <v>328</v>
      </c>
      <c r="G1301" s="1">
        <v>34.15</v>
      </c>
      <c r="H1301">
        <f t="shared" si="20"/>
        <v>2952</v>
      </c>
    </row>
    <row r="1302" spans="1:8" x14ac:dyDescent="0.25">
      <c r="A1302" s="1" t="s">
        <v>1315</v>
      </c>
      <c r="B1302" s="5">
        <v>45712.166666666664</v>
      </c>
      <c r="C1302" s="1" t="s">
        <v>8</v>
      </c>
      <c r="D1302" s="1" t="s">
        <v>19</v>
      </c>
      <c r="E1302" s="1">
        <v>6</v>
      </c>
      <c r="F1302" s="1">
        <v>398.6</v>
      </c>
      <c r="G1302" s="1">
        <v>15.41</v>
      </c>
      <c r="H1302">
        <f t="shared" si="20"/>
        <v>2391.6000000000004</v>
      </c>
    </row>
    <row r="1303" spans="1:8" x14ac:dyDescent="0.25">
      <c r="A1303" s="1" t="s">
        <v>1316</v>
      </c>
      <c r="B1303" s="5">
        <v>45712.208333333336</v>
      </c>
      <c r="C1303" s="1" t="s">
        <v>11</v>
      </c>
      <c r="D1303" s="1" t="s">
        <v>37</v>
      </c>
      <c r="E1303" s="1">
        <v>2</v>
      </c>
      <c r="F1303" s="1">
        <v>293.39</v>
      </c>
      <c r="G1303" s="1">
        <v>30.13</v>
      </c>
      <c r="H1303">
        <f t="shared" si="20"/>
        <v>586.78</v>
      </c>
    </row>
    <row r="1304" spans="1:8" x14ac:dyDescent="0.25">
      <c r="A1304" s="1" t="s">
        <v>1317</v>
      </c>
      <c r="B1304" s="5">
        <v>45712.25</v>
      </c>
      <c r="C1304" s="1" t="s">
        <v>8</v>
      </c>
      <c r="D1304" s="1" t="s">
        <v>9</v>
      </c>
      <c r="E1304" s="1">
        <v>9</v>
      </c>
      <c r="F1304" s="1">
        <v>44.7</v>
      </c>
      <c r="G1304" s="1">
        <v>40.409999999999997</v>
      </c>
      <c r="H1304">
        <f t="shared" si="20"/>
        <v>402.3</v>
      </c>
    </row>
    <row r="1305" spans="1:8" x14ac:dyDescent="0.25">
      <c r="A1305" s="1" t="s">
        <v>1318</v>
      </c>
      <c r="B1305" s="5">
        <v>45712.291666666664</v>
      </c>
      <c r="C1305" s="1" t="s">
        <v>23</v>
      </c>
      <c r="D1305" s="1" t="s">
        <v>9</v>
      </c>
      <c r="E1305" s="1">
        <v>6</v>
      </c>
      <c r="F1305" s="1">
        <v>125.49</v>
      </c>
      <c r="G1305" s="1">
        <v>44.02</v>
      </c>
      <c r="H1305">
        <f t="shared" si="20"/>
        <v>752.93999999999994</v>
      </c>
    </row>
    <row r="1306" spans="1:8" x14ac:dyDescent="0.25">
      <c r="A1306" s="1" t="s">
        <v>1319</v>
      </c>
      <c r="B1306" s="5">
        <v>45712.333333333336</v>
      </c>
      <c r="C1306" s="1" t="s">
        <v>23</v>
      </c>
      <c r="D1306" s="1" t="s">
        <v>16</v>
      </c>
      <c r="E1306" s="1">
        <v>3</v>
      </c>
      <c r="F1306" s="1">
        <v>366.55</v>
      </c>
      <c r="G1306" s="1">
        <v>9.73</v>
      </c>
      <c r="H1306">
        <f t="shared" si="20"/>
        <v>1099.6500000000001</v>
      </c>
    </row>
    <row r="1307" spans="1:8" x14ac:dyDescent="0.25">
      <c r="A1307" s="1" t="s">
        <v>1320</v>
      </c>
      <c r="B1307" s="5">
        <v>45712.375</v>
      </c>
      <c r="C1307" s="1" t="s">
        <v>8</v>
      </c>
      <c r="D1307" s="1" t="s">
        <v>37</v>
      </c>
      <c r="E1307" s="1">
        <v>6</v>
      </c>
      <c r="F1307" s="1">
        <v>88.12</v>
      </c>
      <c r="G1307" s="1">
        <v>21.04</v>
      </c>
      <c r="H1307">
        <f t="shared" si="20"/>
        <v>528.72</v>
      </c>
    </row>
    <row r="1308" spans="1:8" x14ac:dyDescent="0.25">
      <c r="A1308" s="1" t="s">
        <v>1321</v>
      </c>
      <c r="B1308" s="5">
        <v>45712.416666666664</v>
      </c>
      <c r="C1308" s="1" t="s">
        <v>11</v>
      </c>
      <c r="D1308" s="1" t="s">
        <v>37</v>
      </c>
      <c r="E1308" s="1">
        <v>7</v>
      </c>
      <c r="F1308" s="1">
        <v>318.99</v>
      </c>
      <c r="G1308" s="1">
        <v>33.78</v>
      </c>
      <c r="H1308">
        <f t="shared" si="20"/>
        <v>2232.9300000000003</v>
      </c>
    </row>
    <row r="1309" spans="1:8" x14ac:dyDescent="0.25">
      <c r="A1309" s="1" t="s">
        <v>1322</v>
      </c>
      <c r="B1309" s="5">
        <v>45712.458333333336</v>
      </c>
      <c r="C1309" s="1" t="s">
        <v>11</v>
      </c>
      <c r="D1309" s="1" t="s">
        <v>16</v>
      </c>
      <c r="E1309" s="1">
        <v>1</v>
      </c>
      <c r="F1309" s="1">
        <v>354.52</v>
      </c>
      <c r="G1309" s="1">
        <v>6.56</v>
      </c>
      <c r="H1309">
        <f t="shared" si="20"/>
        <v>354.52</v>
      </c>
    </row>
    <row r="1310" spans="1:8" x14ac:dyDescent="0.25">
      <c r="A1310" s="1" t="s">
        <v>1323</v>
      </c>
      <c r="B1310" s="5">
        <v>45712.5</v>
      </c>
      <c r="C1310" s="1" t="s">
        <v>13</v>
      </c>
      <c r="D1310" s="1" t="s">
        <v>16</v>
      </c>
      <c r="E1310" s="1">
        <v>1</v>
      </c>
      <c r="F1310" s="1">
        <v>158.93</v>
      </c>
      <c r="G1310" s="1">
        <v>36.08</v>
      </c>
      <c r="H1310">
        <f t="shared" si="20"/>
        <v>158.93</v>
      </c>
    </row>
    <row r="1311" spans="1:8" x14ac:dyDescent="0.25">
      <c r="A1311" s="1" t="s">
        <v>1324</v>
      </c>
      <c r="B1311" s="5">
        <v>45712.541666666664</v>
      </c>
      <c r="C1311" s="1" t="s">
        <v>11</v>
      </c>
      <c r="D1311" s="1" t="s">
        <v>37</v>
      </c>
      <c r="E1311" s="1">
        <v>5</v>
      </c>
      <c r="F1311" s="1">
        <v>155.54</v>
      </c>
      <c r="G1311" s="1">
        <v>28.76</v>
      </c>
      <c r="H1311">
        <f t="shared" si="20"/>
        <v>777.69999999999993</v>
      </c>
    </row>
    <row r="1312" spans="1:8" x14ac:dyDescent="0.25">
      <c r="A1312" s="1" t="s">
        <v>1325</v>
      </c>
      <c r="B1312" s="5">
        <v>45712.583333333336</v>
      </c>
      <c r="C1312" s="1" t="s">
        <v>8</v>
      </c>
      <c r="D1312" s="1" t="s">
        <v>16</v>
      </c>
      <c r="E1312" s="1">
        <v>6</v>
      </c>
      <c r="F1312" s="1">
        <v>257.87</v>
      </c>
      <c r="G1312" s="1">
        <v>17.989999999999998</v>
      </c>
      <c r="H1312">
        <f t="shared" si="20"/>
        <v>1547.22</v>
      </c>
    </row>
    <row r="1313" spans="1:8" x14ac:dyDescent="0.25">
      <c r="A1313" s="1" t="s">
        <v>1326</v>
      </c>
      <c r="B1313" s="5">
        <v>45712.625</v>
      </c>
      <c r="C1313" s="1" t="s">
        <v>23</v>
      </c>
      <c r="D1313" s="1" t="s">
        <v>9</v>
      </c>
      <c r="E1313" s="1">
        <v>13</v>
      </c>
      <c r="F1313" s="1">
        <v>389.73</v>
      </c>
      <c r="G1313" s="1">
        <v>41.66</v>
      </c>
      <c r="H1313">
        <f t="shared" si="20"/>
        <v>5066.49</v>
      </c>
    </row>
    <row r="1314" spans="1:8" x14ac:dyDescent="0.25">
      <c r="A1314" s="1" t="s">
        <v>1327</v>
      </c>
      <c r="B1314" s="5">
        <v>45712.666666666664</v>
      </c>
      <c r="C1314" s="1" t="s">
        <v>13</v>
      </c>
      <c r="D1314" s="1" t="s">
        <v>19</v>
      </c>
      <c r="E1314" s="1">
        <v>2</v>
      </c>
      <c r="F1314" s="1">
        <v>112.79</v>
      </c>
      <c r="G1314" s="1">
        <v>18.05</v>
      </c>
      <c r="H1314">
        <f t="shared" si="20"/>
        <v>225.58</v>
      </c>
    </row>
    <row r="1315" spans="1:8" x14ac:dyDescent="0.25">
      <c r="A1315" s="1" t="s">
        <v>1328</v>
      </c>
      <c r="B1315" s="5">
        <v>45712.708333333336</v>
      </c>
      <c r="C1315" s="1" t="s">
        <v>13</v>
      </c>
      <c r="D1315" s="1" t="s">
        <v>9</v>
      </c>
      <c r="E1315" s="1">
        <v>15</v>
      </c>
      <c r="F1315" s="1">
        <v>424.48</v>
      </c>
      <c r="G1315" s="1">
        <v>49.61</v>
      </c>
      <c r="H1315">
        <f t="shared" si="20"/>
        <v>6367.2000000000007</v>
      </c>
    </row>
    <row r="1316" spans="1:8" x14ac:dyDescent="0.25">
      <c r="A1316" s="1" t="s">
        <v>1329</v>
      </c>
      <c r="B1316" s="5">
        <v>45712.75</v>
      </c>
      <c r="C1316" s="1" t="s">
        <v>23</v>
      </c>
      <c r="D1316" s="1" t="s">
        <v>16</v>
      </c>
      <c r="E1316" s="1">
        <v>15</v>
      </c>
      <c r="F1316" s="1">
        <v>275.82</v>
      </c>
      <c r="G1316" s="1">
        <v>41.74</v>
      </c>
      <c r="H1316">
        <f t="shared" si="20"/>
        <v>4137.3</v>
      </c>
    </row>
    <row r="1317" spans="1:8" x14ac:dyDescent="0.25">
      <c r="A1317" s="1" t="s">
        <v>1330</v>
      </c>
      <c r="B1317" s="5">
        <v>45712.791666666664</v>
      </c>
      <c r="C1317" s="1" t="s">
        <v>11</v>
      </c>
      <c r="D1317" s="1" t="s">
        <v>37</v>
      </c>
      <c r="E1317" s="1">
        <v>13</v>
      </c>
      <c r="F1317" s="1">
        <v>446.58</v>
      </c>
      <c r="G1317" s="1">
        <v>36.86</v>
      </c>
      <c r="H1317">
        <f t="shared" si="20"/>
        <v>5805.54</v>
      </c>
    </row>
    <row r="1318" spans="1:8" x14ac:dyDescent="0.25">
      <c r="A1318" s="1" t="s">
        <v>1331</v>
      </c>
      <c r="B1318" s="5">
        <v>45712.833333333336</v>
      </c>
      <c r="C1318" s="1" t="s">
        <v>23</v>
      </c>
      <c r="D1318" s="1" t="s">
        <v>37</v>
      </c>
      <c r="E1318" s="1">
        <v>14</v>
      </c>
      <c r="F1318" s="1">
        <v>54.44</v>
      </c>
      <c r="G1318" s="1">
        <v>7.76</v>
      </c>
      <c r="H1318">
        <f t="shared" si="20"/>
        <v>762.16</v>
      </c>
    </row>
    <row r="1319" spans="1:8" x14ac:dyDescent="0.25">
      <c r="A1319" s="1" t="s">
        <v>1332</v>
      </c>
      <c r="B1319" s="5">
        <v>45712.875</v>
      </c>
      <c r="C1319" s="1" t="s">
        <v>11</v>
      </c>
      <c r="D1319" s="1" t="s">
        <v>9</v>
      </c>
      <c r="E1319" s="1">
        <v>7</v>
      </c>
      <c r="F1319" s="1">
        <v>70.489999999999995</v>
      </c>
      <c r="G1319" s="1">
        <v>45.69</v>
      </c>
      <c r="H1319">
        <f t="shared" si="20"/>
        <v>493.42999999999995</v>
      </c>
    </row>
    <row r="1320" spans="1:8" x14ac:dyDescent="0.25">
      <c r="A1320" s="1" t="s">
        <v>1333</v>
      </c>
      <c r="B1320" s="5">
        <v>45712.916666666664</v>
      </c>
      <c r="C1320" s="1" t="s">
        <v>23</v>
      </c>
      <c r="D1320" s="1" t="s">
        <v>37</v>
      </c>
      <c r="E1320" s="1">
        <v>14</v>
      </c>
      <c r="F1320" s="1">
        <v>374.68</v>
      </c>
      <c r="G1320" s="1">
        <v>40.549999999999997</v>
      </c>
      <c r="H1320">
        <f t="shared" si="20"/>
        <v>5245.52</v>
      </c>
    </row>
    <row r="1321" spans="1:8" x14ac:dyDescent="0.25">
      <c r="A1321" s="1" t="s">
        <v>1334</v>
      </c>
      <c r="B1321" s="5">
        <v>45712.958333333336</v>
      </c>
      <c r="C1321" s="1" t="s">
        <v>8</v>
      </c>
      <c r="D1321" s="1" t="s">
        <v>16</v>
      </c>
      <c r="E1321" s="1">
        <v>10</v>
      </c>
      <c r="F1321" s="1">
        <v>391.24</v>
      </c>
      <c r="G1321" s="1">
        <v>15.31</v>
      </c>
      <c r="H1321">
        <f t="shared" si="20"/>
        <v>3912.4</v>
      </c>
    </row>
    <row r="1322" spans="1:8" x14ac:dyDescent="0.25">
      <c r="A1322" s="1" t="s">
        <v>1335</v>
      </c>
      <c r="B1322" s="5">
        <v>45713</v>
      </c>
      <c r="C1322" s="1" t="s">
        <v>11</v>
      </c>
      <c r="D1322" s="1" t="s">
        <v>9</v>
      </c>
      <c r="E1322" s="1">
        <v>17</v>
      </c>
      <c r="F1322" s="1">
        <v>209.05</v>
      </c>
      <c r="G1322" s="1">
        <v>22.65</v>
      </c>
      <c r="H1322">
        <f t="shared" si="20"/>
        <v>3553.8500000000004</v>
      </c>
    </row>
    <row r="1323" spans="1:8" x14ac:dyDescent="0.25">
      <c r="A1323" s="1" t="s">
        <v>1336</v>
      </c>
      <c r="B1323" s="5">
        <v>45713.041666666664</v>
      </c>
      <c r="C1323" s="1" t="s">
        <v>8</v>
      </c>
      <c r="D1323" s="1" t="s">
        <v>37</v>
      </c>
      <c r="E1323" s="1">
        <v>14</v>
      </c>
      <c r="F1323" s="1">
        <v>325.76</v>
      </c>
      <c r="G1323" s="1">
        <v>17.09</v>
      </c>
      <c r="H1323">
        <f t="shared" si="20"/>
        <v>4560.6399999999994</v>
      </c>
    </row>
    <row r="1324" spans="1:8" x14ac:dyDescent="0.25">
      <c r="A1324" s="1" t="s">
        <v>1337</v>
      </c>
      <c r="B1324" s="5">
        <v>45713.083333333336</v>
      </c>
      <c r="C1324" s="1" t="s">
        <v>13</v>
      </c>
      <c r="D1324" s="1" t="s">
        <v>19</v>
      </c>
      <c r="E1324" s="1">
        <v>8</v>
      </c>
      <c r="F1324" s="1">
        <v>392.45</v>
      </c>
      <c r="G1324" s="1">
        <v>49.3</v>
      </c>
      <c r="H1324">
        <f t="shared" si="20"/>
        <v>3139.6</v>
      </c>
    </row>
    <row r="1325" spans="1:8" x14ac:dyDescent="0.25">
      <c r="A1325" s="1" t="s">
        <v>1338</v>
      </c>
      <c r="B1325" s="5">
        <v>45713.125</v>
      </c>
      <c r="C1325" s="1" t="s">
        <v>23</v>
      </c>
      <c r="D1325" s="1" t="s">
        <v>19</v>
      </c>
      <c r="E1325" s="1">
        <v>4</v>
      </c>
      <c r="F1325" s="1">
        <v>34.24</v>
      </c>
      <c r="G1325" s="1">
        <v>43.44</v>
      </c>
      <c r="H1325">
        <f t="shared" si="20"/>
        <v>136.96</v>
      </c>
    </row>
    <row r="1326" spans="1:8" x14ac:dyDescent="0.25">
      <c r="A1326" s="1" t="s">
        <v>1339</v>
      </c>
      <c r="B1326" s="5">
        <v>45713.166666666664</v>
      </c>
      <c r="C1326" s="1" t="s">
        <v>13</v>
      </c>
      <c r="D1326" s="1" t="s">
        <v>16</v>
      </c>
      <c r="E1326" s="1">
        <v>16</v>
      </c>
      <c r="F1326" s="1">
        <v>264.88</v>
      </c>
      <c r="G1326" s="1">
        <v>46.86</v>
      </c>
      <c r="H1326">
        <f t="shared" si="20"/>
        <v>4238.08</v>
      </c>
    </row>
    <row r="1327" spans="1:8" x14ac:dyDescent="0.25">
      <c r="A1327" s="1" t="s">
        <v>1340</v>
      </c>
      <c r="B1327" s="5">
        <v>45713.208333333336</v>
      </c>
      <c r="C1327" s="1" t="s">
        <v>13</v>
      </c>
      <c r="D1327" s="1" t="s">
        <v>37</v>
      </c>
      <c r="E1327" s="1">
        <v>13</v>
      </c>
      <c r="F1327" s="1">
        <v>386.34</v>
      </c>
      <c r="G1327" s="1">
        <v>40.49</v>
      </c>
      <c r="H1327">
        <f t="shared" si="20"/>
        <v>5022.42</v>
      </c>
    </row>
    <row r="1328" spans="1:8" x14ac:dyDescent="0.25">
      <c r="A1328" s="1" t="s">
        <v>1341</v>
      </c>
      <c r="B1328" s="5">
        <v>45713.25</v>
      </c>
      <c r="C1328" s="1" t="s">
        <v>13</v>
      </c>
      <c r="D1328" s="1" t="s">
        <v>16</v>
      </c>
      <c r="E1328" s="1">
        <v>18</v>
      </c>
      <c r="F1328" s="1">
        <v>188.5</v>
      </c>
      <c r="G1328" s="1">
        <v>25.54</v>
      </c>
      <c r="H1328">
        <f t="shared" si="20"/>
        <v>3393</v>
      </c>
    </row>
    <row r="1329" spans="1:8" x14ac:dyDescent="0.25">
      <c r="A1329" s="1" t="s">
        <v>1342</v>
      </c>
      <c r="B1329" s="5">
        <v>45713.291666666664</v>
      </c>
      <c r="C1329" s="1" t="s">
        <v>13</v>
      </c>
      <c r="D1329" s="1" t="s">
        <v>9</v>
      </c>
      <c r="E1329" s="1">
        <v>14</v>
      </c>
      <c r="F1329" s="1">
        <v>146.88999999999999</v>
      </c>
      <c r="G1329" s="1">
        <v>14.24</v>
      </c>
      <c r="H1329">
        <f t="shared" si="20"/>
        <v>2056.46</v>
      </c>
    </row>
    <row r="1330" spans="1:8" x14ac:dyDescent="0.25">
      <c r="A1330" s="1" t="s">
        <v>1343</v>
      </c>
      <c r="B1330" s="5">
        <v>45713.333333333336</v>
      </c>
      <c r="C1330" s="1" t="s">
        <v>23</v>
      </c>
      <c r="D1330" s="1" t="s">
        <v>19</v>
      </c>
      <c r="E1330" s="1">
        <v>18</v>
      </c>
      <c r="F1330" s="1">
        <v>361.23</v>
      </c>
      <c r="G1330" s="1">
        <v>14.36</v>
      </c>
      <c r="H1330">
        <f t="shared" si="20"/>
        <v>6502.14</v>
      </c>
    </row>
    <row r="1331" spans="1:8" x14ac:dyDescent="0.25">
      <c r="A1331" s="1" t="s">
        <v>1344</v>
      </c>
      <c r="B1331" s="5">
        <v>45713.375</v>
      </c>
      <c r="C1331" s="1" t="s">
        <v>13</v>
      </c>
      <c r="D1331" s="1" t="s">
        <v>9</v>
      </c>
      <c r="E1331" s="1">
        <v>5</v>
      </c>
      <c r="F1331" s="1">
        <v>161.4</v>
      </c>
      <c r="G1331" s="1">
        <v>11.83</v>
      </c>
      <c r="H1331">
        <f t="shared" si="20"/>
        <v>807</v>
      </c>
    </row>
    <row r="1332" spans="1:8" x14ac:dyDescent="0.25">
      <c r="A1332" s="1" t="s">
        <v>1345</v>
      </c>
      <c r="B1332" s="5">
        <v>45713.416666666664</v>
      </c>
      <c r="C1332" s="1" t="s">
        <v>23</v>
      </c>
      <c r="D1332" s="1" t="s">
        <v>37</v>
      </c>
      <c r="E1332" s="1">
        <v>9</v>
      </c>
      <c r="F1332" s="1">
        <v>16.88</v>
      </c>
      <c r="G1332" s="1">
        <v>29.6</v>
      </c>
      <c r="H1332">
        <f t="shared" si="20"/>
        <v>151.91999999999999</v>
      </c>
    </row>
    <row r="1333" spans="1:8" x14ac:dyDescent="0.25">
      <c r="A1333" s="1" t="s">
        <v>1346</v>
      </c>
      <c r="B1333" s="5">
        <v>45713.458333333336</v>
      </c>
      <c r="C1333" s="1" t="s">
        <v>23</v>
      </c>
      <c r="D1333" s="1" t="s">
        <v>16</v>
      </c>
      <c r="E1333" s="1">
        <v>3</v>
      </c>
      <c r="F1333" s="1">
        <v>432.43</v>
      </c>
      <c r="G1333" s="1">
        <v>46.4</v>
      </c>
      <c r="H1333">
        <f t="shared" si="20"/>
        <v>1297.29</v>
      </c>
    </row>
    <row r="1334" spans="1:8" x14ac:dyDescent="0.25">
      <c r="A1334" s="1" t="s">
        <v>1347</v>
      </c>
      <c r="B1334" s="5">
        <v>45713.5</v>
      </c>
      <c r="C1334" s="1" t="s">
        <v>8</v>
      </c>
      <c r="D1334" s="1" t="s">
        <v>16</v>
      </c>
      <c r="E1334" s="1">
        <v>8</v>
      </c>
      <c r="F1334" s="1">
        <v>272.77999999999997</v>
      </c>
      <c r="G1334" s="1">
        <v>49.63</v>
      </c>
      <c r="H1334">
        <f t="shared" si="20"/>
        <v>2182.2399999999998</v>
      </c>
    </row>
    <row r="1335" spans="1:8" x14ac:dyDescent="0.25">
      <c r="A1335" s="1" t="s">
        <v>1348</v>
      </c>
      <c r="B1335" s="5">
        <v>45713.541666666664</v>
      </c>
      <c r="C1335" s="1" t="s">
        <v>11</v>
      </c>
      <c r="D1335" s="1" t="s">
        <v>16</v>
      </c>
      <c r="E1335" s="1">
        <v>10</v>
      </c>
      <c r="F1335" s="1">
        <v>371.58</v>
      </c>
      <c r="G1335" s="1">
        <v>17.93</v>
      </c>
      <c r="H1335">
        <f t="shared" si="20"/>
        <v>3715.7999999999997</v>
      </c>
    </row>
    <row r="1336" spans="1:8" x14ac:dyDescent="0.25">
      <c r="A1336" s="1" t="s">
        <v>1349</v>
      </c>
      <c r="B1336" s="5">
        <v>45713.583333333336</v>
      </c>
      <c r="C1336" s="1" t="s">
        <v>11</v>
      </c>
      <c r="D1336" s="1" t="s">
        <v>9</v>
      </c>
      <c r="E1336" s="1">
        <v>19</v>
      </c>
      <c r="F1336" s="1">
        <v>374.09</v>
      </c>
      <c r="G1336" s="1">
        <v>36.380000000000003</v>
      </c>
      <c r="H1336">
        <f t="shared" si="20"/>
        <v>7107.7099999999991</v>
      </c>
    </row>
    <row r="1337" spans="1:8" x14ac:dyDescent="0.25">
      <c r="A1337" s="1" t="s">
        <v>1350</v>
      </c>
      <c r="B1337" s="5">
        <v>45713.625</v>
      </c>
      <c r="C1337" s="1" t="s">
        <v>23</v>
      </c>
      <c r="D1337" s="1" t="s">
        <v>19</v>
      </c>
      <c r="E1337" s="1">
        <v>3</v>
      </c>
      <c r="F1337" s="1">
        <v>44.36</v>
      </c>
      <c r="G1337" s="1">
        <v>31.87</v>
      </c>
      <c r="H1337">
        <f t="shared" si="20"/>
        <v>133.07999999999998</v>
      </c>
    </row>
    <row r="1338" spans="1:8" x14ac:dyDescent="0.25">
      <c r="A1338" s="1" t="s">
        <v>1351</v>
      </c>
      <c r="B1338" s="5">
        <v>45713.666666666664</v>
      </c>
      <c r="C1338" s="1" t="s">
        <v>8</v>
      </c>
      <c r="D1338" s="1" t="s">
        <v>9</v>
      </c>
      <c r="E1338" s="1">
        <v>11</v>
      </c>
      <c r="F1338" s="1">
        <v>89.74</v>
      </c>
      <c r="G1338" s="1">
        <v>27</v>
      </c>
      <c r="H1338">
        <f t="shared" si="20"/>
        <v>987.14</v>
      </c>
    </row>
    <row r="1339" spans="1:8" x14ac:dyDescent="0.25">
      <c r="A1339" s="1" t="s">
        <v>1352</v>
      </c>
      <c r="B1339" s="5">
        <v>45713.708333333336</v>
      </c>
      <c r="C1339" s="1" t="s">
        <v>23</v>
      </c>
      <c r="D1339" s="1" t="s">
        <v>9</v>
      </c>
      <c r="E1339" s="1">
        <v>11</v>
      </c>
      <c r="F1339" s="1">
        <v>150.68</v>
      </c>
      <c r="G1339" s="1">
        <v>34.96</v>
      </c>
      <c r="H1339">
        <f t="shared" si="20"/>
        <v>1657.48</v>
      </c>
    </row>
    <row r="1340" spans="1:8" x14ac:dyDescent="0.25">
      <c r="A1340" s="1" t="s">
        <v>1353</v>
      </c>
      <c r="B1340" s="5">
        <v>45713.75</v>
      </c>
      <c r="C1340" s="1" t="s">
        <v>23</v>
      </c>
      <c r="D1340" s="1" t="s">
        <v>37</v>
      </c>
      <c r="E1340" s="1">
        <v>17</v>
      </c>
      <c r="F1340" s="1">
        <v>154.84</v>
      </c>
      <c r="G1340" s="1">
        <v>21.71</v>
      </c>
      <c r="H1340">
        <f t="shared" si="20"/>
        <v>2632.28</v>
      </c>
    </row>
    <row r="1341" spans="1:8" x14ac:dyDescent="0.25">
      <c r="A1341" s="1" t="s">
        <v>1354</v>
      </c>
      <c r="B1341" s="5">
        <v>45713.791666666664</v>
      </c>
      <c r="C1341" s="1" t="s">
        <v>23</v>
      </c>
      <c r="D1341" s="1" t="s">
        <v>37</v>
      </c>
      <c r="E1341" s="1">
        <v>16</v>
      </c>
      <c r="F1341" s="1">
        <v>301.74</v>
      </c>
      <c r="G1341" s="1">
        <v>47.5</v>
      </c>
      <c r="H1341">
        <f t="shared" si="20"/>
        <v>4827.84</v>
      </c>
    </row>
    <row r="1342" spans="1:8" x14ac:dyDescent="0.25">
      <c r="A1342" s="1" t="s">
        <v>1355</v>
      </c>
      <c r="B1342" s="5">
        <v>45713.833333333336</v>
      </c>
      <c r="C1342" s="1" t="s">
        <v>8</v>
      </c>
      <c r="D1342" s="1" t="s">
        <v>37</v>
      </c>
      <c r="E1342" s="1">
        <v>7</v>
      </c>
      <c r="F1342" s="1">
        <v>286.25</v>
      </c>
      <c r="G1342" s="1">
        <v>36.75</v>
      </c>
      <c r="H1342">
        <f t="shared" si="20"/>
        <v>2003.75</v>
      </c>
    </row>
    <row r="1343" spans="1:8" x14ac:dyDescent="0.25">
      <c r="A1343" s="1" t="s">
        <v>1356</v>
      </c>
      <c r="B1343" s="5">
        <v>45713.875</v>
      </c>
      <c r="C1343" s="1" t="s">
        <v>11</v>
      </c>
      <c r="D1343" s="1" t="s">
        <v>19</v>
      </c>
      <c r="E1343" s="1">
        <v>4</v>
      </c>
      <c r="F1343" s="1">
        <v>230.4</v>
      </c>
      <c r="G1343" s="1">
        <v>38.94</v>
      </c>
      <c r="H1343">
        <f t="shared" si="20"/>
        <v>921.6</v>
      </c>
    </row>
    <row r="1344" spans="1:8" x14ac:dyDescent="0.25">
      <c r="A1344" s="1" t="s">
        <v>1357</v>
      </c>
      <c r="B1344" s="5">
        <v>45713.916666666664</v>
      </c>
      <c r="C1344" s="1" t="s">
        <v>8</v>
      </c>
      <c r="D1344" s="1" t="s">
        <v>19</v>
      </c>
      <c r="E1344" s="1">
        <v>19</v>
      </c>
      <c r="F1344" s="1">
        <v>107.29</v>
      </c>
      <c r="G1344" s="1">
        <v>15.91</v>
      </c>
      <c r="H1344">
        <f t="shared" si="20"/>
        <v>2038.5100000000002</v>
      </c>
    </row>
    <row r="1345" spans="1:8" x14ac:dyDescent="0.25">
      <c r="A1345" s="1" t="s">
        <v>1358</v>
      </c>
      <c r="B1345" s="5">
        <v>45713.958333333336</v>
      </c>
      <c r="C1345" s="1" t="s">
        <v>13</v>
      </c>
      <c r="D1345" s="1" t="s">
        <v>37</v>
      </c>
      <c r="E1345" s="1">
        <v>12</v>
      </c>
      <c r="F1345" s="1">
        <v>181.47</v>
      </c>
      <c r="G1345" s="1">
        <v>12.59</v>
      </c>
      <c r="H1345">
        <f t="shared" si="20"/>
        <v>2177.64</v>
      </c>
    </row>
    <row r="1346" spans="1:8" x14ac:dyDescent="0.25">
      <c r="A1346" s="1" t="s">
        <v>1359</v>
      </c>
      <c r="B1346" s="5">
        <v>45714</v>
      </c>
      <c r="C1346" s="1" t="s">
        <v>8</v>
      </c>
      <c r="D1346" s="1" t="s">
        <v>37</v>
      </c>
      <c r="E1346" s="1">
        <v>15</v>
      </c>
      <c r="F1346" s="1">
        <v>251.69</v>
      </c>
      <c r="G1346" s="1">
        <v>22.75</v>
      </c>
      <c r="H1346">
        <f t="shared" ref="H1346:H1409" si="21">E1346*F1346</f>
        <v>3775.35</v>
      </c>
    </row>
    <row r="1347" spans="1:8" x14ac:dyDescent="0.25">
      <c r="A1347" s="1" t="s">
        <v>1360</v>
      </c>
      <c r="B1347" s="5">
        <v>45714.041666666664</v>
      </c>
      <c r="C1347" s="1" t="s">
        <v>8</v>
      </c>
      <c r="D1347" s="1" t="s">
        <v>19</v>
      </c>
      <c r="E1347" s="1">
        <v>11</v>
      </c>
      <c r="F1347" s="1">
        <v>218.84</v>
      </c>
      <c r="G1347" s="1">
        <v>39.5</v>
      </c>
      <c r="H1347">
        <f t="shared" si="21"/>
        <v>2407.2400000000002</v>
      </c>
    </row>
    <row r="1348" spans="1:8" x14ac:dyDescent="0.25">
      <c r="A1348" s="1" t="s">
        <v>1361</v>
      </c>
      <c r="B1348" s="5">
        <v>45714.083333333336</v>
      </c>
      <c r="C1348" s="1" t="s">
        <v>8</v>
      </c>
      <c r="D1348" s="1" t="s">
        <v>16</v>
      </c>
      <c r="E1348" s="1">
        <v>5</v>
      </c>
      <c r="F1348" s="1">
        <v>70.81</v>
      </c>
      <c r="G1348" s="1">
        <v>47.25</v>
      </c>
      <c r="H1348">
        <f t="shared" si="21"/>
        <v>354.05</v>
      </c>
    </row>
    <row r="1349" spans="1:8" x14ac:dyDescent="0.25">
      <c r="A1349" s="1" t="s">
        <v>1362</v>
      </c>
      <c r="B1349" s="5">
        <v>45714.125</v>
      </c>
      <c r="C1349" s="1" t="s">
        <v>8</v>
      </c>
      <c r="D1349" s="1" t="s">
        <v>19</v>
      </c>
      <c r="E1349" s="1">
        <v>5</v>
      </c>
      <c r="F1349" s="1">
        <v>297.70999999999998</v>
      </c>
      <c r="G1349" s="1">
        <v>24.23</v>
      </c>
      <c r="H1349">
        <f t="shared" si="21"/>
        <v>1488.55</v>
      </c>
    </row>
    <row r="1350" spans="1:8" x14ac:dyDescent="0.25">
      <c r="A1350" s="1" t="s">
        <v>1363</v>
      </c>
      <c r="B1350" s="5">
        <v>45714.166666666664</v>
      </c>
      <c r="C1350" s="1" t="s">
        <v>11</v>
      </c>
      <c r="D1350" s="1" t="s">
        <v>19</v>
      </c>
      <c r="E1350" s="1">
        <v>15</v>
      </c>
      <c r="F1350" s="1">
        <v>47.24</v>
      </c>
      <c r="G1350" s="1">
        <v>39.840000000000003</v>
      </c>
      <c r="H1350">
        <f t="shared" si="21"/>
        <v>708.6</v>
      </c>
    </row>
    <row r="1351" spans="1:8" x14ac:dyDescent="0.25">
      <c r="A1351" s="1" t="s">
        <v>1364</v>
      </c>
      <c r="B1351" s="5">
        <v>45714.208333333336</v>
      </c>
      <c r="C1351" s="1" t="s">
        <v>13</v>
      </c>
      <c r="D1351" s="1" t="s">
        <v>19</v>
      </c>
      <c r="E1351" s="1">
        <v>18</v>
      </c>
      <c r="F1351" s="1">
        <v>179.83</v>
      </c>
      <c r="G1351" s="1">
        <v>26.17</v>
      </c>
      <c r="H1351">
        <f t="shared" si="21"/>
        <v>3236.94</v>
      </c>
    </row>
    <row r="1352" spans="1:8" x14ac:dyDescent="0.25">
      <c r="A1352" s="1" t="s">
        <v>1365</v>
      </c>
      <c r="B1352" s="5">
        <v>45714.25</v>
      </c>
      <c r="C1352" s="1" t="s">
        <v>11</v>
      </c>
      <c r="D1352" s="1" t="s">
        <v>37</v>
      </c>
      <c r="E1352" s="1">
        <v>11</v>
      </c>
      <c r="F1352" s="1">
        <v>324.01</v>
      </c>
      <c r="G1352" s="1">
        <v>18.29</v>
      </c>
      <c r="H1352">
        <f t="shared" si="21"/>
        <v>3564.1099999999997</v>
      </c>
    </row>
    <row r="1353" spans="1:8" x14ac:dyDescent="0.25">
      <c r="A1353" s="1" t="s">
        <v>1366</v>
      </c>
      <c r="B1353" s="5">
        <v>45714.291666666664</v>
      </c>
      <c r="C1353" s="1" t="s">
        <v>11</v>
      </c>
      <c r="D1353" s="1" t="s">
        <v>16</v>
      </c>
      <c r="E1353" s="1">
        <v>12</v>
      </c>
      <c r="F1353" s="1">
        <v>24.2</v>
      </c>
      <c r="G1353" s="1">
        <v>38.270000000000003</v>
      </c>
      <c r="H1353">
        <f t="shared" si="21"/>
        <v>290.39999999999998</v>
      </c>
    </row>
    <row r="1354" spans="1:8" x14ac:dyDescent="0.25">
      <c r="A1354" s="1" t="s">
        <v>1367</v>
      </c>
      <c r="B1354" s="5">
        <v>45714.333333333336</v>
      </c>
      <c r="C1354" s="1" t="s">
        <v>8</v>
      </c>
      <c r="D1354" s="1" t="s">
        <v>19</v>
      </c>
      <c r="E1354" s="1">
        <v>2</v>
      </c>
      <c r="F1354" s="1">
        <v>263.16000000000003</v>
      </c>
      <c r="G1354" s="1">
        <v>40.92</v>
      </c>
      <c r="H1354">
        <f t="shared" si="21"/>
        <v>526.32000000000005</v>
      </c>
    </row>
    <row r="1355" spans="1:8" x14ac:dyDescent="0.25">
      <c r="A1355" s="1" t="s">
        <v>1368</v>
      </c>
      <c r="B1355" s="5">
        <v>45714.375</v>
      </c>
      <c r="C1355" s="1" t="s">
        <v>23</v>
      </c>
      <c r="D1355" s="1" t="s">
        <v>37</v>
      </c>
      <c r="E1355" s="1">
        <v>15</v>
      </c>
      <c r="F1355" s="1">
        <v>160.85</v>
      </c>
      <c r="G1355" s="1">
        <v>14.13</v>
      </c>
      <c r="H1355">
        <f t="shared" si="21"/>
        <v>2412.75</v>
      </c>
    </row>
    <row r="1356" spans="1:8" x14ac:dyDescent="0.25">
      <c r="A1356" s="1" t="s">
        <v>1369</v>
      </c>
      <c r="B1356" s="5">
        <v>45714.416666666664</v>
      </c>
      <c r="C1356" s="1" t="s">
        <v>23</v>
      </c>
      <c r="D1356" s="1" t="s">
        <v>9</v>
      </c>
      <c r="E1356" s="1">
        <v>4</v>
      </c>
      <c r="F1356" s="1">
        <v>19.34</v>
      </c>
      <c r="G1356" s="1">
        <v>18.73</v>
      </c>
      <c r="H1356">
        <f t="shared" si="21"/>
        <v>77.36</v>
      </c>
    </row>
    <row r="1357" spans="1:8" x14ac:dyDescent="0.25">
      <c r="A1357" s="1" t="s">
        <v>1370</v>
      </c>
      <c r="B1357" s="5">
        <v>45714.458333333336</v>
      </c>
      <c r="C1357" s="1" t="s">
        <v>11</v>
      </c>
      <c r="D1357" s="1" t="s">
        <v>9</v>
      </c>
      <c r="E1357" s="1">
        <v>18</v>
      </c>
      <c r="F1357" s="1">
        <v>98.22</v>
      </c>
      <c r="G1357" s="1">
        <v>27.26</v>
      </c>
      <c r="H1357">
        <f t="shared" si="21"/>
        <v>1767.96</v>
      </c>
    </row>
    <row r="1358" spans="1:8" x14ac:dyDescent="0.25">
      <c r="A1358" s="1" t="s">
        <v>1371</v>
      </c>
      <c r="B1358" s="5">
        <v>45714.5</v>
      </c>
      <c r="C1358" s="1" t="s">
        <v>11</v>
      </c>
      <c r="D1358" s="1" t="s">
        <v>19</v>
      </c>
      <c r="E1358" s="1">
        <v>6</v>
      </c>
      <c r="F1358" s="1">
        <v>424.34</v>
      </c>
      <c r="G1358" s="1">
        <v>13.39</v>
      </c>
      <c r="H1358">
        <f t="shared" si="21"/>
        <v>2546.04</v>
      </c>
    </row>
    <row r="1359" spans="1:8" x14ac:dyDescent="0.25">
      <c r="A1359" s="1" t="s">
        <v>1372</v>
      </c>
      <c r="B1359" s="5">
        <v>45714.541666666664</v>
      </c>
      <c r="C1359" s="1" t="s">
        <v>8</v>
      </c>
      <c r="D1359" s="1" t="s">
        <v>9</v>
      </c>
      <c r="E1359" s="1">
        <v>19</v>
      </c>
      <c r="F1359" s="1">
        <v>241.94</v>
      </c>
      <c r="G1359" s="1">
        <v>46.8</v>
      </c>
      <c r="H1359">
        <f t="shared" si="21"/>
        <v>4596.8599999999997</v>
      </c>
    </row>
    <row r="1360" spans="1:8" x14ac:dyDescent="0.25">
      <c r="A1360" s="1" t="s">
        <v>1373</v>
      </c>
      <c r="B1360" s="5">
        <v>45714.583333333336</v>
      </c>
      <c r="C1360" s="1" t="s">
        <v>11</v>
      </c>
      <c r="D1360" s="1" t="s">
        <v>16</v>
      </c>
      <c r="E1360" s="1">
        <v>11</v>
      </c>
      <c r="F1360" s="1">
        <v>448.8</v>
      </c>
      <c r="G1360" s="1">
        <v>31.61</v>
      </c>
      <c r="H1360">
        <f t="shared" si="21"/>
        <v>4936.8</v>
      </c>
    </row>
    <row r="1361" spans="1:8" x14ac:dyDescent="0.25">
      <c r="A1361" s="1" t="s">
        <v>1374</v>
      </c>
      <c r="B1361" s="5">
        <v>45714.625</v>
      </c>
      <c r="C1361" s="1" t="s">
        <v>8</v>
      </c>
      <c r="D1361" s="1" t="s">
        <v>9</v>
      </c>
      <c r="E1361" s="1">
        <v>2</v>
      </c>
      <c r="F1361" s="1">
        <v>243.53</v>
      </c>
      <c r="G1361" s="1">
        <v>10.45</v>
      </c>
      <c r="H1361">
        <f t="shared" si="21"/>
        <v>487.06</v>
      </c>
    </row>
    <row r="1362" spans="1:8" x14ac:dyDescent="0.25">
      <c r="A1362" s="1" t="s">
        <v>1375</v>
      </c>
      <c r="B1362" s="5">
        <v>45714.666666666664</v>
      </c>
      <c r="C1362" s="1" t="s">
        <v>23</v>
      </c>
      <c r="D1362" s="1" t="s">
        <v>9</v>
      </c>
      <c r="E1362" s="1">
        <v>8</v>
      </c>
      <c r="F1362" s="1">
        <v>251.84</v>
      </c>
      <c r="G1362" s="1">
        <v>13.28</v>
      </c>
      <c r="H1362">
        <f t="shared" si="21"/>
        <v>2014.72</v>
      </c>
    </row>
    <row r="1363" spans="1:8" x14ac:dyDescent="0.25">
      <c r="A1363" s="1" t="s">
        <v>1376</v>
      </c>
      <c r="B1363" s="5">
        <v>45714.708333333336</v>
      </c>
      <c r="C1363" s="1" t="s">
        <v>23</v>
      </c>
      <c r="D1363" s="1" t="s">
        <v>16</v>
      </c>
      <c r="E1363" s="1">
        <v>11</v>
      </c>
      <c r="F1363" s="1">
        <v>185.76</v>
      </c>
      <c r="G1363" s="1">
        <v>47.95</v>
      </c>
      <c r="H1363">
        <f t="shared" si="21"/>
        <v>2043.36</v>
      </c>
    </row>
    <row r="1364" spans="1:8" x14ac:dyDescent="0.25">
      <c r="A1364" s="1" t="s">
        <v>1377</v>
      </c>
      <c r="B1364" s="5">
        <v>45714.75</v>
      </c>
      <c r="C1364" s="1" t="s">
        <v>13</v>
      </c>
      <c r="D1364" s="1" t="s">
        <v>19</v>
      </c>
      <c r="E1364" s="1">
        <v>5</v>
      </c>
      <c r="F1364" s="1">
        <v>150.21</v>
      </c>
      <c r="G1364" s="1">
        <v>38.22</v>
      </c>
      <c r="H1364">
        <f t="shared" si="21"/>
        <v>751.05000000000007</v>
      </c>
    </row>
    <row r="1365" spans="1:8" x14ac:dyDescent="0.25">
      <c r="A1365" s="1" t="s">
        <v>1378</v>
      </c>
      <c r="B1365" s="5">
        <v>45714.791666666664</v>
      </c>
      <c r="C1365" s="1" t="s">
        <v>23</v>
      </c>
      <c r="D1365" s="1" t="s">
        <v>19</v>
      </c>
      <c r="E1365" s="1">
        <v>18</v>
      </c>
      <c r="F1365" s="1">
        <v>124.8</v>
      </c>
      <c r="G1365" s="1">
        <v>38.049999999999997</v>
      </c>
      <c r="H1365">
        <f t="shared" si="21"/>
        <v>2246.4</v>
      </c>
    </row>
    <row r="1366" spans="1:8" x14ac:dyDescent="0.25">
      <c r="A1366" s="1" t="s">
        <v>1379</v>
      </c>
      <c r="B1366" s="5">
        <v>45714.833333333336</v>
      </c>
      <c r="C1366" s="1" t="s">
        <v>11</v>
      </c>
      <c r="D1366" s="1" t="s">
        <v>16</v>
      </c>
      <c r="E1366" s="1">
        <v>18</v>
      </c>
      <c r="F1366" s="1">
        <v>164.72</v>
      </c>
      <c r="G1366" s="1">
        <v>8.26</v>
      </c>
      <c r="H1366">
        <f t="shared" si="21"/>
        <v>2964.96</v>
      </c>
    </row>
    <row r="1367" spans="1:8" x14ac:dyDescent="0.25">
      <c r="A1367" s="1" t="s">
        <v>1380</v>
      </c>
      <c r="B1367" s="5">
        <v>45714.875</v>
      </c>
      <c r="C1367" s="1" t="s">
        <v>23</v>
      </c>
      <c r="D1367" s="1" t="s">
        <v>16</v>
      </c>
      <c r="E1367" s="1">
        <v>14</v>
      </c>
      <c r="F1367" s="1">
        <v>215.31</v>
      </c>
      <c r="G1367" s="1">
        <v>45.29</v>
      </c>
      <c r="H1367">
        <f t="shared" si="21"/>
        <v>3014.34</v>
      </c>
    </row>
    <row r="1368" spans="1:8" x14ac:dyDescent="0.25">
      <c r="A1368" s="1" t="s">
        <v>1381</v>
      </c>
      <c r="B1368" s="5">
        <v>45714.916666666664</v>
      </c>
      <c r="C1368" s="1" t="s">
        <v>8</v>
      </c>
      <c r="D1368" s="1" t="s">
        <v>16</v>
      </c>
      <c r="E1368" s="1">
        <v>10</v>
      </c>
      <c r="F1368" s="1">
        <v>98.92</v>
      </c>
      <c r="G1368" s="1">
        <v>24.97</v>
      </c>
      <c r="H1368">
        <f t="shared" si="21"/>
        <v>989.2</v>
      </c>
    </row>
    <row r="1369" spans="1:8" x14ac:dyDescent="0.25">
      <c r="A1369" s="1" t="s">
        <v>1382</v>
      </c>
      <c r="B1369" s="5">
        <v>45714.958333333336</v>
      </c>
      <c r="C1369" s="1" t="s">
        <v>23</v>
      </c>
      <c r="D1369" s="1" t="s">
        <v>9</v>
      </c>
      <c r="E1369" s="1">
        <v>3</v>
      </c>
      <c r="F1369" s="1">
        <v>113.21</v>
      </c>
      <c r="G1369" s="1">
        <v>34.69</v>
      </c>
      <c r="H1369">
        <f t="shared" si="21"/>
        <v>339.63</v>
      </c>
    </row>
    <row r="1370" spans="1:8" x14ac:dyDescent="0.25">
      <c r="A1370" s="1" t="s">
        <v>1383</v>
      </c>
      <c r="B1370" s="5">
        <v>45715</v>
      </c>
      <c r="C1370" s="1" t="s">
        <v>13</v>
      </c>
      <c r="D1370" s="1" t="s">
        <v>16</v>
      </c>
      <c r="E1370" s="1">
        <v>9</v>
      </c>
      <c r="F1370" s="1">
        <v>133.49</v>
      </c>
      <c r="G1370" s="1">
        <v>48.19</v>
      </c>
      <c r="H1370">
        <f t="shared" si="21"/>
        <v>1201.4100000000001</v>
      </c>
    </row>
    <row r="1371" spans="1:8" x14ac:dyDescent="0.25">
      <c r="A1371" s="1" t="s">
        <v>1384</v>
      </c>
      <c r="B1371" s="5">
        <v>45715.041666666664</v>
      </c>
      <c r="C1371" s="1" t="s">
        <v>23</v>
      </c>
      <c r="D1371" s="1" t="s">
        <v>37</v>
      </c>
      <c r="E1371" s="1">
        <v>3</v>
      </c>
      <c r="F1371" s="1">
        <v>210.7</v>
      </c>
      <c r="G1371" s="1">
        <v>9.5</v>
      </c>
      <c r="H1371">
        <f t="shared" si="21"/>
        <v>632.09999999999991</v>
      </c>
    </row>
    <row r="1372" spans="1:8" x14ac:dyDescent="0.25">
      <c r="A1372" s="1" t="s">
        <v>1385</v>
      </c>
      <c r="B1372" s="5">
        <v>45715.083333333336</v>
      </c>
      <c r="C1372" s="1" t="s">
        <v>8</v>
      </c>
      <c r="D1372" s="1" t="s">
        <v>9</v>
      </c>
      <c r="E1372" s="1">
        <v>11</v>
      </c>
      <c r="F1372" s="1">
        <v>299.14999999999998</v>
      </c>
      <c r="G1372" s="1">
        <v>26.7</v>
      </c>
      <c r="H1372">
        <f t="shared" si="21"/>
        <v>3290.6499999999996</v>
      </c>
    </row>
    <row r="1373" spans="1:8" x14ac:dyDescent="0.25">
      <c r="A1373" s="1" t="s">
        <v>1386</v>
      </c>
      <c r="B1373" s="5">
        <v>45715.125</v>
      </c>
      <c r="C1373" s="1" t="s">
        <v>8</v>
      </c>
      <c r="D1373" s="1" t="s">
        <v>19</v>
      </c>
      <c r="E1373" s="1">
        <v>12</v>
      </c>
      <c r="F1373" s="1">
        <v>387.5</v>
      </c>
      <c r="G1373" s="1">
        <v>7.23</v>
      </c>
      <c r="H1373">
        <f t="shared" si="21"/>
        <v>4650</v>
      </c>
    </row>
    <row r="1374" spans="1:8" x14ac:dyDescent="0.25">
      <c r="A1374" s="1" t="s">
        <v>1387</v>
      </c>
      <c r="B1374" s="5">
        <v>45715.166666666664</v>
      </c>
      <c r="C1374" s="1" t="s">
        <v>11</v>
      </c>
      <c r="D1374" s="1" t="s">
        <v>19</v>
      </c>
      <c r="E1374" s="1">
        <v>12</v>
      </c>
      <c r="F1374" s="1">
        <v>140.26</v>
      </c>
      <c r="G1374" s="1">
        <v>27.48</v>
      </c>
      <c r="H1374">
        <f t="shared" si="21"/>
        <v>1683.12</v>
      </c>
    </row>
    <row r="1375" spans="1:8" x14ac:dyDescent="0.25">
      <c r="A1375" s="1" t="s">
        <v>1388</v>
      </c>
      <c r="B1375" s="5">
        <v>45715.208333333336</v>
      </c>
      <c r="C1375" s="1" t="s">
        <v>23</v>
      </c>
      <c r="D1375" s="1" t="s">
        <v>19</v>
      </c>
      <c r="E1375" s="1">
        <v>3</v>
      </c>
      <c r="F1375" s="1">
        <v>95.33</v>
      </c>
      <c r="G1375" s="1">
        <v>16.350000000000001</v>
      </c>
      <c r="H1375">
        <f t="shared" si="21"/>
        <v>285.99</v>
      </c>
    </row>
    <row r="1376" spans="1:8" x14ac:dyDescent="0.25">
      <c r="A1376" s="1" t="s">
        <v>1389</v>
      </c>
      <c r="B1376" s="5">
        <v>45715.25</v>
      </c>
      <c r="C1376" s="1" t="s">
        <v>8</v>
      </c>
      <c r="D1376" s="1" t="s">
        <v>9</v>
      </c>
      <c r="E1376" s="1">
        <v>7</v>
      </c>
      <c r="F1376" s="1">
        <v>180.11</v>
      </c>
      <c r="G1376" s="1">
        <v>46</v>
      </c>
      <c r="H1376">
        <f t="shared" si="21"/>
        <v>1260.77</v>
      </c>
    </row>
    <row r="1377" spans="1:8" x14ac:dyDescent="0.25">
      <c r="A1377" s="1" t="s">
        <v>1390</v>
      </c>
      <c r="B1377" s="5">
        <v>45715.291666666664</v>
      </c>
      <c r="C1377" s="1" t="s">
        <v>13</v>
      </c>
      <c r="D1377" s="1" t="s">
        <v>37</v>
      </c>
      <c r="E1377" s="1">
        <v>14</v>
      </c>
      <c r="F1377" s="1">
        <v>404.11</v>
      </c>
      <c r="G1377" s="1">
        <v>22.93</v>
      </c>
      <c r="H1377">
        <f t="shared" si="21"/>
        <v>5657.54</v>
      </c>
    </row>
    <row r="1378" spans="1:8" x14ac:dyDescent="0.25">
      <c r="A1378" s="1" t="s">
        <v>1391</v>
      </c>
      <c r="B1378" s="5">
        <v>45715.333333333336</v>
      </c>
      <c r="C1378" s="1" t="s">
        <v>11</v>
      </c>
      <c r="D1378" s="1" t="s">
        <v>16</v>
      </c>
      <c r="E1378" s="1">
        <v>11</v>
      </c>
      <c r="F1378" s="1">
        <v>19.78</v>
      </c>
      <c r="G1378" s="1">
        <v>33.520000000000003</v>
      </c>
      <c r="H1378">
        <f t="shared" si="21"/>
        <v>217.58</v>
      </c>
    </row>
    <row r="1379" spans="1:8" x14ac:dyDescent="0.25">
      <c r="A1379" s="1" t="s">
        <v>1392</v>
      </c>
      <c r="B1379" s="5">
        <v>45715.375</v>
      </c>
      <c r="C1379" s="1" t="s">
        <v>13</v>
      </c>
      <c r="D1379" s="1" t="s">
        <v>16</v>
      </c>
      <c r="E1379" s="1">
        <v>7</v>
      </c>
      <c r="F1379" s="1">
        <v>310.02999999999997</v>
      </c>
      <c r="G1379" s="1">
        <v>43.71</v>
      </c>
      <c r="H1379">
        <f t="shared" si="21"/>
        <v>2170.21</v>
      </c>
    </row>
    <row r="1380" spans="1:8" x14ac:dyDescent="0.25">
      <c r="A1380" s="1" t="s">
        <v>1393</v>
      </c>
      <c r="B1380" s="5">
        <v>45715.416666666664</v>
      </c>
      <c r="C1380" s="1" t="s">
        <v>23</v>
      </c>
      <c r="D1380" s="1" t="s">
        <v>19</v>
      </c>
      <c r="E1380" s="1">
        <v>10</v>
      </c>
      <c r="F1380" s="1">
        <v>222.83</v>
      </c>
      <c r="G1380" s="1">
        <v>49.27</v>
      </c>
      <c r="H1380">
        <f t="shared" si="21"/>
        <v>2228.3000000000002</v>
      </c>
    </row>
    <row r="1381" spans="1:8" x14ac:dyDescent="0.25">
      <c r="A1381" s="1" t="s">
        <v>1394</v>
      </c>
      <c r="B1381" s="5">
        <v>45715.458333333336</v>
      </c>
      <c r="C1381" s="1" t="s">
        <v>23</v>
      </c>
      <c r="D1381" s="1" t="s">
        <v>19</v>
      </c>
      <c r="E1381" s="1">
        <v>11</v>
      </c>
      <c r="F1381" s="1">
        <v>85.47</v>
      </c>
      <c r="G1381" s="1">
        <v>27.67</v>
      </c>
      <c r="H1381">
        <f t="shared" si="21"/>
        <v>940.17</v>
      </c>
    </row>
    <row r="1382" spans="1:8" x14ac:dyDescent="0.25">
      <c r="A1382" s="1" t="s">
        <v>1395</v>
      </c>
      <c r="B1382" s="5">
        <v>45715.5</v>
      </c>
      <c r="C1382" s="1" t="s">
        <v>23</v>
      </c>
      <c r="D1382" s="1" t="s">
        <v>9</v>
      </c>
      <c r="E1382" s="1">
        <v>15</v>
      </c>
      <c r="F1382" s="1">
        <v>154.97999999999999</v>
      </c>
      <c r="G1382" s="1">
        <v>25.51</v>
      </c>
      <c r="H1382">
        <f t="shared" si="21"/>
        <v>2324.6999999999998</v>
      </c>
    </row>
    <row r="1383" spans="1:8" x14ac:dyDescent="0.25">
      <c r="A1383" s="1" t="s">
        <v>1396</v>
      </c>
      <c r="B1383" s="5">
        <v>45715.541666666664</v>
      </c>
      <c r="C1383" s="1" t="s">
        <v>11</v>
      </c>
      <c r="D1383" s="1" t="s">
        <v>37</v>
      </c>
      <c r="E1383" s="1">
        <v>19</v>
      </c>
      <c r="F1383" s="1">
        <v>113.24</v>
      </c>
      <c r="G1383" s="1">
        <v>8.41</v>
      </c>
      <c r="H1383">
        <f t="shared" si="21"/>
        <v>2151.56</v>
      </c>
    </row>
    <row r="1384" spans="1:8" x14ac:dyDescent="0.25">
      <c r="A1384" s="1" t="s">
        <v>1397</v>
      </c>
      <c r="B1384" s="5">
        <v>45715.583333333336</v>
      </c>
      <c r="C1384" s="1" t="s">
        <v>8</v>
      </c>
      <c r="D1384" s="1" t="s">
        <v>16</v>
      </c>
      <c r="E1384" s="1">
        <v>16</v>
      </c>
      <c r="F1384" s="1">
        <v>396.92</v>
      </c>
      <c r="G1384" s="1">
        <v>5.57</v>
      </c>
      <c r="H1384">
        <f t="shared" si="21"/>
        <v>6350.72</v>
      </c>
    </row>
    <row r="1385" spans="1:8" x14ac:dyDescent="0.25">
      <c r="A1385" s="1" t="s">
        <v>1398</v>
      </c>
      <c r="B1385" s="5">
        <v>45715.625</v>
      </c>
      <c r="C1385" s="1" t="s">
        <v>11</v>
      </c>
      <c r="D1385" s="1" t="s">
        <v>9</v>
      </c>
      <c r="E1385" s="1">
        <v>12</v>
      </c>
      <c r="F1385" s="1">
        <v>224.87</v>
      </c>
      <c r="G1385" s="1">
        <v>32.4</v>
      </c>
      <c r="H1385">
        <f t="shared" si="21"/>
        <v>2698.44</v>
      </c>
    </row>
    <row r="1386" spans="1:8" x14ac:dyDescent="0.25">
      <c r="A1386" s="1" t="s">
        <v>1399</v>
      </c>
      <c r="B1386" s="5">
        <v>45715.666666666664</v>
      </c>
      <c r="C1386" s="1" t="s">
        <v>13</v>
      </c>
      <c r="D1386" s="1" t="s">
        <v>16</v>
      </c>
      <c r="E1386" s="1">
        <v>18</v>
      </c>
      <c r="F1386" s="1">
        <v>260.16000000000003</v>
      </c>
      <c r="G1386" s="1">
        <v>7.95</v>
      </c>
      <c r="H1386">
        <f t="shared" si="21"/>
        <v>4682.88</v>
      </c>
    </row>
    <row r="1387" spans="1:8" x14ac:dyDescent="0.25">
      <c r="A1387" s="1" t="s">
        <v>1400</v>
      </c>
      <c r="B1387" s="5">
        <v>45715.708333333336</v>
      </c>
      <c r="C1387" s="1" t="s">
        <v>11</v>
      </c>
      <c r="D1387" s="1" t="s">
        <v>19</v>
      </c>
      <c r="E1387" s="1">
        <v>13</v>
      </c>
      <c r="F1387" s="1">
        <v>273.45999999999998</v>
      </c>
      <c r="G1387" s="1">
        <v>22.12</v>
      </c>
      <c r="H1387">
        <f t="shared" si="21"/>
        <v>3554.9799999999996</v>
      </c>
    </row>
    <row r="1388" spans="1:8" x14ac:dyDescent="0.25">
      <c r="A1388" s="1" t="s">
        <v>1401</v>
      </c>
      <c r="B1388" s="5">
        <v>45715.75</v>
      </c>
      <c r="C1388" s="1" t="s">
        <v>13</v>
      </c>
      <c r="D1388" s="1" t="s">
        <v>16</v>
      </c>
      <c r="E1388" s="1">
        <v>5</v>
      </c>
      <c r="F1388" s="1">
        <v>293.41000000000003</v>
      </c>
      <c r="G1388" s="1">
        <v>5.16</v>
      </c>
      <c r="H1388">
        <f t="shared" si="21"/>
        <v>1467.0500000000002</v>
      </c>
    </row>
    <row r="1389" spans="1:8" x14ac:dyDescent="0.25">
      <c r="A1389" s="1" t="s">
        <v>1402</v>
      </c>
      <c r="B1389" s="5">
        <v>45715.791666666664</v>
      </c>
      <c r="C1389" s="1" t="s">
        <v>11</v>
      </c>
      <c r="D1389" s="1" t="s">
        <v>37</v>
      </c>
      <c r="E1389" s="1">
        <v>4</v>
      </c>
      <c r="F1389" s="1">
        <v>230.82</v>
      </c>
      <c r="G1389" s="1">
        <v>32.69</v>
      </c>
      <c r="H1389">
        <f t="shared" si="21"/>
        <v>923.28</v>
      </c>
    </row>
    <row r="1390" spans="1:8" x14ac:dyDescent="0.25">
      <c r="A1390" s="1" t="s">
        <v>1403</v>
      </c>
      <c r="B1390" s="5">
        <v>45715.833333333336</v>
      </c>
      <c r="C1390" s="1" t="s">
        <v>8</v>
      </c>
      <c r="D1390" s="1" t="s">
        <v>37</v>
      </c>
      <c r="E1390" s="1">
        <v>14</v>
      </c>
      <c r="F1390" s="1">
        <v>23.27</v>
      </c>
      <c r="G1390" s="1">
        <v>24.14</v>
      </c>
      <c r="H1390">
        <f t="shared" si="21"/>
        <v>325.77999999999997</v>
      </c>
    </row>
    <row r="1391" spans="1:8" x14ac:dyDescent="0.25">
      <c r="A1391" s="1" t="s">
        <v>1404</v>
      </c>
      <c r="B1391" s="5">
        <v>45715.875</v>
      </c>
      <c r="C1391" s="1" t="s">
        <v>13</v>
      </c>
      <c r="D1391" s="1" t="s">
        <v>19</v>
      </c>
      <c r="E1391" s="1">
        <v>8</v>
      </c>
      <c r="F1391" s="1">
        <v>160.94</v>
      </c>
      <c r="G1391" s="1">
        <v>10.72</v>
      </c>
      <c r="H1391">
        <f t="shared" si="21"/>
        <v>1287.52</v>
      </c>
    </row>
    <row r="1392" spans="1:8" x14ac:dyDescent="0.25">
      <c r="A1392" s="1" t="s">
        <v>1405</v>
      </c>
      <c r="B1392" s="5">
        <v>45715.916666666664</v>
      </c>
      <c r="C1392" s="1" t="s">
        <v>23</v>
      </c>
      <c r="D1392" s="1" t="s">
        <v>37</v>
      </c>
      <c r="E1392" s="1">
        <v>9</v>
      </c>
      <c r="F1392" s="1">
        <v>95.39</v>
      </c>
      <c r="G1392" s="1">
        <v>18.34</v>
      </c>
      <c r="H1392">
        <f t="shared" si="21"/>
        <v>858.51</v>
      </c>
    </row>
    <row r="1393" spans="1:8" x14ac:dyDescent="0.25">
      <c r="A1393" s="1" t="s">
        <v>1406</v>
      </c>
      <c r="B1393" s="5">
        <v>45715.958333333336</v>
      </c>
      <c r="C1393" s="1" t="s">
        <v>23</v>
      </c>
      <c r="D1393" s="1" t="s">
        <v>37</v>
      </c>
      <c r="E1393" s="1">
        <v>19</v>
      </c>
      <c r="F1393" s="1">
        <v>311.02</v>
      </c>
      <c r="G1393" s="1">
        <v>30.63</v>
      </c>
      <c r="H1393">
        <f t="shared" si="21"/>
        <v>5909.3799999999992</v>
      </c>
    </row>
    <row r="1394" spans="1:8" x14ac:dyDescent="0.25">
      <c r="A1394" s="1" t="s">
        <v>1407</v>
      </c>
      <c r="B1394" s="5">
        <v>45716</v>
      </c>
      <c r="C1394" s="1" t="s">
        <v>11</v>
      </c>
      <c r="D1394" s="1" t="s">
        <v>9</v>
      </c>
      <c r="E1394" s="1">
        <v>3</v>
      </c>
      <c r="F1394" s="1">
        <v>40.14</v>
      </c>
      <c r="G1394" s="1">
        <v>34.549999999999997</v>
      </c>
      <c r="H1394">
        <f t="shared" si="21"/>
        <v>120.42</v>
      </c>
    </row>
    <row r="1395" spans="1:8" x14ac:dyDescent="0.25">
      <c r="A1395" s="1" t="s">
        <v>1408</v>
      </c>
      <c r="B1395" s="5">
        <v>45716.041666666664</v>
      </c>
      <c r="C1395" s="1" t="s">
        <v>23</v>
      </c>
      <c r="D1395" s="1" t="s">
        <v>16</v>
      </c>
      <c r="E1395" s="1">
        <v>5</v>
      </c>
      <c r="F1395" s="1">
        <v>260.47000000000003</v>
      </c>
      <c r="G1395" s="1">
        <v>25.81</v>
      </c>
      <c r="H1395">
        <f t="shared" si="21"/>
        <v>1302.3500000000001</v>
      </c>
    </row>
    <row r="1396" spans="1:8" x14ac:dyDescent="0.25">
      <c r="A1396" s="1" t="s">
        <v>1409</v>
      </c>
      <c r="B1396" s="5">
        <v>45716.083333333336</v>
      </c>
      <c r="C1396" s="1" t="s">
        <v>13</v>
      </c>
      <c r="D1396" s="1" t="s">
        <v>19</v>
      </c>
      <c r="E1396" s="1">
        <v>18</v>
      </c>
      <c r="F1396" s="1">
        <v>107.02</v>
      </c>
      <c r="G1396" s="1">
        <v>41.18</v>
      </c>
      <c r="H1396">
        <f t="shared" si="21"/>
        <v>1926.36</v>
      </c>
    </row>
    <row r="1397" spans="1:8" x14ac:dyDescent="0.25">
      <c r="A1397" s="1" t="s">
        <v>1410</v>
      </c>
      <c r="B1397" s="5">
        <v>45716.125</v>
      </c>
      <c r="C1397" s="1" t="s">
        <v>23</v>
      </c>
      <c r="D1397" s="1" t="s">
        <v>19</v>
      </c>
      <c r="E1397" s="1">
        <v>1</v>
      </c>
      <c r="F1397" s="1">
        <v>427.77</v>
      </c>
      <c r="G1397" s="1">
        <v>10.06</v>
      </c>
      <c r="H1397">
        <f t="shared" si="21"/>
        <v>427.77</v>
      </c>
    </row>
    <row r="1398" spans="1:8" x14ac:dyDescent="0.25">
      <c r="A1398" s="1" t="s">
        <v>1411</v>
      </c>
      <c r="B1398" s="5">
        <v>45716.166666666664</v>
      </c>
      <c r="C1398" s="1" t="s">
        <v>8</v>
      </c>
      <c r="D1398" s="1" t="s">
        <v>19</v>
      </c>
      <c r="E1398" s="1">
        <v>8</v>
      </c>
      <c r="F1398" s="1">
        <v>161.29</v>
      </c>
      <c r="G1398" s="1">
        <v>8.8000000000000007</v>
      </c>
      <c r="H1398">
        <f t="shared" si="21"/>
        <v>1290.32</v>
      </c>
    </row>
    <row r="1399" spans="1:8" x14ac:dyDescent="0.25">
      <c r="A1399" s="1" t="s">
        <v>1412</v>
      </c>
      <c r="B1399" s="5">
        <v>45716.208333333336</v>
      </c>
      <c r="C1399" s="1" t="s">
        <v>8</v>
      </c>
      <c r="D1399" s="1" t="s">
        <v>19</v>
      </c>
      <c r="E1399" s="1">
        <v>19</v>
      </c>
      <c r="F1399" s="1">
        <v>156.81</v>
      </c>
      <c r="G1399" s="1">
        <v>6.99</v>
      </c>
      <c r="H1399">
        <f t="shared" si="21"/>
        <v>2979.39</v>
      </c>
    </row>
    <row r="1400" spans="1:8" x14ac:dyDescent="0.25">
      <c r="A1400" s="1" t="s">
        <v>1413</v>
      </c>
      <c r="B1400" s="5">
        <v>45716.25</v>
      </c>
      <c r="C1400" s="1" t="s">
        <v>11</v>
      </c>
      <c r="D1400" s="1" t="s">
        <v>19</v>
      </c>
      <c r="E1400" s="1">
        <v>17</v>
      </c>
      <c r="F1400" s="1">
        <v>416.71</v>
      </c>
      <c r="G1400" s="1">
        <v>29.11</v>
      </c>
      <c r="H1400">
        <f t="shared" si="21"/>
        <v>7084.07</v>
      </c>
    </row>
    <row r="1401" spans="1:8" x14ac:dyDescent="0.25">
      <c r="A1401" s="1" t="s">
        <v>1414</v>
      </c>
      <c r="B1401" s="5">
        <v>45716.291666666664</v>
      </c>
      <c r="C1401" s="1" t="s">
        <v>13</v>
      </c>
      <c r="D1401" s="1" t="s">
        <v>37</v>
      </c>
      <c r="E1401" s="1">
        <v>17</v>
      </c>
      <c r="F1401" s="1">
        <v>196.84</v>
      </c>
      <c r="G1401" s="1">
        <v>36.78</v>
      </c>
      <c r="H1401">
        <f t="shared" si="21"/>
        <v>3346.28</v>
      </c>
    </row>
    <row r="1402" spans="1:8" x14ac:dyDescent="0.25">
      <c r="A1402" s="1" t="s">
        <v>1415</v>
      </c>
      <c r="B1402" s="5">
        <v>45716.333333333336</v>
      </c>
      <c r="C1402" s="1" t="s">
        <v>8</v>
      </c>
      <c r="D1402" s="1" t="s">
        <v>9</v>
      </c>
      <c r="E1402" s="1">
        <v>11</v>
      </c>
      <c r="F1402" s="1">
        <v>433.86</v>
      </c>
      <c r="G1402" s="1">
        <v>10.87</v>
      </c>
      <c r="H1402">
        <f t="shared" si="21"/>
        <v>4772.46</v>
      </c>
    </row>
    <row r="1403" spans="1:8" x14ac:dyDescent="0.25">
      <c r="A1403" s="1" t="s">
        <v>1416</v>
      </c>
      <c r="B1403" s="5">
        <v>45716.375</v>
      </c>
      <c r="C1403" s="1" t="s">
        <v>8</v>
      </c>
      <c r="D1403" s="1" t="s">
        <v>19</v>
      </c>
      <c r="E1403" s="1">
        <v>2</v>
      </c>
      <c r="F1403" s="1">
        <v>26</v>
      </c>
      <c r="G1403" s="1">
        <v>33.75</v>
      </c>
      <c r="H1403">
        <f t="shared" si="21"/>
        <v>52</v>
      </c>
    </row>
    <row r="1404" spans="1:8" x14ac:dyDescent="0.25">
      <c r="A1404" s="1" t="s">
        <v>1417</v>
      </c>
      <c r="B1404" s="5">
        <v>45716.416666666664</v>
      </c>
      <c r="C1404" s="1" t="s">
        <v>13</v>
      </c>
      <c r="D1404" s="1" t="s">
        <v>9</v>
      </c>
      <c r="E1404" s="1">
        <v>6</v>
      </c>
      <c r="F1404" s="1">
        <v>148.61000000000001</v>
      </c>
      <c r="G1404" s="1">
        <v>26.46</v>
      </c>
      <c r="H1404">
        <f t="shared" si="21"/>
        <v>891.66000000000008</v>
      </c>
    </row>
    <row r="1405" spans="1:8" x14ac:dyDescent="0.25">
      <c r="A1405" s="1" t="s">
        <v>1418</v>
      </c>
      <c r="B1405" s="5">
        <v>45716.458333333336</v>
      </c>
      <c r="C1405" s="1" t="s">
        <v>23</v>
      </c>
      <c r="D1405" s="1" t="s">
        <v>9</v>
      </c>
      <c r="E1405" s="1">
        <v>14</v>
      </c>
      <c r="F1405" s="1">
        <v>304.95999999999998</v>
      </c>
      <c r="G1405" s="1">
        <v>49.43</v>
      </c>
      <c r="H1405">
        <f t="shared" si="21"/>
        <v>4269.4399999999996</v>
      </c>
    </row>
    <row r="1406" spans="1:8" x14ac:dyDescent="0.25">
      <c r="A1406" s="1" t="s">
        <v>1419</v>
      </c>
      <c r="B1406" s="5">
        <v>45716.5</v>
      </c>
      <c r="C1406" s="1" t="s">
        <v>23</v>
      </c>
      <c r="D1406" s="1" t="s">
        <v>37</v>
      </c>
      <c r="E1406" s="1">
        <v>3</v>
      </c>
      <c r="F1406" s="1">
        <v>402.58</v>
      </c>
      <c r="G1406" s="1">
        <v>37.29</v>
      </c>
      <c r="H1406">
        <f t="shared" si="21"/>
        <v>1207.74</v>
      </c>
    </row>
    <row r="1407" spans="1:8" x14ac:dyDescent="0.25">
      <c r="A1407" s="1" t="s">
        <v>1420</v>
      </c>
      <c r="B1407" s="5">
        <v>45716.541666666664</v>
      </c>
      <c r="C1407" s="1" t="s">
        <v>11</v>
      </c>
      <c r="D1407" s="1" t="s">
        <v>19</v>
      </c>
      <c r="E1407" s="1">
        <v>12</v>
      </c>
      <c r="F1407" s="1">
        <v>126.91</v>
      </c>
      <c r="G1407" s="1">
        <v>34.590000000000003</v>
      </c>
      <c r="H1407">
        <f t="shared" si="21"/>
        <v>1522.92</v>
      </c>
    </row>
    <row r="1408" spans="1:8" x14ac:dyDescent="0.25">
      <c r="A1408" s="1" t="s">
        <v>1421</v>
      </c>
      <c r="B1408" s="5">
        <v>45716.583333333336</v>
      </c>
      <c r="C1408" s="1" t="s">
        <v>23</v>
      </c>
      <c r="D1408" s="1" t="s">
        <v>37</v>
      </c>
      <c r="E1408" s="1">
        <v>4</v>
      </c>
      <c r="F1408" s="1">
        <v>419.79</v>
      </c>
      <c r="G1408" s="1">
        <v>30.67</v>
      </c>
      <c r="H1408">
        <f t="shared" si="21"/>
        <v>1679.16</v>
      </c>
    </row>
    <row r="1409" spans="1:8" x14ac:dyDescent="0.25">
      <c r="A1409" s="1" t="s">
        <v>1422</v>
      </c>
      <c r="B1409" s="5">
        <v>45716.625</v>
      </c>
      <c r="C1409" s="1" t="s">
        <v>13</v>
      </c>
      <c r="D1409" s="1" t="s">
        <v>19</v>
      </c>
      <c r="E1409" s="1">
        <v>12</v>
      </c>
      <c r="F1409" s="1">
        <v>273.64999999999998</v>
      </c>
      <c r="G1409" s="1">
        <v>49.88</v>
      </c>
      <c r="H1409">
        <f t="shared" si="21"/>
        <v>3283.7999999999997</v>
      </c>
    </row>
    <row r="1410" spans="1:8" x14ac:dyDescent="0.25">
      <c r="A1410" s="1" t="s">
        <v>1423</v>
      </c>
      <c r="B1410" s="5">
        <v>45716.666666666664</v>
      </c>
      <c r="C1410" s="1" t="s">
        <v>8</v>
      </c>
      <c r="D1410" s="1" t="s">
        <v>37</v>
      </c>
      <c r="E1410" s="1">
        <v>13</v>
      </c>
      <c r="F1410" s="1">
        <v>363.54</v>
      </c>
      <c r="G1410" s="1">
        <v>49.12</v>
      </c>
      <c r="H1410">
        <f t="shared" ref="H1410:H1473" si="22">E1410*F1410</f>
        <v>4726.0200000000004</v>
      </c>
    </row>
    <row r="1411" spans="1:8" x14ac:dyDescent="0.25">
      <c r="A1411" s="1" t="s">
        <v>1424</v>
      </c>
      <c r="B1411" s="5">
        <v>45716.708333333336</v>
      </c>
      <c r="C1411" s="1" t="s">
        <v>23</v>
      </c>
      <c r="D1411" s="1" t="s">
        <v>9</v>
      </c>
      <c r="E1411" s="1">
        <v>2</v>
      </c>
      <c r="F1411" s="1">
        <v>188.09</v>
      </c>
      <c r="G1411" s="1">
        <v>29.22</v>
      </c>
      <c r="H1411">
        <f t="shared" si="22"/>
        <v>376.18</v>
      </c>
    </row>
    <row r="1412" spans="1:8" x14ac:dyDescent="0.25">
      <c r="A1412" s="1" t="s">
        <v>1425</v>
      </c>
      <c r="B1412" s="5">
        <v>45716.75</v>
      </c>
      <c r="C1412" s="1" t="s">
        <v>11</v>
      </c>
      <c r="D1412" s="1" t="s">
        <v>19</v>
      </c>
      <c r="E1412" s="1">
        <v>2</v>
      </c>
      <c r="F1412" s="1">
        <v>107.69</v>
      </c>
      <c r="G1412" s="1">
        <v>25.48</v>
      </c>
      <c r="H1412">
        <f t="shared" si="22"/>
        <v>215.38</v>
      </c>
    </row>
    <row r="1413" spans="1:8" x14ac:dyDescent="0.25">
      <c r="A1413" s="1" t="s">
        <v>1426</v>
      </c>
      <c r="B1413" s="5">
        <v>45716.791666666664</v>
      </c>
      <c r="C1413" s="1" t="s">
        <v>23</v>
      </c>
      <c r="D1413" s="1" t="s">
        <v>16</v>
      </c>
      <c r="E1413" s="1">
        <v>15</v>
      </c>
      <c r="F1413" s="1">
        <v>411.43</v>
      </c>
      <c r="G1413" s="1">
        <v>25.8</v>
      </c>
      <c r="H1413">
        <f t="shared" si="22"/>
        <v>6171.45</v>
      </c>
    </row>
    <row r="1414" spans="1:8" x14ac:dyDescent="0.25">
      <c r="A1414" s="1" t="s">
        <v>1427</v>
      </c>
      <c r="B1414" s="5">
        <v>45716.833333333336</v>
      </c>
      <c r="C1414" s="1" t="s">
        <v>13</v>
      </c>
      <c r="D1414" s="1" t="s">
        <v>9</v>
      </c>
      <c r="E1414" s="1">
        <v>17</v>
      </c>
      <c r="F1414" s="1">
        <v>420.95</v>
      </c>
      <c r="G1414" s="1">
        <v>24.28</v>
      </c>
      <c r="H1414">
        <f t="shared" si="22"/>
        <v>7156.15</v>
      </c>
    </row>
    <row r="1415" spans="1:8" x14ac:dyDescent="0.25">
      <c r="A1415" s="1" t="s">
        <v>1428</v>
      </c>
      <c r="B1415" s="5">
        <v>45716.875</v>
      </c>
      <c r="C1415" s="1" t="s">
        <v>11</v>
      </c>
      <c r="D1415" s="1" t="s">
        <v>16</v>
      </c>
      <c r="E1415" s="1">
        <v>7</v>
      </c>
      <c r="F1415" s="1">
        <v>231.7</v>
      </c>
      <c r="G1415" s="1">
        <v>28.91</v>
      </c>
      <c r="H1415">
        <f t="shared" si="22"/>
        <v>1621.8999999999999</v>
      </c>
    </row>
    <row r="1416" spans="1:8" x14ac:dyDescent="0.25">
      <c r="A1416" s="1" t="s">
        <v>1429</v>
      </c>
      <c r="B1416" s="5">
        <v>45716.916666666664</v>
      </c>
      <c r="C1416" s="1" t="s">
        <v>23</v>
      </c>
      <c r="D1416" s="1" t="s">
        <v>9</v>
      </c>
      <c r="E1416" s="1">
        <v>14</v>
      </c>
      <c r="F1416" s="1">
        <v>18.32</v>
      </c>
      <c r="G1416" s="1">
        <v>17.309999999999999</v>
      </c>
      <c r="H1416">
        <f t="shared" si="22"/>
        <v>256.48</v>
      </c>
    </row>
    <row r="1417" spans="1:8" x14ac:dyDescent="0.25">
      <c r="A1417" s="1" t="s">
        <v>1430</v>
      </c>
      <c r="B1417" s="5">
        <v>45716.958333333336</v>
      </c>
      <c r="C1417" s="1" t="s">
        <v>11</v>
      </c>
      <c r="D1417" s="1" t="s">
        <v>37</v>
      </c>
      <c r="E1417" s="1">
        <v>12</v>
      </c>
      <c r="F1417" s="1">
        <v>63.2</v>
      </c>
      <c r="G1417" s="1">
        <v>46.71</v>
      </c>
      <c r="H1417">
        <f t="shared" si="22"/>
        <v>758.40000000000009</v>
      </c>
    </row>
    <row r="1418" spans="1:8" x14ac:dyDescent="0.25">
      <c r="A1418" s="1" t="s">
        <v>1431</v>
      </c>
      <c r="B1418" s="5">
        <v>45717</v>
      </c>
      <c r="C1418" s="1" t="s">
        <v>13</v>
      </c>
      <c r="D1418" s="1" t="s">
        <v>19</v>
      </c>
      <c r="E1418" s="1">
        <v>17</v>
      </c>
      <c r="F1418" s="1">
        <v>264.48</v>
      </c>
      <c r="G1418" s="1">
        <v>27.06</v>
      </c>
      <c r="H1418">
        <f t="shared" si="22"/>
        <v>4496.16</v>
      </c>
    </row>
    <row r="1419" spans="1:8" x14ac:dyDescent="0.25">
      <c r="A1419" s="1" t="s">
        <v>1432</v>
      </c>
      <c r="B1419" s="5">
        <v>45717.041666666664</v>
      </c>
      <c r="C1419" s="1" t="s">
        <v>8</v>
      </c>
      <c r="D1419" s="1" t="s">
        <v>9</v>
      </c>
      <c r="E1419" s="1">
        <v>14</v>
      </c>
      <c r="F1419" s="1">
        <v>25.83</v>
      </c>
      <c r="G1419" s="1">
        <v>42.89</v>
      </c>
      <c r="H1419">
        <f t="shared" si="22"/>
        <v>361.62</v>
      </c>
    </row>
    <row r="1420" spans="1:8" x14ac:dyDescent="0.25">
      <c r="A1420" s="1" t="s">
        <v>1433</v>
      </c>
      <c r="B1420" s="5">
        <v>45717.083333333336</v>
      </c>
      <c r="C1420" s="1" t="s">
        <v>13</v>
      </c>
      <c r="D1420" s="1" t="s">
        <v>37</v>
      </c>
      <c r="E1420" s="1">
        <v>6</v>
      </c>
      <c r="F1420" s="1">
        <v>187.96</v>
      </c>
      <c r="G1420" s="1">
        <v>26.39</v>
      </c>
      <c r="H1420">
        <f t="shared" si="22"/>
        <v>1127.76</v>
      </c>
    </row>
    <row r="1421" spans="1:8" x14ac:dyDescent="0.25">
      <c r="A1421" s="1" t="s">
        <v>1434</v>
      </c>
      <c r="B1421" s="5">
        <v>45717.125</v>
      </c>
      <c r="C1421" s="1" t="s">
        <v>13</v>
      </c>
      <c r="D1421" s="1" t="s">
        <v>19</v>
      </c>
      <c r="E1421" s="1">
        <v>19</v>
      </c>
      <c r="F1421" s="1">
        <v>147.31</v>
      </c>
      <c r="G1421" s="1">
        <v>37.32</v>
      </c>
      <c r="H1421">
        <f t="shared" si="22"/>
        <v>2798.89</v>
      </c>
    </row>
    <row r="1422" spans="1:8" x14ac:dyDescent="0.25">
      <c r="A1422" s="1" t="s">
        <v>1435</v>
      </c>
      <c r="B1422" s="5">
        <v>45717.166666666664</v>
      </c>
      <c r="C1422" s="1" t="s">
        <v>13</v>
      </c>
      <c r="D1422" s="1" t="s">
        <v>19</v>
      </c>
      <c r="E1422" s="1">
        <v>6</v>
      </c>
      <c r="F1422" s="1">
        <v>325.88</v>
      </c>
      <c r="G1422" s="1">
        <v>20.16</v>
      </c>
      <c r="H1422">
        <f t="shared" si="22"/>
        <v>1955.28</v>
      </c>
    </row>
    <row r="1423" spans="1:8" x14ac:dyDescent="0.25">
      <c r="A1423" s="1" t="s">
        <v>1436</v>
      </c>
      <c r="B1423" s="5">
        <v>45717.208333333336</v>
      </c>
      <c r="C1423" s="1" t="s">
        <v>13</v>
      </c>
      <c r="D1423" s="1" t="s">
        <v>9</v>
      </c>
      <c r="E1423" s="1">
        <v>18</v>
      </c>
      <c r="F1423" s="1">
        <v>39.65</v>
      </c>
      <c r="G1423" s="1">
        <v>33.119999999999997</v>
      </c>
      <c r="H1423">
        <f t="shared" si="22"/>
        <v>713.69999999999993</v>
      </c>
    </row>
    <row r="1424" spans="1:8" x14ac:dyDescent="0.25">
      <c r="A1424" s="1" t="s">
        <v>1437</v>
      </c>
      <c r="B1424" s="5">
        <v>45717.25</v>
      </c>
      <c r="C1424" s="1" t="s">
        <v>8</v>
      </c>
      <c r="D1424" s="1" t="s">
        <v>19</v>
      </c>
      <c r="E1424" s="1">
        <v>5</v>
      </c>
      <c r="F1424" s="1">
        <v>227.85</v>
      </c>
      <c r="G1424" s="1">
        <v>27.43</v>
      </c>
      <c r="H1424">
        <f t="shared" si="22"/>
        <v>1139.25</v>
      </c>
    </row>
    <row r="1425" spans="1:8" x14ac:dyDescent="0.25">
      <c r="A1425" s="1" t="s">
        <v>1438</v>
      </c>
      <c r="B1425" s="5">
        <v>45717.291666666664</v>
      </c>
      <c r="C1425" s="1" t="s">
        <v>8</v>
      </c>
      <c r="D1425" s="1" t="s">
        <v>9</v>
      </c>
      <c r="E1425" s="1">
        <v>6</v>
      </c>
      <c r="F1425" s="1">
        <v>267.13</v>
      </c>
      <c r="G1425" s="1">
        <v>21.52</v>
      </c>
      <c r="H1425">
        <f t="shared" si="22"/>
        <v>1602.78</v>
      </c>
    </row>
    <row r="1426" spans="1:8" x14ac:dyDescent="0.25">
      <c r="A1426" s="1" t="s">
        <v>1439</v>
      </c>
      <c r="B1426" s="5">
        <v>45717.333333333336</v>
      </c>
      <c r="C1426" s="1" t="s">
        <v>11</v>
      </c>
      <c r="D1426" s="1" t="s">
        <v>19</v>
      </c>
      <c r="E1426" s="1">
        <v>2</v>
      </c>
      <c r="F1426" s="1">
        <v>283.70999999999998</v>
      </c>
      <c r="G1426" s="1">
        <v>44.67</v>
      </c>
      <c r="H1426">
        <f t="shared" si="22"/>
        <v>567.41999999999996</v>
      </c>
    </row>
    <row r="1427" spans="1:8" x14ac:dyDescent="0.25">
      <c r="A1427" s="1" t="s">
        <v>1440</v>
      </c>
      <c r="B1427" s="5">
        <v>45717.375</v>
      </c>
      <c r="C1427" s="1" t="s">
        <v>23</v>
      </c>
      <c r="D1427" s="1" t="s">
        <v>16</v>
      </c>
      <c r="E1427" s="1">
        <v>8</v>
      </c>
      <c r="F1427" s="1">
        <v>191.54</v>
      </c>
      <c r="G1427" s="1">
        <v>10.07</v>
      </c>
      <c r="H1427">
        <f t="shared" si="22"/>
        <v>1532.32</v>
      </c>
    </row>
    <row r="1428" spans="1:8" x14ac:dyDescent="0.25">
      <c r="A1428" s="1" t="s">
        <v>1441</v>
      </c>
      <c r="B1428" s="5">
        <v>45717.416666666664</v>
      </c>
      <c r="C1428" s="1" t="s">
        <v>8</v>
      </c>
      <c r="D1428" s="1" t="s">
        <v>37</v>
      </c>
      <c r="E1428" s="1">
        <v>15</v>
      </c>
      <c r="F1428" s="1">
        <v>147.75</v>
      </c>
      <c r="G1428" s="1">
        <v>26.91</v>
      </c>
      <c r="H1428">
        <f t="shared" si="22"/>
        <v>2216.25</v>
      </c>
    </row>
    <row r="1429" spans="1:8" x14ac:dyDescent="0.25">
      <c r="A1429" s="1" t="s">
        <v>1442</v>
      </c>
      <c r="B1429" s="5">
        <v>45717.458333333336</v>
      </c>
      <c r="C1429" s="1" t="s">
        <v>8</v>
      </c>
      <c r="D1429" s="1" t="s">
        <v>16</v>
      </c>
      <c r="E1429" s="1">
        <v>15</v>
      </c>
      <c r="F1429" s="1">
        <v>312.04000000000002</v>
      </c>
      <c r="G1429" s="1">
        <v>13.75</v>
      </c>
      <c r="H1429">
        <f t="shared" si="22"/>
        <v>4680.6000000000004</v>
      </c>
    </row>
    <row r="1430" spans="1:8" x14ac:dyDescent="0.25">
      <c r="A1430" s="1" t="s">
        <v>1443</v>
      </c>
      <c r="B1430" s="5">
        <v>45717.5</v>
      </c>
      <c r="C1430" s="1" t="s">
        <v>23</v>
      </c>
      <c r="D1430" s="1" t="s">
        <v>9</v>
      </c>
      <c r="E1430" s="1">
        <v>11</v>
      </c>
      <c r="F1430" s="1">
        <v>383.77</v>
      </c>
      <c r="G1430" s="1">
        <v>43.75</v>
      </c>
      <c r="H1430">
        <f t="shared" si="22"/>
        <v>4221.4699999999993</v>
      </c>
    </row>
    <row r="1431" spans="1:8" x14ac:dyDescent="0.25">
      <c r="A1431" s="1" t="s">
        <v>1444</v>
      </c>
      <c r="B1431" s="5">
        <v>45717.541666666664</v>
      </c>
      <c r="C1431" s="1" t="s">
        <v>8</v>
      </c>
      <c r="D1431" s="1" t="s">
        <v>16</v>
      </c>
      <c r="E1431" s="1">
        <v>1</v>
      </c>
      <c r="F1431" s="1">
        <v>316.88</v>
      </c>
      <c r="G1431" s="1">
        <v>16.41</v>
      </c>
      <c r="H1431">
        <f t="shared" si="22"/>
        <v>316.88</v>
      </c>
    </row>
    <row r="1432" spans="1:8" x14ac:dyDescent="0.25">
      <c r="A1432" s="1" t="s">
        <v>1445</v>
      </c>
      <c r="B1432" s="5">
        <v>45717.583333333336</v>
      </c>
      <c r="C1432" s="1" t="s">
        <v>13</v>
      </c>
      <c r="D1432" s="1" t="s">
        <v>9</v>
      </c>
      <c r="E1432" s="1">
        <v>18</v>
      </c>
      <c r="F1432" s="1">
        <v>420.5</v>
      </c>
      <c r="G1432" s="1">
        <v>33.5</v>
      </c>
      <c r="H1432">
        <f t="shared" si="22"/>
        <v>7569</v>
      </c>
    </row>
    <row r="1433" spans="1:8" x14ac:dyDescent="0.25">
      <c r="A1433" s="1" t="s">
        <v>1446</v>
      </c>
      <c r="B1433" s="5">
        <v>45717.625</v>
      </c>
      <c r="C1433" s="1" t="s">
        <v>13</v>
      </c>
      <c r="D1433" s="1" t="s">
        <v>19</v>
      </c>
      <c r="E1433" s="1">
        <v>12</v>
      </c>
      <c r="F1433" s="1">
        <v>327.14999999999998</v>
      </c>
      <c r="G1433" s="1">
        <v>12.45</v>
      </c>
      <c r="H1433">
        <f t="shared" si="22"/>
        <v>3925.7999999999997</v>
      </c>
    </row>
    <row r="1434" spans="1:8" x14ac:dyDescent="0.25">
      <c r="A1434" s="1" t="s">
        <v>1447</v>
      </c>
      <c r="B1434" s="5">
        <v>45717.666666666664</v>
      </c>
      <c r="C1434" s="1" t="s">
        <v>23</v>
      </c>
      <c r="D1434" s="1" t="s">
        <v>19</v>
      </c>
      <c r="E1434" s="1">
        <v>12</v>
      </c>
      <c r="F1434" s="1">
        <v>347.73</v>
      </c>
      <c r="G1434" s="1">
        <v>23.22</v>
      </c>
      <c r="H1434">
        <f t="shared" si="22"/>
        <v>4172.76</v>
      </c>
    </row>
    <row r="1435" spans="1:8" x14ac:dyDescent="0.25">
      <c r="A1435" s="1" t="s">
        <v>1448</v>
      </c>
      <c r="B1435" s="5">
        <v>45717.708333333336</v>
      </c>
      <c r="C1435" s="1" t="s">
        <v>11</v>
      </c>
      <c r="D1435" s="1" t="s">
        <v>9</v>
      </c>
      <c r="E1435" s="1">
        <v>11</v>
      </c>
      <c r="F1435" s="1">
        <v>88.45</v>
      </c>
      <c r="G1435" s="1">
        <v>45.47</v>
      </c>
      <c r="H1435">
        <f t="shared" si="22"/>
        <v>972.95</v>
      </c>
    </row>
    <row r="1436" spans="1:8" x14ac:dyDescent="0.25">
      <c r="A1436" s="1" t="s">
        <v>1449</v>
      </c>
      <c r="B1436" s="5">
        <v>45717.75</v>
      </c>
      <c r="C1436" s="1" t="s">
        <v>11</v>
      </c>
      <c r="D1436" s="1" t="s">
        <v>16</v>
      </c>
      <c r="E1436" s="1">
        <v>8</v>
      </c>
      <c r="F1436" s="1">
        <v>197.79</v>
      </c>
      <c r="G1436" s="1">
        <v>12.47</v>
      </c>
      <c r="H1436">
        <f t="shared" si="22"/>
        <v>1582.32</v>
      </c>
    </row>
    <row r="1437" spans="1:8" x14ac:dyDescent="0.25">
      <c r="A1437" s="1" t="s">
        <v>1450</v>
      </c>
      <c r="B1437" s="5">
        <v>45717.791666666664</v>
      </c>
      <c r="C1437" s="1" t="s">
        <v>23</v>
      </c>
      <c r="D1437" s="1" t="s">
        <v>19</v>
      </c>
      <c r="E1437" s="1">
        <v>7</v>
      </c>
      <c r="F1437" s="1">
        <v>226.26</v>
      </c>
      <c r="G1437" s="1">
        <v>34.840000000000003</v>
      </c>
      <c r="H1437">
        <f t="shared" si="22"/>
        <v>1583.82</v>
      </c>
    </row>
    <row r="1438" spans="1:8" x14ac:dyDescent="0.25">
      <c r="A1438" s="1" t="s">
        <v>1451</v>
      </c>
      <c r="B1438" s="5">
        <v>45717.833333333336</v>
      </c>
      <c r="C1438" s="1" t="s">
        <v>23</v>
      </c>
      <c r="D1438" s="1" t="s">
        <v>37</v>
      </c>
      <c r="E1438" s="1">
        <v>2</v>
      </c>
      <c r="F1438" s="1">
        <v>126.86</v>
      </c>
      <c r="G1438" s="1">
        <v>14.2</v>
      </c>
      <c r="H1438">
        <f t="shared" si="22"/>
        <v>253.72</v>
      </c>
    </row>
    <row r="1439" spans="1:8" x14ac:dyDescent="0.25">
      <c r="A1439" s="1" t="s">
        <v>1452</v>
      </c>
      <c r="B1439" s="5">
        <v>45717.875</v>
      </c>
      <c r="C1439" s="1" t="s">
        <v>13</v>
      </c>
      <c r="D1439" s="1" t="s">
        <v>19</v>
      </c>
      <c r="E1439" s="1">
        <v>11</v>
      </c>
      <c r="F1439" s="1">
        <v>245.15</v>
      </c>
      <c r="G1439" s="1">
        <v>23.71</v>
      </c>
      <c r="H1439">
        <f t="shared" si="22"/>
        <v>2696.65</v>
      </c>
    </row>
    <row r="1440" spans="1:8" x14ac:dyDescent="0.25">
      <c r="A1440" s="1" t="s">
        <v>1453</v>
      </c>
      <c r="B1440" s="5">
        <v>45717.916666666664</v>
      </c>
      <c r="C1440" s="1" t="s">
        <v>11</v>
      </c>
      <c r="D1440" s="1" t="s">
        <v>37</v>
      </c>
      <c r="E1440" s="1">
        <v>10</v>
      </c>
      <c r="F1440" s="1">
        <v>141.85</v>
      </c>
      <c r="G1440" s="1">
        <v>29.33</v>
      </c>
      <c r="H1440">
        <f t="shared" si="22"/>
        <v>1418.5</v>
      </c>
    </row>
    <row r="1441" spans="1:8" x14ac:dyDescent="0.25">
      <c r="A1441" s="1" t="s">
        <v>1454</v>
      </c>
      <c r="B1441" s="5">
        <v>45717.958333333336</v>
      </c>
      <c r="C1441" s="1" t="s">
        <v>8</v>
      </c>
      <c r="D1441" s="1" t="s">
        <v>16</v>
      </c>
      <c r="E1441" s="1">
        <v>3</v>
      </c>
      <c r="F1441" s="1">
        <v>314.22000000000003</v>
      </c>
      <c r="G1441" s="1">
        <v>30.98</v>
      </c>
      <c r="H1441">
        <f t="shared" si="22"/>
        <v>942.66000000000008</v>
      </c>
    </row>
    <row r="1442" spans="1:8" x14ac:dyDescent="0.25">
      <c r="A1442" s="1" t="s">
        <v>1455</v>
      </c>
      <c r="B1442" s="5">
        <v>45718</v>
      </c>
      <c r="C1442" s="1" t="s">
        <v>13</v>
      </c>
      <c r="D1442" s="1" t="s">
        <v>37</v>
      </c>
      <c r="E1442" s="1">
        <v>10</v>
      </c>
      <c r="F1442" s="1">
        <v>219.84</v>
      </c>
      <c r="G1442" s="1">
        <v>32.11</v>
      </c>
      <c r="H1442">
        <f t="shared" si="22"/>
        <v>2198.4</v>
      </c>
    </row>
    <row r="1443" spans="1:8" x14ac:dyDescent="0.25">
      <c r="A1443" s="1" t="s">
        <v>1456</v>
      </c>
      <c r="B1443" s="5">
        <v>45718.041666666664</v>
      </c>
      <c r="C1443" s="1" t="s">
        <v>23</v>
      </c>
      <c r="D1443" s="1" t="s">
        <v>37</v>
      </c>
      <c r="E1443" s="1">
        <v>18</v>
      </c>
      <c r="F1443" s="1">
        <v>214.85</v>
      </c>
      <c r="G1443" s="1">
        <v>33.81</v>
      </c>
      <c r="H1443">
        <f t="shared" si="22"/>
        <v>3867.2999999999997</v>
      </c>
    </row>
    <row r="1444" spans="1:8" x14ac:dyDescent="0.25">
      <c r="A1444" s="1" t="s">
        <v>1457</v>
      </c>
      <c r="B1444" s="5">
        <v>45718.083333333336</v>
      </c>
      <c r="C1444" s="1" t="s">
        <v>11</v>
      </c>
      <c r="D1444" s="1" t="s">
        <v>37</v>
      </c>
      <c r="E1444" s="1">
        <v>14</v>
      </c>
      <c r="F1444" s="1">
        <v>442.89</v>
      </c>
      <c r="G1444" s="1">
        <v>17.23</v>
      </c>
      <c r="H1444">
        <f t="shared" si="22"/>
        <v>6200.46</v>
      </c>
    </row>
    <row r="1445" spans="1:8" x14ac:dyDescent="0.25">
      <c r="A1445" s="1" t="s">
        <v>1458</v>
      </c>
      <c r="B1445" s="5">
        <v>45718.125</v>
      </c>
      <c r="C1445" s="1" t="s">
        <v>8</v>
      </c>
      <c r="D1445" s="1" t="s">
        <v>37</v>
      </c>
      <c r="E1445" s="1">
        <v>18</v>
      </c>
      <c r="F1445" s="1">
        <v>186.02</v>
      </c>
      <c r="G1445" s="1">
        <v>23.06</v>
      </c>
      <c r="H1445">
        <f t="shared" si="22"/>
        <v>3348.36</v>
      </c>
    </row>
    <row r="1446" spans="1:8" x14ac:dyDescent="0.25">
      <c r="A1446" s="1" t="s">
        <v>1459</v>
      </c>
      <c r="B1446" s="5">
        <v>45718.166666666664</v>
      </c>
      <c r="C1446" s="1" t="s">
        <v>8</v>
      </c>
      <c r="D1446" s="1" t="s">
        <v>19</v>
      </c>
      <c r="E1446" s="1">
        <v>8</v>
      </c>
      <c r="F1446" s="1">
        <v>172.92</v>
      </c>
      <c r="G1446" s="1">
        <v>6.68</v>
      </c>
      <c r="H1446">
        <f t="shared" si="22"/>
        <v>1383.36</v>
      </c>
    </row>
    <row r="1447" spans="1:8" x14ac:dyDescent="0.25">
      <c r="A1447" s="1" t="s">
        <v>1460</v>
      </c>
      <c r="B1447" s="5">
        <v>45718.208333333336</v>
      </c>
      <c r="C1447" s="1" t="s">
        <v>13</v>
      </c>
      <c r="D1447" s="1" t="s">
        <v>37</v>
      </c>
      <c r="E1447" s="1">
        <v>10</v>
      </c>
      <c r="F1447" s="1">
        <v>153.93</v>
      </c>
      <c r="G1447" s="1">
        <v>39.590000000000003</v>
      </c>
      <c r="H1447">
        <f t="shared" si="22"/>
        <v>1539.3000000000002</v>
      </c>
    </row>
    <row r="1448" spans="1:8" x14ac:dyDescent="0.25">
      <c r="A1448" s="1" t="s">
        <v>1461</v>
      </c>
      <c r="B1448" s="5">
        <v>45718.25</v>
      </c>
      <c r="C1448" s="1" t="s">
        <v>11</v>
      </c>
      <c r="D1448" s="1" t="s">
        <v>19</v>
      </c>
      <c r="E1448" s="1">
        <v>13</v>
      </c>
      <c r="F1448" s="1">
        <v>404.27</v>
      </c>
      <c r="G1448" s="1">
        <v>42.67</v>
      </c>
      <c r="H1448">
        <f t="shared" si="22"/>
        <v>5255.51</v>
      </c>
    </row>
    <row r="1449" spans="1:8" x14ac:dyDescent="0.25">
      <c r="A1449" s="1" t="s">
        <v>1462</v>
      </c>
      <c r="B1449" s="5">
        <v>45718.291666666664</v>
      </c>
      <c r="C1449" s="1" t="s">
        <v>11</v>
      </c>
      <c r="D1449" s="1" t="s">
        <v>37</v>
      </c>
      <c r="E1449" s="1">
        <v>8</v>
      </c>
      <c r="F1449" s="1">
        <v>231.33</v>
      </c>
      <c r="G1449" s="1">
        <v>13.97</v>
      </c>
      <c r="H1449">
        <f t="shared" si="22"/>
        <v>1850.64</v>
      </c>
    </row>
    <row r="1450" spans="1:8" x14ac:dyDescent="0.25">
      <c r="A1450" s="1" t="s">
        <v>1463</v>
      </c>
      <c r="B1450" s="5">
        <v>45718.333333333336</v>
      </c>
      <c r="C1450" s="1" t="s">
        <v>23</v>
      </c>
      <c r="D1450" s="1" t="s">
        <v>9</v>
      </c>
      <c r="E1450" s="1">
        <v>4</v>
      </c>
      <c r="F1450" s="1">
        <v>276.20999999999998</v>
      </c>
      <c r="G1450" s="1">
        <v>14.06</v>
      </c>
      <c r="H1450">
        <f t="shared" si="22"/>
        <v>1104.8399999999999</v>
      </c>
    </row>
    <row r="1451" spans="1:8" x14ac:dyDescent="0.25">
      <c r="A1451" s="1" t="s">
        <v>1464</v>
      </c>
      <c r="B1451" s="5">
        <v>45718.375</v>
      </c>
      <c r="C1451" s="1" t="s">
        <v>11</v>
      </c>
      <c r="D1451" s="1" t="s">
        <v>16</v>
      </c>
      <c r="E1451" s="1">
        <v>4</v>
      </c>
      <c r="F1451" s="1">
        <v>94.07</v>
      </c>
      <c r="G1451" s="1">
        <v>6.89</v>
      </c>
      <c r="H1451">
        <f t="shared" si="22"/>
        <v>376.28</v>
      </c>
    </row>
    <row r="1452" spans="1:8" x14ac:dyDescent="0.25">
      <c r="A1452" s="1" t="s">
        <v>1465</v>
      </c>
      <c r="B1452" s="5">
        <v>45718.416666666664</v>
      </c>
      <c r="C1452" s="1" t="s">
        <v>11</v>
      </c>
      <c r="D1452" s="1" t="s">
        <v>37</v>
      </c>
      <c r="E1452" s="1">
        <v>5</v>
      </c>
      <c r="F1452" s="1">
        <v>250.54</v>
      </c>
      <c r="G1452" s="1">
        <v>48.67</v>
      </c>
      <c r="H1452">
        <f t="shared" si="22"/>
        <v>1252.7</v>
      </c>
    </row>
    <row r="1453" spans="1:8" x14ac:dyDescent="0.25">
      <c r="A1453" s="1" t="s">
        <v>1466</v>
      </c>
      <c r="B1453" s="5">
        <v>45718.458333333336</v>
      </c>
      <c r="C1453" s="1" t="s">
        <v>13</v>
      </c>
      <c r="D1453" s="1" t="s">
        <v>9</v>
      </c>
      <c r="E1453" s="1">
        <v>1</v>
      </c>
      <c r="F1453" s="1">
        <v>134.83000000000001</v>
      </c>
      <c r="G1453" s="1">
        <v>41.32</v>
      </c>
      <c r="H1453">
        <f t="shared" si="22"/>
        <v>134.83000000000001</v>
      </c>
    </row>
    <row r="1454" spans="1:8" x14ac:dyDescent="0.25">
      <c r="A1454" s="1" t="s">
        <v>1467</v>
      </c>
      <c r="B1454" s="5">
        <v>45718.5</v>
      </c>
      <c r="C1454" s="1" t="s">
        <v>11</v>
      </c>
      <c r="D1454" s="1" t="s">
        <v>37</v>
      </c>
      <c r="E1454" s="1">
        <v>17</v>
      </c>
      <c r="F1454" s="1">
        <v>332.96</v>
      </c>
      <c r="G1454" s="1">
        <v>21.23</v>
      </c>
      <c r="H1454">
        <f t="shared" si="22"/>
        <v>5660.32</v>
      </c>
    </row>
    <row r="1455" spans="1:8" x14ac:dyDescent="0.25">
      <c r="A1455" s="1" t="s">
        <v>1468</v>
      </c>
      <c r="B1455" s="5">
        <v>45718.541666666664</v>
      </c>
      <c r="C1455" s="1" t="s">
        <v>8</v>
      </c>
      <c r="D1455" s="1" t="s">
        <v>37</v>
      </c>
      <c r="E1455" s="1">
        <v>2</v>
      </c>
      <c r="F1455" s="1">
        <v>377.23</v>
      </c>
      <c r="G1455" s="1">
        <v>26.69</v>
      </c>
      <c r="H1455">
        <f t="shared" si="22"/>
        <v>754.46</v>
      </c>
    </row>
    <row r="1456" spans="1:8" x14ac:dyDescent="0.25">
      <c r="A1456" s="1" t="s">
        <v>1469</v>
      </c>
      <c r="B1456" s="5">
        <v>45718.583333333336</v>
      </c>
      <c r="C1456" s="1" t="s">
        <v>13</v>
      </c>
      <c r="D1456" s="1" t="s">
        <v>37</v>
      </c>
      <c r="E1456" s="1">
        <v>8</v>
      </c>
      <c r="F1456" s="1">
        <v>326.08999999999997</v>
      </c>
      <c r="G1456" s="1">
        <v>18.14</v>
      </c>
      <c r="H1456">
        <f t="shared" si="22"/>
        <v>2608.7199999999998</v>
      </c>
    </row>
    <row r="1457" spans="1:8" x14ac:dyDescent="0.25">
      <c r="A1457" s="1" t="s">
        <v>1470</v>
      </c>
      <c r="B1457" s="5">
        <v>45718.625</v>
      </c>
      <c r="C1457" s="1" t="s">
        <v>13</v>
      </c>
      <c r="D1457" s="1" t="s">
        <v>9</v>
      </c>
      <c r="E1457" s="1">
        <v>7</v>
      </c>
      <c r="F1457" s="1">
        <v>332.79</v>
      </c>
      <c r="G1457" s="1">
        <v>31.88</v>
      </c>
      <c r="H1457">
        <f t="shared" si="22"/>
        <v>2329.5300000000002</v>
      </c>
    </row>
    <row r="1458" spans="1:8" x14ac:dyDescent="0.25">
      <c r="A1458" s="1" t="s">
        <v>1471</v>
      </c>
      <c r="B1458" s="5">
        <v>45718.666666666664</v>
      </c>
      <c r="C1458" s="1" t="s">
        <v>23</v>
      </c>
      <c r="D1458" s="1" t="s">
        <v>16</v>
      </c>
      <c r="E1458" s="1">
        <v>15</v>
      </c>
      <c r="F1458" s="1">
        <v>238.17</v>
      </c>
      <c r="G1458" s="1">
        <v>37.28</v>
      </c>
      <c r="H1458">
        <f t="shared" si="22"/>
        <v>3572.5499999999997</v>
      </c>
    </row>
    <row r="1459" spans="1:8" x14ac:dyDescent="0.25">
      <c r="A1459" s="1" t="s">
        <v>1472</v>
      </c>
      <c r="B1459" s="5">
        <v>45718.708333333336</v>
      </c>
      <c r="C1459" s="1" t="s">
        <v>11</v>
      </c>
      <c r="D1459" s="1" t="s">
        <v>9</v>
      </c>
      <c r="E1459" s="1">
        <v>5</v>
      </c>
      <c r="F1459" s="1">
        <v>324.92</v>
      </c>
      <c r="G1459" s="1">
        <v>25.13</v>
      </c>
      <c r="H1459">
        <f t="shared" si="22"/>
        <v>1624.6000000000001</v>
      </c>
    </row>
    <row r="1460" spans="1:8" x14ac:dyDescent="0.25">
      <c r="A1460" s="1" t="s">
        <v>1473</v>
      </c>
      <c r="B1460" s="5">
        <v>45718.75</v>
      </c>
      <c r="C1460" s="1" t="s">
        <v>23</v>
      </c>
      <c r="D1460" s="1" t="s">
        <v>16</v>
      </c>
      <c r="E1460" s="1">
        <v>2</v>
      </c>
      <c r="F1460" s="1">
        <v>199.16</v>
      </c>
      <c r="G1460" s="1">
        <v>44.31</v>
      </c>
      <c r="H1460">
        <f t="shared" si="22"/>
        <v>398.32</v>
      </c>
    </row>
    <row r="1461" spans="1:8" x14ac:dyDescent="0.25">
      <c r="A1461" s="1" t="s">
        <v>1474</v>
      </c>
      <c r="B1461" s="5">
        <v>45718.791666666664</v>
      </c>
      <c r="C1461" s="1" t="s">
        <v>8</v>
      </c>
      <c r="D1461" s="1" t="s">
        <v>37</v>
      </c>
      <c r="E1461" s="1">
        <v>7</v>
      </c>
      <c r="F1461" s="1">
        <v>298.57</v>
      </c>
      <c r="G1461" s="1">
        <v>28.27</v>
      </c>
      <c r="H1461">
        <f t="shared" si="22"/>
        <v>2089.9899999999998</v>
      </c>
    </row>
    <row r="1462" spans="1:8" x14ac:dyDescent="0.25">
      <c r="A1462" s="1" t="s">
        <v>1475</v>
      </c>
      <c r="B1462" s="5">
        <v>45718.833333333336</v>
      </c>
      <c r="C1462" s="1" t="s">
        <v>13</v>
      </c>
      <c r="D1462" s="1" t="s">
        <v>19</v>
      </c>
      <c r="E1462" s="1">
        <v>8</v>
      </c>
      <c r="F1462" s="1">
        <v>128.05000000000001</v>
      </c>
      <c r="G1462" s="1">
        <v>11.49</v>
      </c>
      <c r="H1462">
        <f t="shared" si="22"/>
        <v>1024.4000000000001</v>
      </c>
    </row>
    <row r="1463" spans="1:8" x14ac:dyDescent="0.25">
      <c r="A1463" s="1" t="s">
        <v>1476</v>
      </c>
      <c r="B1463" s="5">
        <v>45718.875</v>
      </c>
      <c r="C1463" s="1" t="s">
        <v>13</v>
      </c>
      <c r="D1463" s="1" t="s">
        <v>37</v>
      </c>
      <c r="E1463" s="1">
        <v>7</v>
      </c>
      <c r="F1463" s="1">
        <v>45.81</v>
      </c>
      <c r="G1463" s="1">
        <v>33</v>
      </c>
      <c r="H1463">
        <f t="shared" si="22"/>
        <v>320.67</v>
      </c>
    </row>
    <row r="1464" spans="1:8" x14ac:dyDescent="0.25">
      <c r="A1464" s="1" t="s">
        <v>1477</v>
      </c>
      <c r="B1464" s="5">
        <v>45718.916666666664</v>
      </c>
      <c r="C1464" s="1" t="s">
        <v>13</v>
      </c>
      <c r="D1464" s="1" t="s">
        <v>16</v>
      </c>
      <c r="E1464" s="1">
        <v>7</v>
      </c>
      <c r="F1464" s="1">
        <v>195.15</v>
      </c>
      <c r="G1464" s="1">
        <v>25.8</v>
      </c>
      <c r="H1464">
        <f t="shared" si="22"/>
        <v>1366.05</v>
      </c>
    </row>
    <row r="1465" spans="1:8" x14ac:dyDescent="0.25">
      <c r="A1465" s="1" t="s">
        <v>1478</v>
      </c>
      <c r="B1465" s="5">
        <v>45718.958333333336</v>
      </c>
      <c r="C1465" s="1" t="s">
        <v>8</v>
      </c>
      <c r="D1465" s="1" t="s">
        <v>9</v>
      </c>
      <c r="E1465" s="1">
        <v>14</v>
      </c>
      <c r="F1465" s="1">
        <v>216.14</v>
      </c>
      <c r="G1465" s="1">
        <v>47.11</v>
      </c>
      <c r="H1465">
        <f t="shared" si="22"/>
        <v>3025.96</v>
      </c>
    </row>
    <row r="1466" spans="1:8" x14ac:dyDescent="0.25">
      <c r="A1466" s="1" t="s">
        <v>1479</v>
      </c>
      <c r="B1466" s="5">
        <v>45719</v>
      </c>
      <c r="C1466" s="1" t="s">
        <v>8</v>
      </c>
      <c r="D1466" s="1" t="s">
        <v>37</v>
      </c>
      <c r="E1466" s="1">
        <v>18</v>
      </c>
      <c r="F1466" s="1">
        <v>126.91</v>
      </c>
      <c r="G1466" s="1">
        <v>22.64</v>
      </c>
      <c r="H1466">
        <f t="shared" si="22"/>
        <v>2284.38</v>
      </c>
    </row>
    <row r="1467" spans="1:8" x14ac:dyDescent="0.25">
      <c r="A1467" s="1" t="s">
        <v>1480</v>
      </c>
      <c r="B1467" s="5">
        <v>45719.041666666664</v>
      </c>
      <c r="C1467" s="1" t="s">
        <v>23</v>
      </c>
      <c r="D1467" s="1" t="s">
        <v>9</v>
      </c>
      <c r="E1467" s="1">
        <v>6</v>
      </c>
      <c r="F1467" s="1">
        <v>331.69</v>
      </c>
      <c r="G1467" s="1">
        <v>23.13</v>
      </c>
      <c r="H1467">
        <f t="shared" si="22"/>
        <v>1990.1399999999999</v>
      </c>
    </row>
    <row r="1468" spans="1:8" x14ac:dyDescent="0.25">
      <c r="A1468" s="1" t="s">
        <v>1481</v>
      </c>
      <c r="B1468" s="5">
        <v>45719.083333333336</v>
      </c>
      <c r="C1468" s="1" t="s">
        <v>23</v>
      </c>
      <c r="D1468" s="1" t="s">
        <v>9</v>
      </c>
      <c r="E1468" s="1">
        <v>4</v>
      </c>
      <c r="F1468" s="1">
        <v>47.46</v>
      </c>
      <c r="G1468" s="1">
        <v>34.28</v>
      </c>
      <c r="H1468">
        <f t="shared" si="22"/>
        <v>189.84</v>
      </c>
    </row>
    <row r="1469" spans="1:8" x14ac:dyDescent="0.25">
      <c r="A1469" s="1" t="s">
        <v>1482</v>
      </c>
      <c r="B1469" s="5">
        <v>45719.125</v>
      </c>
      <c r="C1469" s="1" t="s">
        <v>23</v>
      </c>
      <c r="D1469" s="1" t="s">
        <v>9</v>
      </c>
      <c r="E1469" s="1">
        <v>10</v>
      </c>
      <c r="F1469" s="1">
        <v>112.28</v>
      </c>
      <c r="G1469" s="1">
        <v>28.71</v>
      </c>
      <c r="H1469">
        <f t="shared" si="22"/>
        <v>1122.8</v>
      </c>
    </row>
    <row r="1470" spans="1:8" x14ac:dyDescent="0.25">
      <c r="A1470" s="1" t="s">
        <v>1483</v>
      </c>
      <c r="B1470" s="5">
        <v>45719.166666666664</v>
      </c>
      <c r="C1470" s="1" t="s">
        <v>11</v>
      </c>
      <c r="D1470" s="1" t="s">
        <v>37</v>
      </c>
      <c r="E1470" s="1">
        <v>18</v>
      </c>
      <c r="F1470" s="1">
        <v>340.75</v>
      </c>
      <c r="G1470" s="1">
        <v>21.85</v>
      </c>
      <c r="H1470">
        <f t="shared" si="22"/>
        <v>6133.5</v>
      </c>
    </row>
    <row r="1471" spans="1:8" x14ac:dyDescent="0.25">
      <c r="A1471" s="1" t="s">
        <v>1484</v>
      </c>
      <c r="B1471" s="5">
        <v>45719.208333333336</v>
      </c>
      <c r="C1471" s="1" t="s">
        <v>13</v>
      </c>
      <c r="D1471" s="1" t="s">
        <v>9</v>
      </c>
      <c r="E1471" s="1">
        <v>12</v>
      </c>
      <c r="F1471" s="1">
        <v>205.43</v>
      </c>
      <c r="G1471" s="1">
        <v>49.54</v>
      </c>
      <c r="H1471">
        <f t="shared" si="22"/>
        <v>2465.16</v>
      </c>
    </row>
    <row r="1472" spans="1:8" x14ac:dyDescent="0.25">
      <c r="A1472" s="1" t="s">
        <v>1485</v>
      </c>
      <c r="B1472" s="5">
        <v>45719.25</v>
      </c>
      <c r="C1472" s="1" t="s">
        <v>13</v>
      </c>
      <c r="D1472" s="1" t="s">
        <v>9</v>
      </c>
      <c r="E1472" s="1">
        <v>16</v>
      </c>
      <c r="F1472" s="1">
        <v>321.95</v>
      </c>
      <c r="G1472" s="1">
        <v>18.600000000000001</v>
      </c>
      <c r="H1472">
        <f t="shared" si="22"/>
        <v>5151.2</v>
      </c>
    </row>
    <row r="1473" spans="1:8" x14ac:dyDescent="0.25">
      <c r="A1473" s="1" t="s">
        <v>1486</v>
      </c>
      <c r="B1473" s="5">
        <v>45719.291666666664</v>
      </c>
      <c r="C1473" s="1" t="s">
        <v>23</v>
      </c>
      <c r="D1473" s="1" t="s">
        <v>37</v>
      </c>
      <c r="E1473" s="1">
        <v>7</v>
      </c>
      <c r="F1473" s="1">
        <v>262.07</v>
      </c>
      <c r="G1473" s="1">
        <v>17.489999999999998</v>
      </c>
      <c r="H1473">
        <f t="shared" si="22"/>
        <v>1834.49</v>
      </c>
    </row>
    <row r="1474" spans="1:8" x14ac:dyDescent="0.25">
      <c r="A1474" s="1" t="s">
        <v>1487</v>
      </c>
      <c r="B1474" s="5">
        <v>45719.333333333336</v>
      </c>
      <c r="C1474" s="1" t="s">
        <v>13</v>
      </c>
      <c r="D1474" s="1" t="s">
        <v>9</v>
      </c>
      <c r="E1474" s="1">
        <v>6</v>
      </c>
      <c r="F1474" s="1">
        <v>428.58</v>
      </c>
      <c r="G1474" s="1">
        <v>43.9</v>
      </c>
      <c r="H1474">
        <f t="shared" ref="H1474:H1537" si="23">E1474*F1474</f>
        <v>2571.48</v>
      </c>
    </row>
    <row r="1475" spans="1:8" x14ac:dyDescent="0.25">
      <c r="A1475" s="1" t="s">
        <v>1488</v>
      </c>
      <c r="B1475" s="5">
        <v>45719.375</v>
      </c>
      <c r="C1475" s="1" t="s">
        <v>23</v>
      </c>
      <c r="D1475" s="1" t="s">
        <v>37</v>
      </c>
      <c r="E1475" s="1">
        <v>5</v>
      </c>
      <c r="F1475" s="1">
        <v>275.24</v>
      </c>
      <c r="G1475" s="1">
        <v>5.15</v>
      </c>
      <c r="H1475">
        <f t="shared" si="23"/>
        <v>1376.2</v>
      </c>
    </row>
    <row r="1476" spans="1:8" x14ac:dyDescent="0.25">
      <c r="A1476" s="1" t="s">
        <v>1489</v>
      </c>
      <c r="B1476" s="5">
        <v>45719.416666666664</v>
      </c>
      <c r="C1476" s="1" t="s">
        <v>11</v>
      </c>
      <c r="D1476" s="1" t="s">
        <v>16</v>
      </c>
      <c r="E1476" s="1">
        <v>3</v>
      </c>
      <c r="F1476" s="1">
        <v>21.96</v>
      </c>
      <c r="G1476" s="1">
        <v>14.06</v>
      </c>
      <c r="H1476">
        <f t="shared" si="23"/>
        <v>65.88</v>
      </c>
    </row>
    <row r="1477" spans="1:8" x14ac:dyDescent="0.25">
      <c r="A1477" s="1" t="s">
        <v>1490</v>
      </c>
      <c r="B1477" s="5">
        <v>45719.458333333336</v>
      </c>
      <c r="C1477" s="1" t="s">
        <v>11</v>
      </c>
      <c r="D1477" s="1" t="s">
        <v>16</v>
      </c>
      <c r="E1477" s="1">
        <v>12</v>
      </c>
      <c r="F1477" s="1">
        <v>168.83</v>
      </c>
      <c r="G1477" s="1">
        <v>31.57</v>
      </c>
      <c r="H1477">
        <f t="shared" si="23"/>
        <v>2025.96</v>
      </c>
    </row>
    <row r="1478" spans="1:8" x14ac:dyDescent="0.25">
      <c r="A1478" s="1" t="s">
        <v>1491</v>
      </c>
      <c r="B1478" s="5">
        <v>45719.5</v>
      </c>
      <c r="C1478" s="1" t="s">
        <v>8</v>
      </c>
      <c r="D1478" s="1" t="s">
        <v>16</v>
      </c>
      <c r="E1478" s="1">
        <v>15</v>
      </c>
      <c r="F1478" s="1">
        <v>77.66</v>
      </c>
      <c r="G1478" s="1">
        <v>12.31</v>
      </c>
      <c r="H1478">
        <f t="shared" si="23"/>
        <v>1164.8999999999999</v>
      </c>
    </row>
    <row r="1479" spans="1:8" x14ac:dyDescent="0.25">
      <c r="A1479" s="1" t="s">
        <v>1492</v>
      </c>
      <c r="B1479" s="5">
        <v>45719.541666666664</v>
      </c>
      <c r="C1479" s="1" t="s">
        <v>11</v>
      </c>
      <c r="D1479" s="1" t="s">
        <v>9</v>
      </c>
      <c r="E1479" s="1">
        <v>10</v>
      </c>
      <c r="F1479" s="1">
        <v>417.25</v>
      </c>
      <c r="G1479" s="1">
        <v>49.36</v>
      </c>
      <c r="H1479">
        <f t="shared" si="23"/>
        <v>4172.5</v>
      </c>
    </row>
    <row r="1480" spans="1:8" x14ac:dyDescent="0.25">
      <c r="A1480" s="1" t="s">
        <v>1493</v>
      </c>
      <c r="B1480" s="5">
        <v>45719.583333333336</v>
      </c>
      <c r="C1480" s="1" t="s">
        <v>23</v>
      </c>
      <c r="D1480" s="1" t="s">
        <v>19</v>
      </c>
      <c r="E1480" s="1">
        <v>19</v>
      </c>
      <c r="F1480" s="1">
        <v>60.69</v>
      </c>
      <c r="G1480" s="1">
        <v>25.89</v>
      </c>
      <c r="H1480">
        <f t="shared" si="23"/>
        <v>1153.1099999999999</v>
      </c>
    </row>
    <row r="1481" spans="1:8" x14ac:dyDescent="0.25">
      <c r="A1481" s="1" t="s">
        <v>1494</v>
      </c>
      <c r="B1481" s="5">
        <v>45719.625</v>
      </c>
      <c r="C1481" s="1" t="s">
        <v>11</v>
      </c>
      <c r="D1481" s="1" t="s">
        <v>19</v>
      </c>
      <c r="E1481" s="1">
        <v>16</v>
      </c>
      <c r="F1481" s="1">
        <v>183.96</v>
      </c>
      <c r="G1481" s="1">
        <v>31.88</v>
      </c>
      <c r="H1481">
        <f t="shared" si="23"/>
        <v>2943.36</v>
      </c>
    </row>
    <row r="1482" spans="1:8" x14ac:dyDescent="0.25">
      <c r="A1482" s="1" t="s">
        <v>1495</v>
      </c>
      <c r="B1482" s="5">
        <v>45719.666666666664</v>
      </c>
      <c r="C1482" s="1" t="s">
        <v>8</v>
      </c>
      <c r="D1482" s="1" t="s">
        <v>9</v>
      </c>
      <c r="E1482" s="1">
        <v>11</v>
      </c>
      <c r="F1482" s="1">
        <v>113.74</v>
      </c>
      <c r="G1482" s="1">
        <v>12.22</v>
      </c>
      <c r="H1482">
        <f t="shared" si="23"/>
        <v>1251.1399999999999</v>
      </c>
    </row>
    <row r="1483" spans="1:8" x14ac:dyDescent="0.25">
      <c r="A1483" s="1" t="s">
        <v>1496</v>
      </c>
      <c r="B1483" s="5">
        <v>45719.708333333336</v>
      </c>
      <c r="C1483" s="1" t="s">
        <v>13</v>
      </c>
      <c r="D1483" s="1" t="s">
        <v>19</v>
      </c>
      <c r="E1483" s="1">
        <v>8</v>
      </c>
      <c r="F1483" s="1">
        <v>383.4</v>
      </c>
      <c r="G1483" s="1">
        <v>18.02</v>
      </c>
      <c r="H1483">
        <f t="shared" si="23"/>
        <v>3067.2</v>
      </c>
    </row>
    <row r="1484" spans="1:8" x14ac:dyDescent="0.25">
      <c r="A1484" s="1" t="s">
        <v>1497</v>
      </c>
      <c r="B1484" s="5">
        <v>45719.75</v>
      </c>
      <c r="C1484" s="1" t="s">
        <v>23</v>
      </c>
      <c r="D1484" s="1" t="s">
        <v>37</v>
      </c>
      <c r="E1484" s="1">
        <v>3</v>
      </c>
      <c r="F1484" s="1">
        <v>149.57</v>
      </c>
      <c r="G1484" s="1">
        <v>32.659999999999997</v>
      </c>
      <c r="H1484">
        <f t="shared" si="23"/>
        <v>448.71</v>
      </c>
    </row>
    <row r="1485" spans="1:8" x14ac:dyDescent="0.25">
      <c r="A1485" s="1" t="s">
        <v>1498</v>
      </c>
      <c r="B1485" s="5">
        <v>45719.791666666664</v>
      </c>
      <c r="C1485" s="1" t="s">
        <v>13</v>
      </c>
      <c r="D1485" s="1" t="s">
        <v>19</v>
      </c>
      <c r="E1485" s="1">
        <v>7</v>
      </c>
      <c r="F1485" s="1">
        <v>446.48</v>
      </c>
      <c r="G1485" s="1">
        <v>29.73</v>
      </c>
      <c r="H1485">
        <f t="shared" si="23"/>
        <v>3125.36</v>
      </c>
    </row>
    <row r="1486" spans="1:8" x14ac:dyDescent="0.25">
      <c r="A1486" s="1" t="s">
        <v>1499</v>
      </c>
      <c r="B1486" s="5">
        <v>45719.833333333336</v>
      </c>
      <c r="C1486" s="1" t="s">
        <v>8</v>
      </c>
      <c r="D1486" s="1" t="s">
        <v>9</v>
      </c>
      <c r="E1486" s="1">
        <v>7</v>
      </c>
      <c r="F1486" s="1">
        <v>32.28</v>
      </c>
      <c r="G1486" s="1">
        <v>40.299999999999997</v>
      </c>
      <c r="H1486">
        <f t="shared" si="23"/>
        <v>225.96</v>
      </c>
    </row>
    <row r="1487" spans="1:8" x14ac:dyDescent="0.25">
      <c r="A1487" s="1" t="s">
        <v>1500</v>
      </c>
      <c r="B1487" s="5">
        <v>45719.875</v>
      </c>
      <c r="C1487" s="1" t="s">
        <v>8</v>
      </c>
      <c r="D1487" s="1" t="s">
        <v>9</v>
      </c>
      <c r="E1487" s="1">
        <v>14</v>
      </c>
      <c r="F1487" s="1">
        <v>71.239999999999995</v>
      </c>
      <c r="G1487" s="1">
        <v>17.12</v>
      </c>
      <c r="H1487">
        <f t="shared" si="23"/>
        <v>997.3599999999999</v>
      </c>
    </row>
    <row r="1488" spans="1:8" x14ac:dyDescent="0.25">
      <c r="A1488" s="1" t="s">
        <v>1501</v>
      </c>
      <c r="B1488" s="5">
        <v>45719.916666666664</v>
      </c>
      <c r="C1488" s="1" t="s">
        <v>8</v>
      </c>
      <c r="D1488" s="1" t="s">
        <v>37</v>
      </c>
      <c r="E1488" s="1">
        <v>2</v>
      </c>
      <c r="F1488" s="1">
        <v>113.11</v>
      </c>
      <c r="G1488" s="1">
        <v>34.409999999999997</v>
      </c>
      <c r="H1488">
        <f t="shared" si="23"/>
        <v>226.22</v>
      </c>
    </row>
    <row r="1489" spans="1:8" x14ac:dyDescent="0.25">
      <c r="A1489" s="1" t="s">
        <v>1502</v>
      </c>
      <c r="B1489" s="5">
        <v>45719.958333333336</v>
      </c>
      <c r="C1489" s="1" t="s">
        <v>13</v>
      </c>
      <c r="D1489" s="1" t="s">
        <v>16</v>
      </c>
      <c r="E1489" s="1">
        <v>10</v>
      </c>
      <c r="F1489" s="1">
        <v>367.93</v>
      </c>
      <c r="G1489" s="1">
        <v>18.09</v>
      </c>
      <c r="H1489">
        <f t="shared" si="23"/>
        <v>3679.3</v>
      </c>
    </row>
    <row r="1490" spans="1:8" x14ac:dyDescent="0.25">
      <c r="A1490" s="1" t="s">
        <v>1503</v>
      </c>
      <c r="B1490" s="5">
        <v>45720</v>
      </c>
      <c r="C1490" s="1" t="s">
        <v>13</v>
      </c>
      <c r="D1490" s="1" t="s">
        <v>9</v>
      </c>
      <c r="E1490" s="1">
        <v>19</v>
      </c>
      <c r="F1490" s="1">
        <v>397.22</v>
      </c>
      <c r="G1490" s="1">
        <v>31.4</v>
      </c>
      <c r="H1490">
        <f t="shared" si="23"/>
        <v>7547.18</v>
      </c>
    </row>
    <row r="1491" spans="1:8" x14ac:dyDescent="0.25">
      <c r="A1491" s="1" t="s">
        <v>1504</v>
      </c>
      <c r="B1491" s="5">
        <v>45720.041666666664</v>
      </c>
      <c r="C1491" s="1" t="s">
        <v>13</v>
      </c>
      <c r="D1491" s="1" t="s">
        <v>37</v>
      </c>
      <c r="E1491" s="1">
        <v>9</v>
      </c>
      <c r="F1491" s="1">
        <v>46.55</v>
      </c>
      <c r="G1491" s="1">
        <v>32.229999999999997</v>
      </c>
      <c r="H1491">
        <f t="shared" si="23"/>
        <v>418.95</v>
      </c>
    </row>
    <row r="1492" spans="1:8" x14ac:dyDescent="0.25">
      <c r="A1492" s="1" t="s">
        <v>1505</v>
      </c>
      <c r="B1492" s="5">
        <v>45720.083333333336</v>
      </c>
      <c r="C1492" s="1" t="s">
        <v>13</v>
      </c>
      <c r="D1492" s="1" t="s">
        <v>19</v>
      </c>
      <c r="E1492" s="1">
        <v>16</v>
      </c>
      <c r="F1492" s="1">
        <v>29.6</v>
      </c>
      <c r="G1492" s="1">
        <v>10.48</v>
      </c>
      <c r="H1492">
        <f t="shared" si="23"/>
        <v>473.6</v>
      </c>
    </row>
    <row r="1493" spans="1:8" x14ac:dyDescent="0.25">
      <c r="A1493" s="1" t="s">
        <v>1506</v>
      </c>
      <c r="B1493" s="5">
        <v>45720.125</v>
      </c>
      <c r="C1493" s="1" t="s">
        <v>8</v>
      </c>
      <c r="D1493" s="1" t="s">
        <v>19</v>
      </c>
      <c r="E1493" s="1">
        <v>19</v>
      </c>
      <c r="F1493" s="1">
        <v>339.01</v>
      </c>
      <c r="G1493" s="1">
        <v>29.69</v>
      </c>
      <c r="H1493">
        <f t="shared" si="23"/>
        <v>6441.19</v>
      </c>
    </row>
    <row r="1494" spans="1:8" x14ac:dyDescent="0.25">
      <c r="A1494" s="1" t="s">
        <v>1507</v>
      </c>
      <c r="B1494" s="5">
        <v>45720.166666666664</v>
      </c>
      <c r="C1494" s="1" t="s">
        <v>8</v>
      </c>
      <c r="D1494" s="1" t="s">
        <v>37</v>
      </c>
      <c r="E1494" s="1">
        <v>18</v>
      </c>
      <c r="F1494" s="1">
        <v>73.44</v>
      </c>
      <c r="G1494" s="1">
        <v>5.54</v>
      </c>
      <c r="H1494">
        <f t="shared" si="23"/>
        <v>1321.92</v>
      </c>
    </row>
    <row r="1495" spans="1:8" x14ac:dyDescent="0.25">
      <c r="A1495" s="1" t="s">
        <v>1508</v>
      </c>
      <c r="B1495" s="5">
        <v>45720.208333333336</v>
      </c>
      <c r="C1495" s="1" t="s">
        <v>23</v>
      </c>
      <c r="D1495" s="1" t="s">
        <v>37</v>
      </c>
      <c r="E1495" s="1">
        <v>9</v>
      </c>
      <c r="F1495" s="1">
        <v>73.290000000000006</v>
      </c>
      <c r="G1495" s="1">
        <v>27.55</v>
      </c>
      <c r="H1495">
        <f t="shared" si="23"/>
        <v>659.61</v>
      </c>
    </row>
    <row r="1496" spans="1:8" x14ac:dyDescent="0.25">
      <c r="A1496" s="1" t="s">
        <v>1509</v>
      </c>
      <c r="B1496" s="5">
        <v>45720.25</v>
      </c>
      <c r="C1496" s="1" t="s">
        <v>23</v>
      </c>
      <c r="D1496" s="1" t="s">
        <v>9</v>
      </c>
      <c r="E1496" s="1">
        <v>16</v>
      </c>
      <c r="F1496" s="1">
        <v>25.22</v>
      </c>
      <c r="G1496" s="1">
        <v>36.39</v>
      </c>
      <c r="H1496">
        <f t="shared" si="23"/>
        <v>403.52</v>
      </c>
    </row>
    <row r="1497" spans="1:8" x14ac:dyDescent="0.25">
      <c r="A1497" s="1" t="s">
        <v>1510</v>
      </c>
      <c r="B1497" s="5">
        <v>45720.291666666664</v>
      </c>
      <c r="C1497" s="1" t="s">
        <v>13</v>
      </c>
      <c r="D1497" s="1" t="s">
        <v>19</v>
      </c>
      <c r="E1497" s="1">
        <v>13</v>
      </c>
      <c r="F1497" s="1">
        <v>37.14</v>
      </c>
      <c r="G1497" s="1">
        <v>8.2799999999999994</v>
      </c>
      <c r="H1497">
        <f t="shared" si="23"/>
        <v>482.82</v>
      </c>
    </row>
    <row r="1498" spans="1:8" x14ac:dyDescent="0.25">
      <c r="A1498" s="1" t="s">
        <v>1511</v>
      </c>
      <c r="B1498" s="5">
        <v>45720.333333333336</v>
      </c>
      <c r="C1498" s="1" t="s">
        <v>11</v>
      </c>
      <c r="D1498" s="1" t="s">
        <v>37</v>
      </c>
      <c r="E1498" s="1">
        <v>10</v>
      </c>
      <c r="F1498" s="1">
        <v>130.07</v>
      </c>
      <c r="G1498" s="1">
        <v>47.24</v>
      </c>
      <c r="H1498">
        <f t="shared" si="23"/>
        <v>1300.6999999999998</v>
      </c>
    </row>
    <row r="1499" spans="1:8" x14ac:dyDescent="0.25">
      <c r="A1499" s="1" t="s">
        <v>1512</v>
      </c>
      <c r="B1499" s="5">
        <v>45720.375</v>
      </c>
      <c r="C1499" s="1" t="s">
        <v>11</v>
      </c>
      <c r="D1499" s="1" t="s">
        <v>19</v>
      </c>
      <c r="E1499" s="1">
        <v>14</v>
      </c>
      <c r="F1499" s="1">
        <v>43.74</v>
      </c>
      <c r="G1499" s="1">
        <v>25.64</v>
      </c>
      <c r="H1499">
        <f t="shared" si="23"/>
        <v>612.36</v>
      </c>
    </row>
    <row r="1500" spans="1:8" x14ac:dyDescent="0.25">
      <c r="A1500" s="1" t="s">
        <v>1513</v>
      </c>
      <c r="B1500" s="5">
        <v>45720.416666666664</v>
      </c>
      <c r="C1500" s="1" t="s">
        <v>8</v>
      </c>
      <c r="D1500" s="1" t="s">
        <v>37</v>
      </c>
      <c r="E1500" s="1">
        <v>12</v>
      </c>
      <c r="F1500" s="1">
        <v>175.78</v>
      </c>
      <c r="G1500" s="1">
        <v>47.23</v>
      </c>
      <c r="H1500">
        <f t="shared" si="23"/>
        <v>2109.36</v>
      </c>
    </row>
    <row r="1501" spans="1:8" x14ac:dyDescent="0.25">
      <c r="A1501" s="1" t="s">
        <v>1514</v>
      </c>
      <c r="B1501" s="5">
        <v>45720.458333333336</v>
      </c>
      <c r="C1501" s="1" t="s">
        <v>8</v>
      </c>
      <c r="D1501" s="1" t="s">
        <v>19</v>
      </c>
      <c r="E1501" s="1">
        <v>19</v>
      </c>
      <c r="F1501" s="1">
        <v>377.34</v>
      </c>
      <c r="G1501" s="1">
        <v>9.83</v>
      </c>
      <c r="H1501">
        <f t="shared" si="23"/>
        <v>7169.4599999999991</v>
      </c>
    </row>
    <row r="1502" spans="1:8" x14ac:dyDescent="0.25">
      <c r="A1502" s="1" t="s">
        <v>1515</v>
      </c>
      <c r="B1502" s="5">
        <v>45720.5</v>
      </c>
      <c r="C1502" s="1" t="s">
        <v>8</v>
      </c>
      <c r="D1502" s="1" t="s">
        <v>16</v>
      </c>
      <c r="E1502" s="1">
        <v>7</v>
      </c>
      <c r="F1502" s="1">
        <v>157.29</v>
      </c>
      <c r="G1502" s="1">
        <v>47.75</v>
      </c>
      <c r="H1502">
        <f t="shared" si="23"/>
        <v>1101.03</v>
      </c>
    </row>
    <row r="1503" spans="1:8" x14ac:dyDescent="0.25">
      <c r="A1503" s="1" t="s">
        <v>1516</v>
      </c>
      <c r="B1503" s="5">
        <v>45720.541666666664</v>
      </c>
      <c r="C1503" s="1" t="s">
        <v>23</v>
      </c>
      <c r="D1503" s="1" t="s">
        <v>9</v>
      </c>
      <c r="E1503" s="1">
        <v>15</v>
      </c>
      <c r="F1503" s="1">
        <v>331.74</v>
      </c>
      <c r="G1503" s="1">
        <v>9.91</v>
      </c>
      <c r="H1503">
        <f t="shared" si="23"/>
        <v>4976.1000000000004</v>
      </c>
    </row>
    <row r="1504" spans="1:8" x14ac:dyDescent="0.25">
      <c r="A1504" s="1" t="s">
        <v>1517</v>
      </c>
      <c r="B1504" s="5">
        <v>45720.583333333336</v>
      </c>
      <c r="C1504" s="1" t="s">
        <v>23</v>
      </c>
      <c r="D1504" s="1" t="s">
        <v>19</v>
      </c>
      <c r="E1504" s="1">
        <v>16</v>
      </c>
      <c r="F1504" s="1">
        <v>56.3</v>
      </c>
      <c r="G1504" s="1">
        <v>25.77</v>
      </c>
      <c r="H1504">
        <f t="shared" si="23"/>
        <v>900.8</v>
      </c>
    </row>
    <row r="1505" spans="1:8" x14ac:dyDescent="0.25">
      <c r="A1505" s="1" t="s">
        <v>1518</v>
      </c>
      <c r="B1505" s="5">
        <v>45720.625</v>
      </c>
      <c r="C1505" s="1" t="s">
        <v>8</v>
      </c>
      <c r="D1505" s="1" t="s">
        <v>16</v>
      </c>
      <c r="E1505" s="1">
        <v>8</v>
      </c>
      <c r="F1505" s="1">
        <v>302</v>
      </c>
      <c r="G1505" s="1">
        <v>47.21</v>
      </c>
      <c r="H1505">
        <f t="shared" si="23"/>
        <v>2416</v>
      </c>
    </row>
    <row r="1506" spans="1:8" x14ac:dyDescent="0.25">
      <c r="A1506" s="1" t="s">
        <v>1519</v>
      </c>
      <c r="B1506" s="5">
        <v>45720.666666666664</v>
      </c>
      <c r="C1506" s="1" t="s">
        <v>8</v>
      </c>
      <c r="D1506" s="1" t="s">
        <v>19</v>
      </c>
      <c r="E1506" s="1">
        <v>10</v>
      </c>
      <c r="F1506" s="1">
        <v>153.13</v>
      </c>
      <c r="G1506" s="1">
        <v>15.47</v>
      </c>
      <c r="H1506">
        <f t="shared" si="23"/>
        <v>1531.3</v>
      </c>
    </row>
    <row r="1507" spans="1:8" x14ac:dyDescent="0.25">
      <c r="A1507" s="1" t="s">
        <v>1520</v>
      </c>
      <c r="B1507" s="5">
        <v>45720.708333333336</v>
      </c>
      <c r="C1507" s="1" t="s">
        <v>8</v>
      </c>
      <c r="D1507" s="1" t="s">
        <v>19</v>
      </c>
      <c r="E1507" s="1">
        <v>4</v>
      </c>
      <c r="F1507" s="1">
        <v>341.27</v>
      </c>
      <c r="G1507" s="1">
        <v>6.57</v>
      </c>
      <c r="H1507">
        <f t="shared" si="23"/>
        <v>1365.08</v>
      </c>
    </row>
    <row r="1508" spans="1:8" x14ac:dyDescent="0.25">
      <c r="A1508" s="1" t="s">
        <v>1521</v>
      </c>
      <c r="B1508" s="5">
        <v>45720.75</v>
      </c>
      <c r="C1508" s="1" t="s">
        <v>11</v>
      </c>
      <c r="D1508" s="1" t="s">
        <v>16</v>
      </c>
      <c r="E1508" s="1">
        <v>19</v>
      </c>
      <c r="F1508" s="1">
        <v>74.7</v>
      </c>
      <c r="G1508" s="1">
        <v>40.69</v>
      </c>
      <c r="H1508">
        <f t="shared" si="23"/>
        <v>1419.3</v>
      </c>
    </row>
    <row r="1509" spans="1:8" x14ac:dyDescent="0.25">
      <c r="A1509" s="1" t="s">
        <v>1522</v>
      </c>
      <c r="B1509" s="5">
        <v>45720.791666666664</v>
      </c>
      <c r="C1509" s="1" t="s">
        <v>23</v>
      </c>
      <c r="D1509" s="1" t="s">
        <v>19</v>
      </c>
      <c r="E1509" s="1">
        <v>19</v>
      </c>
      <c r="F1509" s="1">
        <v>405.63</v>
      </c>
      <c r="G1509" s="1">
        <v>31.81</v>
      </c>
      <c r="H1509">
        <f t="shared" si="23"/>
        <v>7706.97</v>
      </c>
    </row>
    <row r="1510" spans="1:8" x14ac:dyDescent="0.25">
      <c r="A1510" s="1" t="s">
        <v>1523</v>
      </c>
      <c r="B1510" s="5">
        <v>45720.833333333336</v>
      </c>
      <c r="C1510" s="1" t="s">
        <v>11</v>
      </c>
      <c r="D1510" s="1" t="s">
        <v>19</v>
      </c>
      <c r="E1510" s="1">
        <v>15</v>
      </c>
      <c r="F1510" s="1">
        <v>120.9</v>
      </c>
      <c r="G1510" s="1">
        <v>28.13</v>
      </c>
      <c r="H1510">
        <f t="shared" si="23"/>
        <v>1813.5</v>
      </c>
    </row>
    <row r="1511" spans="1:8" x14ac:dyDescent="0.25">
      <c r="A1511" s="1" t="s">
        <v>1524</v>
      </c>
      <c r="B1511" s="5">
        <v>45720.875</v>
      </c>
      <c r="C1511" s="1" t="s">
        <v>11</v>
      </c>
      <c r="D1511" s="1" t="s">
        <v>9</v>
      </c>
      <c r="E1511" s="1">
        <v>14</v>
      </c>
      <c r="F1511" s="1">
        <v>168.94</v>
      </c>
      <c r="G1511" s="1">
        <v>6.55</v>
      </c>
      <c r="H1511">
        <f t="shared" si="23"/>
        <v>2365.16</v>
      </c>
    </row>
    <row r="1512" spans="1:8" x14ac:dyDescent="0.25">
      <c r="A1512" s="1" t="s">
        <v>1525</v>
      </c>
      <c r="B1512" s="5">
        <v>45720.916666666664</v>
      </c>
      <c r="C1512" s="1" t="s">
        <v>8</v>
      </c>
      <c r="D1512" s="1" t="s">
        <v>16</v>
      </c>
      <c r="E1512" s="1">
        <v>1</v>
      </c>
      <c r="F1512" s="1">
        <v>428.35</v>
      </c>
      <c r="G1512" s="1">
        <v>34.4</v>
      </c>
      <c r="H1512">
        <f t="shared" si="23"/>
        <v>428.35</v>
      </c>
    </row>
    <row r="1513" spans="1:8" x14ac:dyDescent="0.25">
      <c r="A1513" s="1" t="s">
        <v>1526</v>
      </c>
      <c r="B1513" s="5">
        <v>45720.958333333336</v>
      </c>
      <c r="C1513" s="1" t="s">
        <v>8</v>
      </c>
      <c r="D1513" s="1" t="s">
        <v>16</v>
      </c>
      <c r="E1513" s="1">
        <v>16</v>
      </c>
      <c r="F1513" s="1">
        <v>266.85000000000002</v>
      </c>
      <c r="G1513" s="1">
        <v>12.72</v>
      </c>
      <c r="H1513">
        <f t="shared" si="23"/>
        <v>4269.6000000000004</v>
      </c>
    </row>
    <row r="1514" spans="1:8" x14ac:dyDescent="0.25">
      <c r="A1514" s="1" t="s">
        <v>1527</v>
      </c>
      <c r="B1514" s="5">
        <v>45721</v>
      </c>
      <c r="C1514" s="1" t="s">
        <v>13</v>
      </c>
      <c r="D1514" s="1" t="s">
        <v>37</v>
      </c>
      <c r="E1514" s="1">
        <v>10</v>
      </c>
      <c r="F1514" s="1">
        <v>174.43</v>
      </c>
      <c r="G1514" s="1">
        <v>46.9</v>
      </c>
      <c r="H1514">
        <f t="shared" si="23"/>
        <v>1744.3000000000002</v>
      </c>
    </row>
    <row r="1515" spans="1:8" x14ac:dyDescent="0.25">
      <c r="A1515" s="1" t="s">
        <v>1528</v>
      </c>
      <c r="B1515" s="5">
        <v>45721.041666666664</v>
      </c>
      <c r="C1515" s="1" t="s">
        <v>13</v>
      </c>
      <c r="D1515" s="1" t="s">
        <v>19</v>
      </c>
      <c r="E1515" s="1">
        <v>19</v>
      </c>
      <c r="F1515" s="1">
        <v>428.1</v>
      </c>
      <c r="G1515" s="1">
        <v>35.86</v>
      </c>
      <c r="H1515">
        <f t="shared" si="23"/>
        <v>8133.9000000000005</v>
      </c>
    </row>
    <row r="1516" spans="1:8" x14ac:dyDescent="0.25">
      <c r="A1516" s="1" t="s">
        <v>1529</v>
      </c>
      <c r="B1516" s="5">
        <v>45721.083333333336</v>
      </c>
      <c r="C1516" s="1" t="s">
        <v>11</v>
      </c>
      <c r="D1516" s="1" t="s">
        <v>9</v>
      </c>
      <c r="E1516" s="1">
        <v>3</v>
      </c>
      <c r="F1516" s="1">
        <v>158.47999999999999</v>
      </c>
      <c r="G1516" s="1">
        <v>36.82</v>
      </c>
      <c r="H1516">
        <f t="shared" si="23"/>
        <v>475.43999999999994</v>
      </c>
    </row>
    <row r="1517" spans="1:8" x14ac:dyDescent="0.25">
      <c r="A1517" s="1" t="s">
        <v>1530</v>
      </c>
      <c r="B1517" s="5">
        <v>45721.125</v>
      </c>
      <c r="C1517" s="1" t="s">
        <v>23</v>
      </c>
      <c r="D1517" s="1" t="s">
        <v>19</v>
      </c>
      <c r="E1517" s="1">
        <v>5</v>
      </c>
      <c r="F1517" s="1">
        <v>56.72</v>
      </c>
      <c r="G1517" s="1">
        <v>15.47</v>
      </c>
      <c r="H1517">
        <f t="shared" si="23"/>
        <v>283.60000000000002</v>
      </c>
    </row>
    <row r="1518" spans="1:8" x14ac:dyDescent="0.25">
      <c r="A1518" s="1" t="s">
        <v>1531</v>
      </c>
      <c r="B1518" s="5">
        <v>45721.166666666664</v>
      </c>
      <c r="C1518" s="1" t="s">
        <v>8</v>
      </c>
      <c r="D1518" s="1" t="s">
        <v>19</v>
      </c>
      <c r="E1518" s="1">
        <v>9</v>
      </c>
      <c r="F1518" s="1">
        <v>448.63</v>
      </c>
      <c r="G1518" s="1">
        <v>44.63</v>
      </c>
      <c r="H1518">
        <f t="shared" si="23"/>
        <v>4037.67</v>
      </c>
    </row>
    <row r="1519" spans="1:8" x14ac:dyDescent="0.25">
      <c r="A1519" s="1" t="s">
        <v>1532</v>
      </c>
      <c r="B1519" s="5">
        <v>45721.208333333336</v>
      </c>
      <c r="C1519" s="1" t="s">
        <v>8</v>
      </c>
      <c r="D1519" s="1" t="s">
        <v>37</v>
      </c>
      <c r="E1519" s="1">
        <v>18</v>
      </c>
      <c r="F1519" s="1">
        <v>131.88</v>
      </c>
      <c r="G1519" s="1">
        <v>29.2</v>
      </c>
      <c r="H1519">
        <f t="shared" si="23"/>
        <v>2373.84</v>
      </c>
    </row>
    <row r="1520" spans="1:8" x14ac:dyDescent="0.25">
      <c r="A1520" s="1" t="s">
        <v>1533</v>
      </c>
      <c r="B1520" s="5">
        <v>45721.25</v>
      </c>
      <c r="C1520" s="1" t="s">
        <v>11</v>
      </c>
      <c r="D1520" s="1" t="s">
        <v>19</v>
      </c>
      <c r="E1520" s="1">
        <v>11</v>
      </c>
      <c r="F1520" s="1">
        <v>385.37</v>
      </c>
      <c r="G1520" s="1">
        <v>43.57</v>
      </c>
      <c r="H1520">
        <f t="shared" si="23"/>
        <v>4239.07</v>
      </c>
    </row>
    <row r="1521" spans="1:8" x14ac:dyDescent="0.25">
      <c r="A1521" s="1" t="s">
        <v>1534</v>
      </c>
      <c r="B1521" s="5">
        <v>45721.291666666664</v>
      </c>
      <c r="C1521" s="1" t="s">
        <v>13</v>
      </c>
      <c r="D1521" s="1" t="s">
        <v>9</v>
      </c>
      <c r="E1521" s="1">
        <v>16</v>
      </c>
      <c r="F1521" s="1">
        <v>87.43</v>
      </c>
      <c r="G1521" s="1">
        <v>17.190000000000001</v>
      </c>
      <c r="H1521">
        <f t="shared" si="23"/>
        <v>1398.88</v>
      </c>
    </row>
    <row r="1522" spans="1:8" x14ac:dyDescent="0.25">
      <c r="A1522" s="1" t="s">
        <v>1535</v>
      </c>
      <c r="B1522" s="5">
        <v>45721.333333333336</v>
      </c>
      <c r="C1522" s="1" t="s">
        <v>23</v>
      </c>
      <c r="D1522" s="1" t="s">
        <v>9</v>
      </c>
      <c r="E1522" s="1">
        <v>2</v>
      </c>
      <c r="F1522" s="1">
        <v>333.27</v>
      </c>
      <c r="G1522" s="1">
        <v>39</v>
      </c>
      <c r="H1522">
        <f t="shared" si="23"/>
        <v>666.54</v>
      </c>
    </row>
    <row r="1523" spans="1:8" x14ac:dyDescent="0.25">
      <c r="A1523" s="1" t="s">
        <v>1536</v>
      </c>
      <c r="B1523" s="5">
        <v>45721.375</v>
      </c>
      <c r="C1523" s="1" t="s">
        <v>13</v>
      </c>
      <c r="D1523" s="1" t="s">
        <v>37</v>
      </c>
      <c r="E1523" s="1">
        <v>12</v>
      </c>
      <c r="F1523" s="1">
        <v>243.37</v>
      </c>
      <c r="G1523" s="1">
        <v>30.86</v>
      </c>
      <c r="H1523">
        <f t="shared" si="23"/>
        <v>2920.44</v>
      </c>
    </row>
    <row r="1524" spans="1:8" x14ac:dyDescent="0.25">
      <c r="A1524" s="1" t="s">
        <v>1537</v>
      </c>
      <c r="B1524" s="5">
        <v>45721.416666666664</v>
      </c>
      <c r="C1524" s="1" t="s">
        <v>13</v>
      </c>
      <c r="D1524" s="1" t="s">
        <v>19</v>
      </c>
      <c r="E1524" s="1">
        <v>6</v>
      </c>
      <c r="F1524" s="1">
        <v>441.7</v>
      </c>
      <c r="G1524" s="1">
        <v>7.18</v>
      </c>
      <c r="H1524">
        <f t="shared" si="23"/>
        <v>2650.2</v>
      </c>
    </row>
    <row r="1525" spans="1:8" x14ac:dyDescent="0.25">
      <c r="A1525" s="1" t="s">
        <v>1538</v>
      </c>
      <c r="B1525" s="5">
        <v>45721.458333333336</v>
      </c>
      <c r="C1525" s="1" t="s">
        <v>13</v>
      </c>
      <c r="D1525" s="1" t="s">
        <v>9</v>
      </c>
      <c r="E1525" s="1">
        <v>11</v>
      </c>
      <c r="F1525" s="1">
        <v>255.7</v>
      </c>
      <c r="G1525" s="1">
        <v>23.24</v>
      </c>
      <c r="H1525">
        <f t="shared" si="23"/>
        <v>2812.7</v>
      </c>
    </row>
    <row r="1526" spans="1:8" x14ac:dyDescent="0.25">
      <c r="A1526" s="1" t="s">
        <v>1539</v>
      </c>
      <c r="B1526" s="5">
        <v>45721.5</v>
      </c>
      <c r="C1526" s="1" t="s">
        <v>13</v>
      </c>
      <c r="D1526" s="1" t="s">
        <v>19</v>
      </c>
      <c r="E1526" s="1">
        <v>8</v>
      </c>
      <c r="F1526" s="1">
        <v>26.37</v>
      </c>
      <c r="G1526" s="1">
        <v>13.28</v>
      </c>
      <c r="H1526">
        <f t="shared" si="23"/>
        <v>210.96</v>
      </c>
    </row>
    <row r="1527" spans="1:8" x14ac:dyDescent="0.25">
      <c r="A1527" s="1" t="s">
        <v>1540</v>
      </c>
      <c r="B1527" s="5">
        <v>45721.541666666664</v>
      </c>
      <c r="C1527" s="1" t="s">
        <v>8</v>
      </c>
      <c r="D1527" s="1" t="s">
        <v>19</v>
      </c>
      <c r="E1527" s="1">
        <v>12</v>
      </c>
      <c r="F1527" s="1">
        <v>277.88</v>
      </c>
      <c r="G1527" s="1">
        <v>21.16</v>
      </c>
      <c r="H1527">
        <f t="shared" si="23"/>
        <v>3334.56</v>
      </c>
    </row>
    <row r="1528" spans="1:8" x14ac:dyDescent="0.25">
      <c r="A1528" s="1" t="s">
        <v>1541</v>
      </c>
      <c r="B1528" s="5">
        <v>45721.583333333336</v>
      </c>
      <c r="C1528" s="1" t="s">
        <v>8</v>
      </c>
      <c r="D1528" s="1" t="s">
        <v>19</v>
      </c>
      <c r="E1528" s="1">
        <v>2</v>
      </c>
      <c r="F1528" s="1">
        <v>78.64</v>
      </c>
      <c r="G1528" s="1">
        <v>22.25</v>
      </c>
      <c r="H1528">
        <f t="shared" si="23"/>
        <v>157.28</v>
      </c>
    </row>
    <row r="1529" spans="1:8" x14ac:dyDescent="0.25">
      <c r="A1529" s="1" t="s">
        <v>1542</v>
      </c>
      <c r="B1529" s="5">
        <v>45721.625</v>
      </c>
      <c r="C1529" s="1" t="s">
        <v>13</v>
      </c>
      <c r="D1529" s="1" t="s">
        <v>37</v>
      </c>
      <c r="E1529" s="1">
        <v>9</v>
      </c>
      <c r="F1529" s="1">
        <v>362.47</v>
      </c>
      <c r="G1529" s="1">
        <v>26.37</v>
      </c>
      <c r="H1529">
        <f t="shared" si="23"/>
        <v>3262.2300000000005</v>
      </c>
    </row>
    <row r="1530" spans="1:8" x14ac:dyDescent="0.25">
      <c r="A1530" s="1" t="s">
        <v>1543</v>
      </c>
      <c r="B1530" s="5">
        <v>45721.666666666664</v>
      </c>
      <c r="C1530" s="1" t="s">
        <v>23</v>
      </c>
      <c r="D1530" s="1" t="s">
        <v>19</v>
      </c>
      <c r="E1530" s="1">
        <v>15</v>
      </c>
      <c r="F1530" s="1">
        <v>387.68</v>
      </c>
      <c r="G1530" s="1">
        <v>32.01</v>
      </c>
      <c r="H1530">
        <f t="shared" si="23"/>
        <v>5815.2</v>
      </c>
    </row>
    <row r="1531" spans="1:8" x14ac:dyDescent="0.25">
      <c r="A1531" s="1" t="s">
        <v>1544</v>
      </c>
      <c r="B1531" s="5">
        <v>45721.708333333336</v>
      </c>
      <c r="C1531" s="1" t="s">
        <v>11</v>
      </c>
      <c r="D1531" s="1" t="s">
        <v>9</v>
      </c>
      <c r="E1531" s="1">
        <v>2</v>
      </c>
      <c r="F1531" s="1">
        <v>224.97</v>
      </c>
      <c r="G1531" s="1">
        <v>30.69</v>
      </c>
      <c r="H1531">
        <f t="shared" si="23"/>
        <v>449.94</v>
      </c>
    </row>
    <row r="1532" spans="1:8" x14ac:dyDescent="0.25">
      <c r="A1532" s="1" t="s">
        <v>1545</v>
      </c>
      <c r="B1532" s="5">
        <v>45721.75</v>
      </c>
      <c r="C1532" s="1" t="s">
        <v>23</v>
      </c>
      <c r="D1532" s="1" t="s">
        <v>19</v>
      </c>
      <c r="E1532" s="1">
        <v>1</v>
      </c>
      <c r="F1532" s="1">
        <v>355.81</v>
      </c>
      <c r="G1532" s="1">
        <v>6.75</v>
      </c>
      <c r="H1532">
        <f t="shared" si="23"/>
        <v>355.81</v>
      </c>
    </row>
    <row r="1533" spans="1:8" x14ac:dyDescent="0.25">
      <c r="A1533" s="1" t="s">
        <v>1546</v>
      </c>
      <c r="B1533" s="5">
        <v>45721.791666666664</v>
      </c>
      <c r="C1533" s="1" t="s">
        <v>23</v>
      </c>
      <c r="D1533" s="1" t="s">
        <v>9</v>
      </c>
      <c r="E1533" s="1">
        <v>10</v>
      </c>
      <c r="F1533" s="1">
        <v>78.55</v>
      </c>
      <c r="G1533" s="1">
        <v>38.78</v>
      </c>
      <c r="H1533">
        <f t="shared" si="23"/>
        <v>785.5</v>
      </c>
    </row>
    <row r="1534" spans="1:8" x14ac:dyDescent="0.25">
      <c r="A1534" s="1" t="s">
        <v>1547</v>
      </c>
      <c r="B1534" s="5">
        <v>45721.833333333336</v>
      </c>
      <c r="C1534" s="1" t="s">
        <v>23</v>
      </c>
      <c r="D1534" s="1" t="s">
        <v>19</v>
      </c>
      <c r="E1534" s="1">
        <v>2</v>
      </c>
      <c r="F1534" s="1">
        <v>229.31</v>
      </c>
      <c r="G1534" s="1">
        <v>47.71</v>
      </c>
      <c r="H1534">
        <f t="shared" si="23"/>
        <v>458.62</v>
      </c>
    </row>
    <row r="1535" spans="1:8" x14ac:dyDescent="0.25">
      <c r="A1535" s="1" t="s">
        <v>1548</v>
      </c>
      <c r="B1535" s="5">
        <v>45721.875</v>
      </c>
      <c r="C1535" s="1" t="s">
        <v>13</v>
      </c>
      <c r="D1535" s="1" t="s">
        <v>9</v>
      </c>
      <c r="E1535" s="1">
        <v>12</v>
      </c>
      <c r="F1535" s="1">
        <v>186.67</v>
      </c>
      <c r="G1535" s="1">
        <v>20.69</v>
      </c>
      <c r="H1535">
        <f t="shared" si="23"/>
        <v>2240.04</v>
      </c>
    </row>
    <row r="1536" spans="1:8" x14ac:dyDescent="0.25">
      <c r="A1536" s="1" t="s">
        <v>1549</v>
      </c>
      <c r="B1536" s="5">
        <v>45721.916666666664</v>
      </c>
      <c r="C1536" s="1" t="s">
        <v>8</v>
      </c>
      <c r="D1536" s="1" t="s">
        <v>9</v>
      </c>
      <c r="E1536" s="1">
        <v>8</v>
      </c>
      <c r="F1536" s="1">
        <v>281.12</v>
      </c>
      <c r="G1536" s="1">
        <v>13.09</v>
      </c>
      <c r="H1536">
        <f t="shared" si="23"/>
        <v>2248.96</v>
      </c>
    </row>
    <row r="1537" spans="1:8" x14ac:dyDescent="0.25">
      <c r="A1537" s="1" t="s">
        <v>1550</v>
      </c>
      <c r="B1537" s="5">
        <v>45721.958333333336</v>
      </c>
      <c r="C1537" s="1" t="s">
        <v>23</v>
      </c>
      <c r="D1537" s="1" t="s">
        <v>19</v>
      </c>
      <c r="E1537" s="1">
        <v>5</v>
      </c>
      <c r="F1537" s="1">
        <v>34.83</v>
      </c>
      <c r="G1537" s="1">
        <v>29.3</v>
      </c>
      <c r="H1537">
        <f t="shared" si="23"/>
        <v>174.14999999999998</v>
      </c>
    </row>
    <row r="1538" spans="1:8" x14ac:dyDescent="0.25">
      <c r="A1538" s="1" t="s">
        <v>1551</v>
      </c>
      <c r="B1538" s="5">
        <v>45722</v>
      </c>
      <c r="C1538" s="1" t="s">
        <v>13</v>
      </c>
      <c r="D1538" s="1" t="s">
        <v>19</v>
      </c>
      <c r="E1538" s="1">
        <v>1</v>
      </c>
      <c r="F1538" s="1">
        <v>342.3</v>
      </c>
      <c r="G1538" s="1">
        <v>36.72</v>
      </c>
      <c r="H1538">
        <f t="shared" ref="H1538:H1601" si="24">E1538*F1538</f>
        <v>342.3</v>
      </c>
    </row>
    <row r="1539" spans="1:8" x14ac:dyDescent="0.25">
      <c r="A1539" s="1" t="s">
        <v>1552</v>
      </c>
      <c r="B1539" s="5">
        <v>45722.041666666664</v>
      </c>
      <c r="C1539" s="1" t="s">
        <v>23</v>
      </c>
      <c r="D1539" s="1" t="s">
        <v>9</v>
      </c>
      <c r="E1539" s="1">
        <v>15</v>
      </c>
      <c r="F1539" s="1">
        <v>49.88</v>
      </c>
      <c r="G1539" s="1">
        <v>35.549999999999997</v>
      </c>
      <c r="H1539">
        <f t="shared" si="24"/>
        <v>748.2</v>
      </c>
    </row>
    <row r="1540" spans="1:8" x14ac:dyDescent="0.25">
      <c r="A1540" s="1" t="s">
        <v>1553</v>
      </c>
      <c r="B1540" s="5">
        <v>45722.083333333336</v>
      </c>
      <c r="C1540" s="1" t="s">
        <v>23</v>
      </c>
      <c r="D1540" s="1" t="s">
        <v>16</v>
      </c>
      <c r="E1540" s="1">
        <v>6</v>
      </c>
      <c r="F1540" s="1">
        <v>300.74</v>
      </c>
      <c r="G1540" s="1">
        <v>32.54</v>
      </c>
      <c r="H1540">
        <f t="shared" si="24"/>
        <v>1804.44</v>
      </c>
    </row>
    <row r="1541" spans="1:8" x14ac:dyDescent="0.25">
      <c r="A1541" s="1" t="s">
        <v>1554</v>
      </c>
      <c r="B1541" s="5">
        <v>45722.125</v>
      </c>
      <c r="C1541" s="1" t="s">
        <v>13</v>
      </c>
      <c r="D1541" s="1" t="s">
        <v>37</v>
      </c>
      <c r="E1541" s="1">
        <v>12</v>
      </c>
      <c r="F1541" s="1">
        <v>23.52</v>
      </c>
      <c r="G1541" s="1">
        <v>11.58</v>
      </c>
      <c r="H1541">
        <f t="shared" si="24"/>
        <v>282.24</v>
      </c>
    </row>
    <row r="1542" spans="1:8" x14ac:dyDescent="0.25">
      <c r="A1542" s="1" t="s">
        <v>1555</v>
      </c>
      <c r="B1542" s="5">
        <v>45722.166666666664</v>
      </c>
      <c r="C1542" s="1" t="s">
        <v>8</v>
      </c>
      <c r="D1542" s="1" t="s">
        <v>16</v>
      </c>
      <c r="E1542" s="1">
        <v>8</v>
      </c>
      <c r="F1542" s="1">
        <v>376.96</v>
      </c>
      <c r="G1542" s="1">
        <v>42.66</v>
      </c>
      <c r="H1542">
        <f t="shared" si="24"/>
        <v>3015.68</v>
      </c>
    </row>
    <row r="1543" spans="1:8" x14ac:dyDescent="0.25">
      <c r="A1543" s="1" t="s">
        <v>1556</v>
      </c>
      <c r="B1543" s="5">
        <v>45722.208333333336</v>
      </c>
      <c r="C1543" s="1" t="s">
        <v>8</v>
      </c>
      <c r="D1543" s="1" t="s">
        <v>16</v>
      </c>
      <c r="E1543" s="1">
        <v>13</v>
      </c>
      <c r="F1543" s="1">
        <v>91.41</v>
      </c>
      <c r="G1543" s="1">
        <v>24.15</v>
      </c>
      <c r="H1543">
        <f t="shared" si="24"/>
        <v>1188.33</v>
      </c>
    </row>
    <row r="1544" spans="1:8" x14ac:dyDescent="0.25">
      <c r="A1544" s="1" t="s">
        <v>1557</v>
      </c>
      <c r="B1544" s="5">
        <v>45722.25</v>
      </c>
      <c r="C1544" s="1" t="s">
        <v>11</v>
      </c>
      <c r="D1544" s="1" t="s">
        <v>19</v>
      </c>
      <c r="E1544" s="1">
        <v>19</v>
      </c>
      <c r="F1544" s="1">
        <v>239.48</v>
      </c>
      <c r="G1544" s="1">
        <v>14.97</v>
      </c>
      <c r="H1544">
        <f t="shared" si="24"/>
        <v>4550.12</v>
      </c>
    </row>
    <row r="1545" spans="1:8" x14ac:dyDescent="0.25">
      <c r="A1545" s="1" t="s">
        <v>1558</v>
      </c>
      <c r="B1545" s="5">
        <v>45722.291666666664</v>
      </c>
      <c r="C1545" s="1" t="s">
        <v>13</v>
      </c>
      <c r="D1545" s="1" t="s">
        <v>37</v>
      </c>
      <c r="E1545" s="1">
        <v>1</v>
      </c>
      <c r="F1545" s="1">
        <v>129.12</v>
      </c>
      <c r="G1545" s="1">
        <v>8.8800000000000008</v>
      </c>
      <c r="H1545">
        <f t="shared" si="24"/>
        <v>129.12</v>
      </c>
    </row>
    <row r="1546" spans="1:8" x14ac:dyDescent="0.25">
      <c r="A1546" s="1" t="s">
        <v>1559</v>
      </c>
      <c r="B1546" s="5">
        <v>45722.333333333336</v>
      </c>
      <c r="C1546" s="1" t="s">
        <v>11</v>
      </c>
      <c r="D1546" s="1" t="s">
        <v>16</v>
      </c>
      <c r="E1546" s="1">
        <v>11</v>
      </c>
      <c r="F1546" s="1">
        <v>329.49</v>
      </c>
      <c r="G1546" s="1">
        <v>23.75</v>
      </c>
      <c r="H1546">
        <f t="shared" si="24"/>
        <v>3624.3900000000003</v>
      </c>
    </row>
    <row r="1547" spans="1:8" x14ac:dyDescent="0.25">
      <c r="A1547" s="1" t="s">
        <v>1560</v>
      </c>
      <c r="B1547" s="5">
        <v>45722.375</v>
      </c>
      <c r="C1547" s="1" t="s">
        <v>11</v>
      </c>
      <c r="D1547" s="1" t="s">
        <v>19</v>
      </c>
      <c r="E1547" s="1">
        <v>1</v>
      </c>
      <c r="F1547" s="1">
        <v>155.13</v>
      </c>
      <c r="G1547" s="1">
        <v>32.81</v>
      </c>
      <c r="H1547">
        <f t="shared" si="24"/>
        <v>155.13</v>
      </c>
    </row>
    <row r="1548" spans="1:8" x14ac:dyDescent="0.25">
      <c r="A1548" s="1" t="s">
        <v>1561</v>
      </c>
      <c r="B1548" s="5">
        <v>45722.416666666664</v>
      </c>
      <c r="C1548" s="1" t="s">
        <v>11</v>
      </c>
      <c r="D1548" s="1" t="s">
        <v>16</v>
      </c>
      <c r="E1548" s="1">
        <v>8</v>
      </c>
      <c r="F1548" s="1">
        <v>330.34</v>
      </c>
      <c r="G1548" s="1">
        <v>34.94</v>
      </c>
      <c r="H1548">
        <f t="shared" si="24"/>
        <v>2642.72</v>
      </c>
    </row>
    <row r="1549" spans="1:8" x14ac:dyDescent="0.25">
      <c r="A1549" s="1" t="s">
        <v>1562</v>
      </c>
      <c r="B1549" s="5">
        <v>45722.458333333336</v>
      </c>
      <c r="C1549" s="1" t="s">
        <v>8</v>
      </c>
      <c r="D1549" s="1" t="s">
        <v>16</v>
      </c>
      <c r="E1549" s="1">
        <v>5</v>
      </c>
      <c r="F1549" s="1">
        <v>139.28</v>
      </c>
      <c r="G1549" s="1">
        <v>48.32</v>
      </c>
      <c r="H1549">
        <f t="shared" si="24"/>
        <v>696.4</v>
      </c>
    </row>
    <row r="1550" spans="1:8" x14ac:dyDescent="0.25">
      <c r="A1550" s="1" t="s">
        <v>1563</v>
      </c>
      <c r="B1550" s="5">
        <v>45722.5</v>
      </c>
      <c r="C1550" s="1" t="s">
        <v>13</v>
      </c>
      <c r="D1550" s="1" t="s">
        <v>19</v>
      </c>
      <c r="E1550" s="1">
        <v>17</v>
      </c>
      <c r="F1550" s="1">
        <v>342.45</v>
      </c>
      <c r="G1550" s="1">
        <v>11.89</v>
      </c>
      <c r="H1550">
        <f t="shared" si="24"/>
        <v>5821.65</v>
      </c>
    </row>
    <row r="1551" spans="1:8" x14ac:dyDescent="0.25">
      <c r="A1551" s="1" t="s">
        <v>1564</v>
      </c>
      <c r="B1551" s="5">
        <v>45722.541666666664</v>
      </c>
      <c r="C1551" s="1" t="s">
        <v>11</v>
      </c>
      <c r="D1551" s="1" t="s">
        <v>19</v>
      </c>
      <c r="E1551" s="1">
        <v>8</v>
      </c>
      <c r="F1551" s="1">
        <v>28.8</v>
      </c>
      <c r="G1551" s="1">
        <v>49.36</v>
      </c>
      <c r="H1551">
        <f t="shared" si="24"/>
        <v>230.4</v>
      </c>
    </row>
    <row r="1552" spans="1:8" x14ac:dyDescent="0.25">
      <c r="A1552" s="1" t="s">
        <v>1565</v>
      </c>
      <c r="B1552" s="5">
        <v>45722.583333333336</v>
      </c>
      <c r="C1552" s="1" t="s">
        <v>13</v>
      </c>
      <c r="D1552" s="1" t="s">
        <v>19</v>
      </c>
      <c r="E1552" s="1">
        <v>10</v>
      </c>
      <c r="F1552" s="1">
        <v>138.6</v>
      </c>
      <c r="G1552" s="1">
        <v>34.46</v>
      </c>
      <c r="H1552">
        <f t="shared" si="24"/>
        <v>1386</v>
      </c>
    </row>
    <row r="1553" spans="1:8" x14ac:dyDescent="0.25">
      <c r="A1553" s="1" t="s">
        <v>1566</v>
      </c>
      <c r="B1553" s="5">
        <v>45722.625</v>
      </c>
      <c r="C1553" s="1" t="s">
        <v>13</v>
      </c>
      <c r="D1553" s="1" t="s">
        <v>37</v>
      </c>
      <c r="E1553" s="1">
        <v>2</v>
      </c>
      <c r="F1553" s="1">
        <v>232.16</v>
      </c>
      <c r="G1553" s="1">
        <v>25.44</v>
      </c>
      <c r="H1553">
        <f t="shared" si="24"/>
        <v>464.32</v>
      </c>
    </row>
    <row r="1554" spans="1:8" x14ac:dyDescent="0.25">
      <c r="A1554" s="1" t="s">
        <v>1567</v>
      </c>
      <c r="B1554" s="5">
        <v>45722.666666666664</v>
      </c>
      <c r="C1554" s="1" t="s">
        <v>8</v>
      </c>
      <c r="D1554" s="1" t="s">
        <v>16</v>
      </c>
      <c r="E1554" s="1">
        <v>9</v>
      </c>
      <c r="F1554" s="1">
        <v>35.08</v>
      </c>
      <c r="G1554" s="1">
        <v>44.97</v>
      </c>
      <c r="H1554">
        <f t="shared" si="24"/>
        <v>315.71999999999997</v>
      </c>
    </row>
    <row r="1555" spans="1:8" x14ac:dyDescent="0.25">
      <c r="A1555" s="1" t="s">
        <v>1568</v>
      </c>
      <c r="B1555" s="5">
        <v>45722.708333333336</v>
      </c>
      <c r="C1555" s="1" t="s">
        <v>11</v>
      </c>
      <c r="D1555" s="1" t="s">
        <v>19</v>
      </c>
      <c r="E1555" s="1">
        <v>3</v>
      </c>
      <c r="F1555" s="1">
        <v>96.33</v>
      </c>
      <c r="G1555" s="1">
        <v>36.25</v>
      </c>
      <c r="H1555">
        <f t="shared" si="24"/>
        <v>288.99</v>
      </c>
    </row>
    <row r="1556" spans="1:8" x14ac:dyDescent="0.25">
      <c r="A1556" s="1" t="s">
        <v>1569</v>
      </c>
      <c r="B1556" s="5">
        <v>45722.75</v>
      </c>
      <c r="C1556" s="1" t="s">
        <v>11</v>
      </c>
      <c r="D1556" s="1" t="s">
        <v>9</v>
      </c>
      <c r="E1556" s="1">
        <v>18</v>
      </c>
      <c r="F1556" s="1">
        <v>421.56</v>
      </c>
      <c r="G1556" s="1">
        <v>20.69</v>
      </c>
      <c r="H1556">
        <f t="shared" si="24"/>
        <v>7588.08</v>
      </c>
    </row>
    <row r="1557" spans="1:8" x14ac:dyDescent="0.25">
      <c r="A1557" s="1" t="s">
        <v>1570</v>
      </c>
      <c r="B1557" s="5">
        <v>45722.791666666664</v>
      </c>
      <c r="C1557" s="1" t="s">
        <v>13</v>
      </c>
      <c r="D1557" s="1" t="s">
        <v>16</v>
      </c>
      <c r="E1557" s="1">
        <v>7</v>
      </c>
      <c r="F1557" s="1">
        <v>439.93</v>
      </c>
      <c r="G1557" s="1">
        <v>44.78</v>
      </c>
      <c r="H1557">
        <f t="shared" si="24"/>
        <v>3079.51</v>
      </c>
    </row>
    <row r="1558" spans="1:8" x14ac:dyDescent="0.25">
      <c r="A1558" s="1" t="s">
        <v>1571</v>
      </c>
      <c r="B1558" s="5">
        <v>45722.833333333336</v>
      </c>
      <c r="C1558" s="1" t="s">
        <v>23</v>
      </c>
      <c r="D1558" s="1" t="s">
        <v>9</v>
      </c>
      <c r="E1558" s="1">
        <v>15</v>
      </c>
      <c r="F1558" s="1">
        <v>336.92</v>
      </c>
      <c r="G1558" s="1">
        <v>35</v>
      </c>
      <c r="H1558">
        <f t="shared" si="24"/>
        <v>5053.8</v>
      </c>
    </row>
    <row r="1559" spans="1:8" x14ac:dyDescent="0.25">
      <c r="A1559" s="1" t="s">
        <v>1572</v>
      </c>
      <c r="B1559" s="5">
        <v>45722.875</v>
      </c>
      <c r="C1559" s="1" t="s">
        <v>8</v>
      </c>
      <c r="D1559" s="1" t="s">
        <v>37</v>
      </c>
      <c r="E1559" s="1">
        <v>18</v>
      </c>
      <c r="F1559" s="1">
        <v>125.08</v>
      </c>
      <c r="G1559" s="1">
        <v>36.450000000000003</v>
      </c>
      <c r="H1559">
        <f t="shared" si="24"/>
        <v>2251.44</v>
      </c>
    </row>
    <row r="1560" spans="1:8" x14ac:dyDescent="0.25">
      <c r="A1560" s="1" t="s">
        <v>1573</v>
      </c>
      <c r="B1560" s="5">
        <v>45722.916666666664</v>
      </c>
      <c r="C1560" s="1" t="s">
        <v>8</v>
      </c>
      <c r="D1560" s="1" t="s">
        <v>19</v>
      </c>
      <c r="E1560" s="1">
        <v>3</v>
      </c>
      <c r="F1560" s="1">
        <v>128.69</v>
      </c>
      <c r="G1560" s="1">
        <v>45.34</v>
      </c>
      <c r="H1560">
        <f t="shared" si="24"/>
        <v>386.07</v>
      </c>
    </row>
    <row r="1561" spans="1:8" x14ac:dyDescent="0.25">
      <c r="A1561" s="1" t="s">
        <v>1574</v>
      </c>
      <c r="B1561" s="5">
        <v>45722.958333333336</v>
      </c>
      <c r="C1561" s="1" t="s">
        <v>8</v>
      </c>
      <c r="D1561" s="1" t="s">
        <v>9</v>
      </c>
      <c r="E1561" s="1">
        <v>14</v>
      </c>
      <c r="F1561" s="1">
        <v>296.10000000000002</v>
      </c>
      <c r="G1561" s="1">
        <v>25.18</v>
      </c>
      <c r="H1561">
        <f t="shared" si="24"/>
        <v>4145.4000000000005</v>
      </c>
    </row>
    <row r="1562" spans="1:8" x14ac:dyDescent="0.25">
      <c r="A1562" s="1" t="s">
        <v>1575</v>
      </c>
      <c r="B1562" s="5">
        <v>45723</v>
      </c>
      <c r="C1562" s="1" t="s">
        <v>8</v>
      </c>
      <c r="D1562" s="1" t="s">
        <v>37</v>
      </c>
      <c r="E1562" s="1">
        <v>2</v>
      </c>
      <c r="F1562" s="1">
        <v>66.599999999999994</v>
      </c>
      <c r="G1562" s="1">
        <v>34.56</v>
      </c>
      <c r="H1562">
        <f t="shared" si="24"/>
        <v>133.19999999999999</v>
      </c>
    </row>
    <row r="1563" spans="1:8" x14ac:dyDescent="0.25">
      <c r="A1563" s="1" t="s">
        <v>1576</v>
      </c>
      <c r="B1563" s="5">
        <v>45723.041666666664</v>
      </c>
      <c r="C1563" s="1" t="s">
        <v>11</v>
      </c>
      <c r="D1563" s="1" t="s">
        <v>19</v>
      </c>
      <c r="E1563" s="1">
        <v>14</v>
      </c>
      <c r="F1563" s="1">
        <v>427.54</v>
      </c>
      <c r="G1563" s="1">
        <v>38.51</v>
      </c>
      <c r="H1563">
        <f t="shared" si="24"/>
        <v>5985.56</v>
      </c>
    </row>
    <row r="1564" spans="1:8" x14ac:dyDescent="0.25">
      <c r="A1564" s="1" t="s">
        <v>1577</v>
      </c>
      <c r="B1564" s="5">
        <v>45723.083333333336</v>
      </c>
      <c r="C1564" s="1" t="s">
        <v>11</v>
      </c>
      <c r="D1564" s="1" t="s">
        <v>9</v>
      </c>
      <c r="E1564" s="1">
        <v>11</v>
      </c>
      <c r="F1564" s="1">
        <v>113.18</v>
      </c>
      <c r="G1564" s="1">
        <v>25.43</v>
      </c>
      <c r="H1564">
        <f t="shared" si="24"/>
        <v>1244.98</v>
      </c>
    </row>
    <row r="1565" spans="1:8" x14ac:dyDescent="0.25">
      <c r="A1565" s="1" t="s">
        <v>1578</v>
      </c>
      <c r="B1565" s="5">
        <v>45723.125</v>
      </c>
      <c r="C1565" s="1" t="s">
        <v>23</v>
      </c>
      <c r="D1565" s="1" t="s">
        <v>9</v>
      </c>
      <c r="E1565" s="1">
        <v>16</v>
      </c>
      <c r="F1565" s="1">
        <v>449.84</v>
      </c>
      <c r="G1565" s="1">
        <v>8.76</v>
      </c>
      <c r="H1565">
        <f t="shared" si="24"/>
        <v>7197.44</v>
      </c>
    </row>
    <row r="1566" spans="1:8" x14ac:dyDescent="0.25">
      <c r="A1566" s="1" t="s">
        <v>1579</v>
      </c>
      <c r="B1566" s="5">
        <v>45723.166666666664</v>
      </c>
      <c r="C1566" s="1" t="s">
        <v>8</v>
      </c>
      <c r="D1566" s="1" t="s">
        <v>37</v>
      </c>
      <c r="E1566" s="1">
        <v>8</v>
      </c>
      <c r="F1566" s="1">
        <v>230.9</v>
      </c>
      <c r="G1566" s="1">
        <v>39.71</v>
      </c>
      <c r="H1566">
        <f t="shared" si="24"/>
        <v>1847.2</v>
      </c>
    </row>
    <row r="1567" spans="1:8" x14ac:dyDescent="0.25">
      <c r="A1567" s="1" t="s">
        <v>1580</v>
      </c>
      <c r="B1567" s="5">
        <v>45723.208333333336</v>
      </c>
      <c r="C1567" s="1" t="s">
        <v>8</v>
      </c>
      <c r="D1567" s="1" t="s">
        <v>19</v>
      </c>
      <c r="E1567" s="1">
        <v>7</v>
      </c>
      <c r="F1567" s="1">
        <v>350.69</v>
      </c>
      <c r="G1567" s="1">
        <v>7.15</v>
      </c>
      <c r="H1567">
        <f t="shared" si="24"/>
        <v>2454.83</v>
      </c>
    </row>
    <row r="1568" spans="1:8" x14ac:dyDescent="0.25">
      <c r="A1568" s="1" t="s">
        <v>1581</v>
      </c>
      <c r="B1568" s="5">
        <v>45723.25</v>
      </c>
      <c r="C1568" s="1" t="s">
        <v>13</v>
      </c>
      <c r="D1568" s="1" t="s">
        <v>19</v>
      </c>
      <c r="E1568" s="1">
        <v>11</v>
      </c>
      <c r="F1568" s="1">
        <v>16.45</v>
      </c>
      <c r="G1568" s="1">
        <v>37.31</v>
      </c>
      <c r="H1568">
        <f t="shared" si="24"/>
        <v>180.95</v>
      </c>
    </row>
    <row r="1569" spans="1:8" x14ac:dyDescent="0.25">
      <c r="A1569" s="1" t="s">
        <v>1582</v>
      </c>
      <c r="B1569" s="5">
        <v>45723.291666666664</v>
      </c>
      <c r="C1569" s="1" t="s">
        <v>11</v>
      </c>
      <c r="D1569" s="1" t="s">
        <v>9</v>
      </c>
      <c r="E1569" s="1">
        <v>3</v>
      </c>
      <c r="F1569" s="1">
        <v>401.66</v>
      </c>
      <c r="G1569" s="1">
        <v>45.99</v>
      </c>
      <c r="H1569">
        <f t="shared" si="24"/>
        <v>1204.98</v>
      </c>
    </row>
    <row r="1570" spans="1:8" x14ac:dyDescent="0.25">
      <c r="A1570" s="1" t="s">
        <v>1583</v>
      </c>
      <c r="B1570" s="5">
        <v>45723.333333333336</v>
      </c>
      <c r="C1570" s="1" t="s">
        <v>8</v>
      </c>
      <c r="D1570" s="1" t="s">
        <v>9</v>
      </c>
      <c r="E1570" s="1">
        <v>17</v>
      </c>
      <c r="F1570" s="1">
        <v>132.82</v>
      </c>
      <c r="G1570" s="1">
        <v>20.61</v>
      </c>
      <c r="H1570">
        <f t="shared" si="24"/>
        <v>2257.94</v>
      </c>
    </row>
    <row r="1571" spans="1:8" x14ac:dyDescent="0.25">
      <c r="A1571" s="1" t="s">
        <v>1584</v>
      </c>
      <c r="B1571" s="5">
        <v>45723.375</v>
      </c>
      <c r="C1571" s="1" t="s">
        <v>23</v>
      </c>
      <c r="D1571" s="1" t="s">
        <v>9</v>
      </c>
      <c r="E1571" s="1">
        <v>14</v>
      </c>
      <c r="F1571" s="1">
        <v>305.72000000000003</v>
      </c>
      <c r="G1571" s="1">
        <v>9.59</v>
      </c>
      <c r="H1571">
        <f t="shared" si="24"/>
        <v>4280.08</v>
      </c>
    </row>
    <row r="1572" spans="1:8" x14ac:dyDescent="0.25">
      <c r="A1572" s="1" t="s">
        <v>1585</v>
      </c>
      <c r="B1572" s="5">
        <v>45723.416666666664</v>
      </c>
      <c r="C1572" s="1" t="s">
        <v>23</v>
      </c>
      <c r="D1572" s="1" t="s">
        <v>19</v>
      </c>
      <c r="E1572" s="1">
        <v>6</v>
      </c>
      <c r="F1572" s="1">
        <v>365.86</v>
      </c>
      <c r="G1572" s="1">
        <v>15.48</v>
      </c>
      <c r="H1572">
        <f t="shared" si="24"/>
        <v>2195.16</v>
      </c>
    </row>
    <row r="1573" spans="1:8" x14ac:dyDescent="0.25">
      <c r="A1573" s="1" t="s">
        <v>1586</v>
      </c>
      <c r="B1573" s="5">
        <v>45723.458333333336</v>
      </c>
      <c r="C1573" s="1" t="s">
        <v>11</v>
      </c>
      <c r="D1573" s="1" t="s">
        <v>37</v>
      </c>
      <c r="E1573" s="1">
        <v>8</v>
      </c>
      <c r="F1573" s="1">
        <v>86.82</v>
      </c>
      <c r="G1573" s="1">
        <v>30.3</v>
      </c>
      <c r="H1573">
        <f t="shared" si="24"/>
        <v>694.56</v>
      </c>
    </row>
    <row r="1574" spans="1:8" x14ac:dyDescent="0.25">
      <c r="A1574" s="1" t="s">
        <v>1587</v>
      </c>
      <c r="B1574" s="5">
        <v>45723.5</v>
      </c>
      <c r="C1574" s="1" t="s">
        <v>23</v>
      </c>
      <c r="D1574" s="1" t="s">
        <v>37</v>
      </c>
      <c r="E1574" s="1">
        <v>5</v>
      </c>
      <c r="F1574" s="1">
        <v>207.77</v>
      </c>
      <c r="G1574" s="1">
        <v>47.42</v>
      </c>
      <c r="H1574">
        <f t="shared" si="24"/>
        <v>1038.8500000000001</v>
      </c>
    </row>
    <row r="1575" spans="1:8" x14ac:dyDescent="0.25">
      <c r="A1575" s="1" t="s">
        <v>1588</v>
      </c>
      <c r="B1575" s="5">
        <v>45723.541666666664</v>
      </c>
      <c r="C1575" s="1" t="s">
        <v>23</v>
      </c>
      <c r="D1575" s="1" t="s">
        <v>19</v>
      </c>
      <c r="E1575" s="1">
        <v>8</v>
      </c>
      <c r="F1575" s="1">
        <v>230.07</v>
      </c>
      <c r="G1575" s="1">
        <v>28.05</v>
      </c>
      <c r="H1575">
        <f t="shared" si="24"/>
        <v>1840.56</v>
      </c>
    </row>
    <row r="1576" spans="1:8" x14ac:dyDescent="0.25">
      <c r="A1576" s="1" t="s">
        <v>1589</v>
      </c>
      <c r="B1576" s="5">
        <v>45723.583333333336</v>
      </c>
      <c r="C1576" s="1" t="s">
        <v>11</v>
      </c>
      <c r="D1576" s="1" t="s">
        <v>16</v>
      </c>
      <c r="E1576" s="1">
        <v>2</v>
      </c>
      <c r="F1576" s="1">
        <v>151.12</v>
      </c>
      <c r="G1576" s="1">
        <v>10.07</v>
      </c>
      <c r="H1576">
        <f t="shared" si="24"/>
        <v>302.24</v>
      </c>
    </row>
    <row r="1577" spans="1:8" x14ac:dyDescent="0.25">
      <c r="A1577" s="1" t="s">
        <v>1590</v>
      </c>
      <c r="B1577" s="5">
        <v>45723.625</v>
      </c>
      <c r="C1577" s="1" t="s">
        <v>8</v>
      </c>
      <c r="D1577" s="1" t="s">
        <v>37</v>
      </c>
      <c r="E1577" s="1">
        <v>15</v>
      </c>
      <c r="F1577" s="1">
        <v>224.82</v>
      </c>
      <c r="G1577" s="1">
        <v>33.25</v>
      </c>
      <c r="H1577">
        <f t="shared" si="24"/>
        <v>3372.2999999999997</v>
      </c>
    </row>
    <row r="1578" spans="1:8" x14ac:dyDescent="0.25">
      <c r="A1578" s="1" t="s">
        <v>1591</v>
      </c>
      <c r="B1578" s="5">
        <v>45723.666666666664</v>
      </c>
      <c r="C1578" s="1" t="s">
        <v>8</v>
      </c>
      <c r="D1578" s="1" t="s">
        <v>9</v>
      </c>
      <c r="E1578" s="1">
        <v>12</v>
      </c>
      <c r="F1578" s="1">
        <v>153.47</v>
      </c>
      <c r="G1578" s="1">
        <v>37.979999999999997</v>
      </c>
      <c r="H1578">
        <f t="shared" si="24"/>
        <v>1841.6399999999999</v>
      </c>
    </row>
    <row r="1579" spans="1:8" x14ac:dyDescent="0.25">
      <c r="A1579" s="1" t="s">
        <v>1592</v>
      </c>
      <c r="B1579" s="5">
        <v>45723.708333333336</v>
      </c>
      <c r="C1579" s="1" t="s">
        <v>23</v>
      </c>
      <c r="D1579" s="1" t="s">
        <v>16</v>
      </c>
      <c r="E1579" s="1">
        <v>17</v>
      </c>
      <c r="F1579" s="1">
        <v>172.24</v>
      </c>
      <c r="G1579" s="1">
        <v>22.7</v>
      </c>
      <c r="H1579">
        <f t="shared" si="24"/>
        <v>2928.08</v>
      </c>
    </row>
    <row r="1580" spans="1:8" x14ac:dyDescent="0.25">
      <c r="A1580" s="1" t="s">
        <v>1593</v>
      </c>
      <c r="B1580" s="5">
        <v>45723.75</v>
      </c>
      <c r="C1580" s="1" t="s">
        <v>23</v>
      </c>
      <c r="D1580" s="1" t="s">
        <v>16</v>
      </c>
      <c r="E1580" s="1">
        <v>1</v>
      </c>
      <c r="F1580" s="1">
        <v>306.32</v>
      </c>
      <c r="G1580" s="1">
        <v>37.47</v>
      </c>
      <c r="H1580">
        <f t="shared" si="24"/>
        <v>306.32</v>
      </c>
    </row>
    <row r="1581" spans="1:8" x14ac:dyDescent="0.25">
      <c r="A1581" s="1" t="s">
        <v>1594</v>
      </c>
      <c r="B1581" s="5">
        <v>45723.791666666664</v>
      </c>
      <c r="C1581" s="1" t="s">
        <v>8</v>
      </c>
      <c r="D1581" s="1" t="s">
        <v>37</v>
      </c>
      <c r="E1581" s="1">
        <v>15</v>
      </c>
      <c r="F1581" s="1">
        <v>290.36</v>
      </c>
      <c r="G1581" s="1">
        <v>19.62</v>
      </c>
      <c r="H1581">
        <f t="shared" si="24"/>
        <v>4355.4000000000005</v>
      </c>
    </row>
    <row r="1582" spans="1:8" x14ac:dyDescent="0.25">
      <c r="A1582" s="1" t="s">
        <v>1595</v>
      </c>
      <c r="B1582" s="5">
        <v>45723.833333333336</v>
      </c>
      <c r="C1582" s="1" t="s">
        <v>11</v>
      </c>
      <c r="D1582" s="1" t="s">
        <v>16</v>
      </c>
      <c r="E1582" s="1">
        <v>14</v>
      </c>
      <c r="F1582" s="1">
        <v>116.42</v>
      </c>
      <c r="G1582" s="1">
        <v>40.51</v>
      </c>
      <c r="H1582">
        <f t="shared" si="24"/>
        <v>1629.88</v>
      </c>
    </row>
    <row r="1583" spans="1:8" x14ac:dyDescent="0.25">
      <c r="A1583" s="1" t="s">
        <v>1596</v>
      </c>
      <c r="B1583" s="5">
        <v>45723.875</v>
      </c>
      <c r="C1583" s="1" t="s">
        <v>23</v>
      </c>
      <c r="D1583" s="1" t="s">
        <v>16</v>
      </c>
      <c r="E1583" s="1">
        <v>16</v>
      </c>
      <c r="F1583" s="1">
        <v>405.46</v>
      </c>
      <c r="G1583" s="1">
        <v>20.350000000000001</v>
      </c>
      <c r="H1583">
        <f t="shared" si="24"/>
        <v>6487.36</v>
      </c>
    </row>
    <row r="1584" spans="1:8" x14ac:dyDescent="0.25">
      <c r="A1584" s="1" t="s">
        <v>1597</v>
      </c>
      <c r="B1584" s="5">
        <v>45723.916666666664</v>
      </c>
      <c r="C1584" s="1" t="s">
        <v>13</v>
      </c>
      <c r="D1584" s="1" t="s">
        <v>37</v>
      </c>
      <c r="E1584" s="1">
        <v>9</v>
      </c>
      <c r="F1584" s="1">
        <v>390.38</v>
      </c>
      <c r="G1584" s="1">
        <v>16.52</v>
      </c>
      <c r="H1584">
        <f t="shared" si="24"/>
        <v>3513.42</v>
      </c>
    </row>
    <row r="1585" spans="1:8" x14ac:dyDescent="0.25">
      <c r="A1585" s="1" t="s">
        <v>1598</v>
      </c>
      <c r="B1585" s="5">
        <v>45723.958333333336</v>
      </c>
      <c r="C1585" s="1" t="s">
        <v>11</v>
      </c>
      <c r="D1585" s="1" t="s">
        <v>37</v>
      </c>
      <c r="E1585" s="1">
        <v>1</v>
      </c>
      <c r="F1585" s="1">
        <v>236.7</v>
      </c>
      <c r="G1585" s="1">
        <v>44.56</v>
      </c>
      <c r="H1585">
        <f t="shared" si="24"/>
        <v>236.7</v>
      </c>
    </row>
    <row r="1586" spans="1:8" x14ac:dyDescent="0.25">
      <c r="A1586" s="1" t="s">
        <v>1599</v>
      </c>
      <c r="B1586" s="5">
        <v>45724</v>
      </c>
      <c r="C1586" s="1" t="s">
        <v>23</v>
      </c>
      <c r="D1586" s="1" t="s">
        <v>16</v>
      </c>
      <c r="E1586" s="1">
        <v>17</v>
      </c>
      <c r="F1586" s="1">
        <v>203.75</v>
      </c>
      <c r="G1586" s="1">
        <v>29.68</v>
      </c>
      <c r="H1586">
        <f t="shared" si="24"/>
        <v>3463.75</v>
      </c>
    </row>
    <row r="1587" spans="1:8" x14ac:dyDescent="0.25">
      <c r="A1587" s="1" t="s">
        <v>1600</v>
      </c>
      <c r="B1587" s="5">
        <v>45724.041666666664</v>
      </c>
      <c r="C1587" s="1" t="s">
        <v>23</v>
      </c>
      <c r="D1587" s="1" t="s">
        <v>9</v>
      </c>
      <c r="E1587" s="1">
        <v>13</v>
      </c>
      <c r="F1587" s="1">
        <v>179.24</v>
      </c>
      <c r="G1587" s="1">
        <v>17.829999999999998</v>
      </c>
      <c r="H1587">
        <f t="shared" si="24"/>
        <v>2330.12</v>
      </c>
    </row>
    <row r="1588" spans="1:8" x14ac:dyDescent="0.25">
      <c r="A1588" s="1" t="s">
        <v>1601</v>
      </c>
      <c r="B1588" s="5">
        <v>45724.083333333336</v>
      </c>
      <c r="C1588" s="1" t="s">
        <v>13</v>
      </c>
      <c r="D1588" s="1" t="s">
        <v>19</v>
      </c>
      <c r="E1588" s="1">
        <v>5</v>
      </c>
      <c r="F1588" s="1">
        <v>322.81</v>
      </c>
      <c r="G1588" s="1">
        <v>47.08</v>
      </c>
      <c r="H1588">
        <f t="shared" si="24"/>
        <v>1614.05</v>
      </c>
    </row>
    <row r="1589" spans="1:8" x14ac:dyDescent="0.25">
      <c r="A1589" s="1" t="s">
        <v>1602</v>
      </c>
      <c r="B1589" s="5">
        <v>45724.125</v>
      </c>
      <c r="C1589" s="1" t="s">
        <v>13</v>
      </c>
      <c r="D1589" s="1" t="s">
        <v>16</v>
      </c>
      <c r="E1589" s="1">
        <v>10</v>
      </c>
      <c r="F1589" s="1">
        <v>307.33999999999997</v>
      </c>
      <c r="G1589" s="1">
        <v>36.090000000000003</v>
      </c>
      <c r="H1589">
        <f t="shared" si="24"/>
        <v>3073.3999999999996</v>
      </c>
    </row>
    <row r="1590" spans="1:8" x14ac:dyDescent="0.25">
      <c r="A1590" s="1" t="s">
        <v>1603</v>
      </c>
      <c r="B1590" s="5">
        <v>45724.166666666664</v>
      </c>
      <c r="C1590" s="1" t="s">
        <v>8</v>
      </c>
      <c r="D1590" s="1" t="s">
        <v>16</v>
      </c>
      <c r="E1590" s="1">
        <v>6</v>
      </c>
      <c r="F1590" s="1">
        <v>100.74</v>
      </c>
      <c r="G1590" s="1">
        <v>14.93</v>
      </c>
      <c r="H1590">
        <f t="shared" si="24"/>
        <v>604.43999999999994</v>
      </c>
    </row>
    <row r="1591" spans="1:8" x14ac:dyDescent="0.25">
      <c r="A1591" s="1" t="s">
        <v>1604</v>
      </c>
      <c r="B1591" s="5">
        <v>45724.208333333336</v>
      </c>
      <c r="C1591" s="1" t="s">
        <v>11</v>
      </c>
      <c r="D1591" s="1" t="s">
        <v>9</v>
      </c>
      <c r="E1591" s="1">
        <v>19</v>
      </c>
      <c r="F1591" s="1">
        <v>307.25</v>
      </c>
      <c r="G1591" s="1">
        <v>32.659999999999997</v>
      </c>
      <c r="H1591">
        <f t="shared" si="24"/>
        <v>5837.75</v>
      </c>
    </row>
    <row r="1592" spans="1:8" x14ac:dyDescent="0.25">
      <c r="A1592" s="1" t="s">
        <v>1605</v>
      </c>
      <c r="B1592" s="5">
        <v>45724.25</v>
      </c>
      <c r="C1592" s="1" t="s">
        <v>11</v>
      </c>
      <c r="D1592" s="1" t="s">
        <v>16</v>
      </c>
      <c r="E1592" s="1">
        <v>13</v>
      </c>
      <c r="F1592" s="1">
        <v>125.18</v>
      </c>
      <c r="G1592" s="1">
        <v>44.17</v>
      </c>
      <c r="H1592">
        <f t="shared" si="24"/>
        <v>1627.3400000000001</v>
      </c>
    </row>
    <row r="1593" spans="1:8" x14ac:dyDescent="0.25">
      <c r="A1593" s="1" t="s">
        <v>1606</v>
      </c>
      <c r="B1593" s="5">
        <v>45724.291666666664</v>
      </c>
      <c r="C1593" s="1" t="s">
        <v>8</v>
      </c>
      <c r="D1593" s="1" t="s">
        <v>16</v>
      </c>
      <c r="E1593" s="1">
        <v>1</v>
      </c>
      <c r="F1593" s="1">
        <v>23.56</v>
      </c>
      <c r="G1593" s="1">
        <v>36.33</v>
      </c>
      <c r="H1593">
        <f t="shared" si="24"/>
        <v>23.56</v>
      </c>
    </row>
    <row r="1594" spans="1:8" x14ac:dyDescent="0.25">
      <c r="A1594" s="1" t="s">
        <v>1607</v>
      </c>
      <c r="B1594" s="5">
        <v>45724.333333333336</v>
      </c>
      <c r="C1594" s="1" t="s">
        <v>11</v>
      </c>
      <c r="D1594" s="1" t="s">
        <v>19</v>
      </c>
      <c r="E1594" s="1">
        <v>15</v>
      </c>
      <c r="F1594" s="1">
        <v>319.31</v>
      </c>
      <c r="G1594" s="1">
        <v>16.010000000000002</v>
      </c>
      <c r="H1594">
        <f t="shared" si="24"/>
        <v>4789.6499999999996</v>
      </c>
    </row>
    <row r="1595" spans="1:8" x14ac:dyDescent="0.25">
      <c r="A1595" s="1" t="s">
        <v>1608</v>
      </c>
      <c r="B1595" s="5">
        <v>45724.375</v>
      </c>
      <c r="C1595" s="1" t="s">
        <v>11</v>
      </c>
      <c r="D1595" s="1" t="s">
        <v>19</v>
      </c>
      <c r="E1595" s="1">
        <v>14</v>
      </c>
      <c r="F1595" s="1">
        <v>295.66000000000003</v>
      </c>
      <c r="G1595" s="1">
        <v>34.200000000000003</v>
      </c>
      <c r="H1595">
        <f t="shared" si="24"/>
        <v>4139.2400000000007</v>
      </c>
    </row>
    <row r="1596" spans="1:8" x14ac:dyDescent="0.25">
      <c r="A1596" s="1" t="s">
        <v>1609</v>
      </c>
      <c r="B1596" s="5">
        <v>45724.416666666664</v>
      </c>
      <c r="C1596" s="1" t="s">
        <v>11</v>
      </c>
      <c r="D1596" s="1" t="s">
        <v>19</v>
      </c>
      <c r="E1596" s="1">
        <v>8</v>
      </c>
      <c r="F1596" s="1">
        <v>194</v>
      </c>
      <c r="G1596" s="1">
        <v>32.86</v>
      </c>
      <c r="H1596">
        <f t="shared" si="24"/>
        <v>1552</v>
      </c>
    </row>
    <row r="1597" spans="1:8" x14ac:dyDescent="0.25">
      <c r="A1597" s="1" t="s">
        <v>1610</v>
      </c>
      <c r="B1597" s="5">
        <v>45724.458333333336</v>
      </c>
      <c r="C1597" s="1" t="s">
        <v>11</v>
      </c>
      <c r="D1597" s="1" t="s">
        <v>37</v>
      </c>
      <c r="E1597" s="1">
        <v>10</v>
      </c>
      <c r="F1597" s="1">
        <v>243.91</v>
      </c>
      <c r="G1597" s="1">
        <v>41.94</v>
      </c>
      <c r="H1597">
        <f t="shared" si="24"/>
        <v>2439.1</v>
      </c>
    </row>
    <row r="1598" spans="1:8" x14ac:dyDescent="0.25">
      <c r="A1598" s="1" t="s">
        <v>1611</v>
      </c>
      <c r="B1598" s="5">
        <v>45724.5</v>
      </c>
      <c r="C1598" s="1" t="s">
        <v>11</v>
      </c>
      <c r="D1598" s="1" t="s">
        <v>37</v>
      </c>
      <c r="E1598" s="1">
        <v>9</v>
      </c>
      <c r="F1598" s="1">
        <v>427.05</v>
      </c>
      <c r="G1598" s="1">
        <v>13.02</v>
      </c>
      <c r="H1598">
        <f t="shared" si="24"/>
        <v>3843.4500000000003</v>
      </c>
    </row>
    <row r="1599" spans="1:8" x14ac:dyDescent="0.25">
      <c r="A1599" s="1" t="s">
        <v>1612</v>
      </c>
      <c r="B1599" s="5">
        <v>45724.541666666664</v>
      </c>
      <c r="C1599" s="1" t="s">
        <v>13</v>
      </c>
      <c r="D1599" s="1" t="s">
        <v>19</v>
      </c>
      <c r="E1599" s="1">
        <v>17</v>
      </c>
      <c r="F1599" s="1">
        <v>274.11</v>
      </c>
      <c r="G1599" s="1">
        <v>36.479999999999997</v>
      </c>
      <c r="H1599">
        <f t="shared" si="24"/>
        <v>4659.87</v>
      </c>
    </row>
    <row r="1600" spans="1:8" x14ac:dyDescent="0.25">
      <c r="A1600" s="1" t="s">
        <v>1613</v>
      </c>
      <c r="B1600" s="5">
        <v>45724.583333333336</v>
      </c>
      <c r="C1600" s="1" t="s">
        <v>11</v>
      </c>
      <c r="D1600" s="1" t="s">
        <v>19</v>
      </c>
      <c r="E1600" s="1">
        <v>9</v>
      </c>
      <c r="F1600" s="1">
        <v>301.35000000000002</v>
      </c>
      <c r="G1600" s="1">
        <v>6.23</v>
      </c>
      <c r="H1600">
        <f t="shared" si="24"/>
        <v>2712.15</v>
      </c>
    </row>
    <row r="1601" spans="1:8" x14ac:dyDescent="0.25">
      <c r="A1601" s="1" t="s">
        <v>1614</v>
      </c>
      <c r="B1601" s="5">
        <v>45724.625</v>
      </c>
      <c r="C1601" s="1" t="s">
        <v>13</v>
      </c>
      <c r="D1601" s="1" t="s">
        <v>37</v>
      </c>
      <c r="E1601" s="1">
        <v>3</v>
      </c>
      <c r="F1601" s="1">
        <v>43.27</v>
      </c>
      <c r="G1601" s="1">
        <v>36.33</v>
      </c>
      <c r="H1601">
        <f t="shared" si="24"/>
        <v>129.81</v>
      </c>
    </row>
    <row r="1602" spans="1:8" x14ac:dyDescent="0.25">
      <c r="A1602" s="1" t="s">
        <v>1615</v>
      </c>
      <c r="B1602" s="5">
        <v>45724.666666666664</v>
      </c>
      <c r="C1602" s="1" t="s">
        <v>11</v>
      </c>
      <c r="D1602" s="1" t="s">
        <v>9</v>
      </c>
      <c r="E1602" s="1">
        <v>11</v>
      </c>
      <c r="F1602" s="1">
        <v>87.62</v>
      </c>
      <c r="G1602" s="1">
        <v>48.22</v>
      </c>
      <c r="H1602">
        <f t="shared" ref="H1602:H1665" si="25">E1602*F1602</f>
        <v>963.82</v>
      </c>
    </row>
    <row r="1603" spans="1:8" x14ac:dyDescent="0.25">
      <c r="A1603" s="1" t="s">
        <v>1616</v>
      </c>
      <c r="B1603" s="5">
        <v>45724.708333333336</v>
      </c>
      <c r="C1603" s="1" t="s">
        <v>8</v>
      </c>
      <c r="D1603" s="1" t="s">
        <v>16</v>
      </c>
      <c r="E1603" s="1">
        <v>12</v>
      </c>
      <c r="F1603" s="1">
        <v>146.26</v>
      </c>
      <c r="G1603" s="1">
        <v>12.85</v>
      </c>
      <c r="H1603">
        <f t="shared" si="25"/>
        <v>1755.12</v>
      </c>
    </row>
    <row r="1604" spans="1:8" x14ac:dyDescent="0.25">
      <c r="A1604" s="1" t="s">
        <v>1617</v>
      </c>
      <c r="B1604" s="5">
        <v>45724.75</v>
      </c>
      <c r="C1604" s="1" t="s">
        <v>23</v>
      </c>
      <c r="D1604" s="1" t="s">
        <v>16</v>
      </c>
      <c r="E1604" s="1">
        <v>10</v>
      </c>
      <c r="F1604" s="1">
        <v>249.86</v>
      </c>
      <c r="G1604" s="1">
        <v>19.010000000000002</v>
      </c>
      <c r="H1604">
        <f t="shared" si="25"/>
        <v>2498.6000000000004</v>
      </c>
    </row>
    <row r="1605" spans="1:8" x14ac:dyDescent="0.25">
      <c r="A1605" s="1" t="s">
        <v>1618</v>
      </c>
      <c r="B1605" s="5">
        <v>45724.791666666664</v>
      </c>
      <c r="C1605" s="1" t="s">
        <v>13</v>
      </c>
      <c r="D1605" s="1" t="s">
        <v>19</v>
      </c>
      <c r="E1605" s="1">
        <v>17</v>
      </c>
      <c r="F1605" s="1">
        <v>352.93</v>
      </c>
      <c r="G1605" s="1">
        <v>31.23</v>
      </c>
      <c r="H1605">
        <f t="shared" si="25"/>
        <v>5999.81</v>
      </c>
    </row>
    <row r="1606" spans="1:8" x14ac:dyDescent="0.25">
      <c r="A1606" s="1" t="s">
        <v>1619</v>
      </c>
      <c r="B1606" s="5">
        <v>45724.833333333336</v>
      </c>
      <c r="C1606" s="1" t="s">
        <v>11</v>
      </c>
      <c r="D1606" s="1" t="s">
        <v>9</v>
      </c>
      <c r="E1606" s="1">
        <v>17</v>
      </c>
      <c r="F1606" s="1">
        <v>155.08000000000001</v>
      </c>
      <c r="G1606" s="1">
        <v>37.96</v>
      </c>
      <c r="H1606">
        <f t="shared" si="25"/>
        <v>2636.36</v>
      </c>
    </row>
    <row r="1607" spans="1:8" x14ac:dyDescent="0.25">
      <c r="A1607" s="1" t="s">
        <v>1620</v>
      </c>
      <c r="B1607" s="5">
        <v>45724.875</v>
      </c>
      <c r="C1607" s="1" t="s">
        <v>8</v>
      </c>
      <c r="D1607" s="1" t="s">
        <v>37</v>
      </c>
      <c r="E1607" s="1">
        <v>11</v>
      </c>
      <c r="F1607" s="1">
        <v>170.35</v>
      </c>
      <c r="G1607" s="1">
        <v>20.5</v>
      </c>
      <c r="H1607">
        <f t="shared" si="25"/>
        <v>1873.85</v>
      </c>
    </row>
    <row r="1608" spans="1:8" x14ac:dyDescent="0.25">
      <c r="A1608" s="1" t="s">
        <v>1621</v>
      </c>
      <c r="B1608" s="5">
        <v>45724.916666666664</v>
      </c>
      <c r="C1608" s="1" t="s">
        <v>23</v>
      </c>
      <c r="D1608" s="1" t="s">
        <v>19</v>
      </c>
      <c r="E1608" s="1">
        <v>4</v>
      </c>
      <c r="F1608" s="1">
        <v>126.8</v>
      </c>
      <c r="G1608" s="1">
        <v>34.89</v>
      </c>
      <c r="H1608">
        <f t="shared" si="25"/>
        <v>507.2</v>
      </c>
    </row>
    <row r="1609" spans="1:8" x14ac:dyDescent="0.25">
      <c r="A1609" s="1" t="s">
        <v>1622</v>
      </c>
      <c r="B1609" s="5">
        <v>45724.958333333336</v>
      </c>
      <c r="C1609" s="1" t="s">
        <v>13</v>
      </c>
      <c r="D1609" s="1" t="s">
        <v>9</v>
      </c>
      <c r="E1609" s="1">
        <v>7</v>
      </c>
      <c r="F1609" s="1">
        <v>126.13</v>
      </c>
      <c r="G1609" s="1">
        <v>45.47</v>
      </c>
      <c r="H1609">
        <f t="shared" si="25"/>
        <v>882.91</v>
      </c>
    </row>
    <row r="1610" spans="1:8" x14ac:dyDescent="0.25">
      <c r="A1610" s="1" t="s">
        <v>1623</v>
      </c>
      <c r="B1610" s="5">
        <v>45725</v>
      </c>
      <c r="C1610" s="1" t="s">
        <v>23</v>
      </c>
      <c r="D1610" s="1" t="s">
        <v>9</v>
      </c>
      <c r="E1610" s="1">
        <v>14</v>
      </c>
      <c r="F1610" s="1">
        <v>427.78</v>
      </c>
      <c r="G1610" s="1">
        <v>37.700000000000003</v>
      </c>
      <c r="H1610">
        <f t="shared" si="25"/>
        <v>5988.92</v>
      </c>
    </row>
    <row r="1611" spans="1:8" x14ac:dyDescent="0.25">
      <c r="A1611" s="1" t="s">
        <v>1624</v>
      </c>
      <c r="B1611" s="5">
        <v>45725.041666666664</v>
      </c>
      <c r="C1611" s="1" t="s">
        <v>8</v>
      </c>
      <c r="D1611" s="1" t="s">
        <v>9</v>
      </c>
      <c r="E1611" s="1">
        <v>7</v>
      </c>
      <c r="F1611" s="1">
        <v>291.61</v>
      </c>
      <c r="G1611" s="1">
        <v>37</v>
      </c>
      <c r="H1611">
        <f t="shared" si="25"/>
        <v>2041.27</v>
      </c>
    </row>
    <row r="1612" spans="1:8" x14ac:dyDescent="0.25">
      <c r="A1612" s="1" t="s">
        <v>1625</v>
      </c>
      <c r="B1612" s="5">
        <v>45725.083333333336</v>
      </c>
      <c r="C1612" s="1" t="s">
        <v>13</v>
      </c>
      <c r="D1612" s="1" t="s">
        <v>37</v>
      </c>
      <c r="E1612" s="1">
        <v>8</v>
      </c>
      <c r="F1612" s="1">
        <v>83.24</v>
      </c>
      <c r="G1612" s="1">
        <v>22.19</v>
      </c>
      <c r="H1612">
        <f t="shared" si="25"/>
        <v>665.92</v>
      </c>
    </row>
    <row r="1613" spans="1:8" x14ac:dyDescent="0.25">
      <c r="A1613" s="1" t="s">
        <v>1626</v>
      </c>
      <c r="B1613" s="5">
        <v>45725.125</v>
      </c>
      <c r="C1613" s="1" t="s">
        <v>23</v>
      </c>
      <c r="D1613" s="1" t="s">
        <v>37</v>
      </c>
      <c r="E1613" s="1">
        <v>1</v>
      </c>
      <c r="F1613" s="1">
        <v>329.32</v>
      </c>
      <c r="G1613" s="1">
        <v>46.01</v>
      </c>
      <c r="H1613">
        <f t="shared" si="25"/>
        <v>329.32</v>
      </c>
    </row>
    <row r="1614" spans="1:8" x14ac:dyDescent="0.25">
      <c r="A1614" s="1" t="s">
        <v>1627</v>
      </c>
      <c r="B1614" s="5">
        <v>45725.166666666664</v>
      </c>
      <c r="C1614" s="1" t="s">
        <v>11</v>
      </c>
      <c r="D1614" s="1" t="s">
        <v>16</v>
      </c>
      <c r="E1614" s="1">
        <v>4</v>
      </c>
      <c r="F1614" s="1">
        <v>329.22</v>
      </c>
      <c r="G1614" s="1">
        <v>17.48</v>
      </c>
      <c r="H1614">
        <f t="shared" si="25"/>
        <v>1316.88</v>
      </c>
    </row>
    <row r="1615" spans="1:8" x14ac:dyDescent="0.25">
      <c r="A1615" s="1" t="s">
        <v>1628</v>
      </c>
      <c r="B1615" s="5">
        <v>45725.208333333336</v>
      </c>
      <c r="C1615" s="1" t="s">
        <v>13</v>
      </c>
      <c r="D1615" s="1" t="s">
        <v>16</v>
      </c>
      <c r="E1615" s="1">
        <v>12</v>
      </c>
      <c r="F1615" s="1">
        <v>305.08</v>
      </c>
      <c r="G1615" s="1">
        <v>14.24</v>
      </c>
      <c r="H1615">
        <f t="shared" si="25"/>
        <v>3660.96</v>
      </c>
    </row>
    <row r="1616" spans="1:8" x14ac:dyDescent="0.25">
      <c r="A1616" s="1" t="s">
        <v>1629</v>
      </c>
      <c r="B1616" s="5">
        <v>45725.25</v>
      </c>
      <c r="C1616" s="1" t="s">
        <v>23</v>
      </c>
      <c r="D1616" s="1" t="s">
        <v>9</v>
      </c>
      <c r="E1616" s="1">
        <v>3</v>
      </c>
      <c r="F1616" s="1">
        <v>74.040000000000006</v>
      </c>
      <c r="G1616" s="1">
        <v>21.39</v>
      </c>
      <c r="H1616">
        <f t="shared" si="25"/>
        <v>222.12</v>
      </c>
    </row>
    <row r="1617" spans="1:8" x14ac:dyDescent="0.25">
      <c r="A1617" s="1" t="s">
        <v>1630</v>
      </c>
      <c r="B1617" s="5">
        <v>45725.291666666664</v>
      </c>
      <c r="C1617" s="1" t="s">
        <v>8</v>
      </c>
      <c r="D1617" s="1" t="s">
        <v>9</v>
      </c>
      <c r="E1617" s="1">
        <v>13</v>
      </c>
      <c r="F1617" s="1">
        <v>192.77</v>
      </c>
      <c r="G1617" s="1">
        <v>34.26</v>
      </c>
      <c r="H1617">
        <f t="shared" si="25"/>
        <v>2506.0100000000002</v>
      </c>
    </row>
    <row r="1618" spans="1:8" x14ac:dyDescent="0.25">
      <c r="A1618" s="1" t="s">
        <v>1631</v>
      </c>
      <c r="B1618" s="5">
        <v>45725.333333333336</v>
      </c>
      <c r="C1618" s="1" t="s">
        <v>8</v>
      </c>
      <c r="D1618" s="1" t="s">
        <v>37</v>
      </c>
      <c r="E1618" s="1">
        <v>6</v>
      </c>
      <c r="F1618" s="1">
        <v>61.89</v>
      </c>
      <c r="G1618" s="1">
        <v>43.78</v>
      </c>
      <c r="H1618">
        <f t="shared" si="25"/>
        <v>371.34000000000003</v>
      </c>
    </row>
    <row r="1619" spans="1:8" x14ac:dyDescent="0.25">
      <c r="A1619" s="1" t="s">
        <v>1632</v>
      </c>
      <c r="B1619" s="5">
        <v>45725.375</v>
      </c>
      <c r="C1619" s="1" t="s">
        <v>13</v>
      </c>
      <c r="D1619" s="1" t="s">
        <v>16</v>
      </c>
      <c r="E1619" s="1">
        <v>11</v>
      </c>
      <c r="F1619" s="1">
        <v>370.32</v>
      </c>
      <c r="G1619" s="1">
        <v>10.94</v>
      </c>
      <c r="H1619">
        <f t="shared" si="25"/>
        <v>4073.52</v>
      </c>
    </row>
    <row r="1620" spans="1:8" x14ac:dyDescent="0.25">
      <c r="A1620" s="1" t="s">
        <v>1633</v>
      </c>
      <c r="B1620" s="5">
        <v>45725.416666666664</v>
      </c>
      <c r="C1620" s="1" t="s">
        <v>23</v>
      </c>
      <c r="D1620" s="1" t="s">
        <v>9</v>
      </c>
      <c r="E1620" s="1">
        <v>4</v>
      </c>
      <c r="F1620" s="1">
        <v>300.17</v>
      </c>
      <c r="G1620" s="1">
        <v>41.62</v>
      </c>
      <c r="H1620">
        <f t="shared" si="25"/>
        <v>1200.68</v>
      </c>
    </row>
    <row r="1621" spans="1:8" x14ac:dyDescent="0.25">
      <c r="A1621" s="1" t="s">
        <v>1634</v>
      </c>
      <c r="B1621" s="5">
        <v>45725.458333333336</v>
      </c>
      <c r="C1621" s="1" t="s">
        <v>13</v>
      </c>
      <c r="D1621" s="1" t="s">
        <v>16</v>
      </c>
      <c r="E1621" s="1">
        <v>16</v>
      </c>
      <c r="F1621" s="1">
        <v>235.88</v>
      </c>
      <c r="G1621" s="1">
        <v>41.58</v>
      </c>
      <c r="H1621">
        <f t="shared" si="25"/>
        <v>3774.08</v>
      </c>
    </row>
    <row r="1622" spans="1:8" x14ac:dyDescent="0.25">
      <c r="A1622" s="1" t="s">
        <v>1635</v>
      </c>
      <c r="B1622" s="5">
        <v>45725.5</v>
      </c>
      <c r="C1622" s="1" t="s">
        <v>13</v>
      </c>
      <c r="D1622" s="1" t="s">
        <v>16</v>
      </c>
      <c r="E1622" s="1">
        <v>7</v>
      </c>
      <c r="F1622" s="1">
        <v>164.54</v>
      </c>
      <c r="G1622" s="1">
        <v>31.41</v>
      </c>
      <c r="H1622">
        <f t="shared" si="25"/>
        <v>1151.78</v>
      </c>
    </row>
    <row r="1623" spans="1:8" x14ac:dyDescent="0.25">
      <c r="A1623" s="1" t="s">
        <v>1636</v>
      </c>
      <c r="B1623" s="5">
        <v>45725.541666666664</v>
      </c>
      <c r="C1623" s="1" t="s">
        <v>23</v>
      </c>
      <c r="D1623" s="1" t="s">
        <v>9</v>
      </c>
      <c r="E1623" s="1">
        <v>11</v>
      </c>
      <c r="F1623" s="1">
        <v>95.56</v>
      </c>
      <c r="G1623" s="1">
        <v>39.229999999999997</v>
      </c>
      <c r="H1623">
        <f t="shared" si="25"/>
        <v>1051.1600000000001</v>
      </c>
    </row>
    <row r="1624" spans="1:8" x14ac:dyDescent="0.25">
      <c r="A1624" s="1" t="s">
        <v>1637</v>
      </c>
      <c r="B1624" s="5">
        <v>45725.583333333336</v>
      </c>
      <c r="C1624" s="1" t="s">
        <v>23</v>
      </c>
      <c r="D1624" s="1" t="s">
        <v>37</v>
      </c>
      <c r="E1624" s="1">
        <v>1</v>
      </c>
      <c r="F1624" s="1">
        <v>61.75</v>
      </c>
      <c r="G1624" s="1">
        <v>13.18</v>
      </c>
      <c r="H1624">
        <f t="shared" si="25"/>
        <v>61.75</v>
      </c>
    </row>
    <row r="1625" spans="1:8" x14ac:dyDescent="0.25">
      <c r="A1625" s="1" t="s">
        <v>1638</v>
      </c>
      <c r="B1625" s="5">
        <v>45725.625</v>
      </c>
      <c r="C1625" s="1" t="s">
        <v>11</v>
      </c>
      <c r="D1625" s="1" t="s">
        <v>9</v>
      </c>
      <c r="E1625" s="1">
        <v>7</v>
      </c>
      <c r="F1625" s="1">
        <v>436.64</v>
      </c>
      <c r="G1625" s="1">
        <v>12.63</v>
      </c>
      <c r="H1625">
        <f t="shared" si="25"/>
        <v>3056.48</v>
      </c>
    </row>
    <row r="1626" spans="1:8" x14ac:dyDescent="0.25">
      <c r="A1626" s="1" t="s">
        <v>1639</v>
      </c>
      <c r="B1626" s="5">
        <v>45725.666666666664</v>
      </c>
      <c r="C1626" s="1" t="s">
        <v>23</v>
      </c>
      <c r="D1626" s="1" t="s">
        <v>9</v>
      </c>
      <c r="E1626" s="1">
        <v>12</v>
      </c>
      <c r="F1626" s="1">
        <v>102.25</v>
      </c>
      <c r="G1626" s="1">
        <v>43.83</v>
      </c>
      <c r="H1626">
        <f t="shared" si="25"/>
        <v>1227</v>
      </c>
    </row>
    <row r="1627" spans="1:8" x14ac:dyDescent="0.25">
      <c r="A1627" s="1" t="s">
        <v>1640</v>
      </c>
      <c r="B1627" s="5">
        <v>45725.708333333336</v>
      </c>
      <c r="C1627" s="1" t="s">
        <v>8</v>
      </c>
      <c r="D1627" s="1" t="s">
        <v>16</v>
      </c>
      <c r="E1627" s="1">
        <v>7</v>
      </c>
      <c r="F1627" s="1">
        <v>41.52</v>
      </c>
      <c r="G1627" s="1">
        <v>27.42</v>
      </c>
      <c r="H1627">
        <f t="shared" si="25"/>
        <v>290.64000000000004</v>
      </c>
    </row>
    <row r="1628" spans="1:8" x14ac:dyDescent="0.25">
      <c r="A1628" s="1" t="s">
        <v>1641</v>
      </c>
      <c r="B1628" s="5">
        <v>45725.75</v>
      </c>
      <c r="C1628" s="1" t="s">
        <v>13</v>
      </c>
      <c r="D1628" s="1" t="s">
        <v>9</v>
      </c>
      <c r="E1628" s="1">
        <v>7</v>
      </c>
      <c r="F1628" s="1">
        <v>433.34</v>
      </c>
      <c r="G1628" s="1">
        <v>16.07</v>
      </c>
      <c r="H1628">
        <f t="shared" si="25"/>
        <v>3033.3799999999997</v>
      </c>
    </row>
    <row r="1629" spans="1:8" x14ac:dyDescent="0.25">
      <c r="A1629" s="1" t="s">
        <v>1642</v>
      </c>
      <c r="B1629" s="5">
        <v>45725.791666666664</v>
      </c>
      <c r="C1629" s="1" t="s">
        <v>13</v>
      </c>
      <c r="D1629" s="1" t="s">
        <v>37</v>
      </c>
      <c r="E1629" s="1">
        <v>10</v>
      </c>
      <c r="F1629" s="1">
        <v>254.02</v>
      </c>
      <c r="G1629" s="1">
        <v>35.99</v>
      </c>
      <c r="H1629">
        <f t="shared" si="25"/>
        <v>2540.2000000000003</v>
      </c>
    </row>
    <row r="1630" spans="1:8" x14ac:dyDescent="0.25">
      <c r="A1630" s="1" t="s">
        <v>1643</v>
      </c>
      <c r="B1630" s="5">
        <v>45725.833333333336</v>
      </c>
      <c r="C1630" s="1" t="s">
        <v>8</v>
      </c>
      <c r="D1630" s="1" t="s">
        <v>9</v>
      </c>
      <c r="E1630" s="1">
        <v>16</v>
      </c>
      <c r="F1630" s="1">
        <v>361.65</v>
      </c>
      <c r="G1630" s="1">
        <v>45.13</v>
      </c>
      <c r="H1630">
        <f t="shared" si="25"/>
        <v>5786.4</v>
      </c>
    </row>
    <row r="1631" spans="1:8" x14ac:dyDescent="0.25">
      <c r="A1631" s="1" t="s">
        <v>1644</v>
      </c>
      <c r="B1631" s="5">
        <v>45725.875</v>
      </c>
      <c r="C1631" s="1" t="s">
        <v>23</v>
      </c>
      <c r="D1631" s="1" t="s">
        <v>37</v>
      </c>
      <c r="E1631" s="1">
        <v>8</v>
      </c>
      <c r="F1631" s="1">
        <v>34.520000000000003</v>
      </c>
      <c r="G1631" s="1">
        <v>33.450000000000003</v>
      </c>
      <c r="H1631">
        <f t="shared" si="25"/>
        <v>276.16000000000003</v>
      </c>
    </row>
    <row r="1632" spans="1:8" x14ac:dyDescent="0.25">
      <c r="A1632" s="1" t="s">
        <v>1645</v>
      </c>
      <c r="B1632" s="5">
        <v>45725.916666666664</v>
      </c>
      <c r="C1632" s="1" t="s">
        <v>8</v>
      </c>
      <c r="D1632" s="1" t="s">
        <v>37</v>
      </c>
      <c r="E1632" s="1">
        <v>9</v>
      </c>
      <c r="F1632" s="1">
        <v>261.83999999999997</v>
      </c>
      <c r="G1632" s="1">
        <v>20.63</v>
      </c>
      <c r="H1632">
        <f t="shared" si="25"/>
        <v>2356.56</v>
      </c>
    </row>
    <row r="1633" spans="1:8" x14ac:dyDescent="0.25">
      <c r="A1633" s="1" t="s">
        <v>1646</v>
      </c>
      <c r="B1633" s="5">
        <v>45725.958333333336</v>
      </c>
      <c r="C1633" s="1" t="s">
        <v>8</v>
      </c>
      <c r="D1633" s="1" t="s">
        <v>16</v>
      </c>
      <c r="E1633" s="1">
        <v>9</v>
      </c>
      <c r="F1633" s="1">
        <v>188.52</v>
      </c>
      <c r="G1633" s="1">
        <v>26.75</v>
      </c>
      <c r="H1633">
        <f t="shared" si="25"/>
        <v>1696.68</v>
      </c>
    </row>
    <row r="1634" spans="1:8" x14ac:dyDescent="0.25">
      <c r="A1634" s="1" t="s">
        <v>1647</v>
      </c>
      <c r="B1634" s="5">
        <v>45726</v>
      </c>
      <c r="C1634" s="1" t="s">
        <v>11</v>
      </c>
      <c r="D1634" s="1" t="s">
        <v>19</v>
      </c>
      <c r="E1634" s="1">
        <v>2</v>
      </c>
      <c r="F1634" s="1">
        <v>350.92</v>
      </c>
      <c r="G1634" s="1">
        <v>38.85</v>
      </c>
      <c r="H1634">
        <f t="shared" si="25"/>
        <v>701.84</v>
      </c>
    </row>
    <row r="1635" spans="1:8" x14ac:dyDescent="0.25">
      <c r="A1635" s="1" t="s">
        <v>1648</v>
      </c>
      <c r="B1635" s="5">
        <v>45726.041666666664</v>
      </c>
      <c r="C1635" s="1" t="s">
        <v>8</v>
      </c>
      <c r="D1635" s="1" t="s">
        <v>19</v>
      </c>
      <c r="E1635" s="1">
        <v>13</v>
      </c>
      <c r="F1635" s="1">
        <v>32.200000000000003</v>
      </c>
      <c r="G1635" s="1">
        <v>8.0399999999999991</v>
      </c>
      <c r="H1635">
        <f t="shared" si="25"/>
        <v>418.6</v>
      </c>
    </row>
    <row r="1636" spans="1:8" x14ac:dyDescent="0.25">
      <c r="A1636" s="1" t="s">
        <v>1649</v>
      </c>
      <c r="B1636" s="5">
        <v>45726.083333333336</v>
      </c>
      <c r="C1636" s="1" t="s">
        <v>13</v>
      </c>
      <c r="D1636" s="1" t="s">
        <v>16</v>
      </c>
      <c r="E1636" s="1">
        <v>13</v>
      </c>
      <c r="F1636" s="1">
        <v>190.03</v>
      </c>
      <c r="G1636" s="1">
        <v>14.77</v>
      </c>
      <c r="H1636">
        <f t="shared" si="25"/>
        <v>2470.39</v>
      </c>
    </row>
    <row r="1637" spans="1:8" x14ac:dyDescent="0.25">
      <c r="A1637" s="1" t="s">
        <v>1650</v>
      </c>
      <c r="B1637" s="5">
        <v>45726.125</v>
      </c>
      <c r="C1637" s="1" t="s">
        <v>8</v>
      </c>
      <c r="D1637" s="1" t="s">
        <v>9</v>
      </c>
      <c r="E1637" s="1">
        <v>4</v>
      </c>
      <c r="F1637" s="1">
        <v>362.7</v>
      </c>
      <c r="G1637" s="1">
        <v>25.82</v>
      </c>
      <c r="H1637">
        <f t="shared" si="25"/>
        <v>1450.8</v>
      </c>
    </row>
    <row r="1638" spans="1:8" x14ac:dyDescent="0.25">
      <c r="A1638" s="1" t="s">
        <v>1651</v>
      </c>
      <c r="B1638" s="5">
        <v>45726.166666666664</v>
      </c>
      <c r="C1638" s="1" t="s">
        <v>13</v>
      </c>
      <c r="D1638" s="1" t="s">
        <v>16</v>
      </c>
      <c r="E1638" s="1">
        <v>12</v>
      </c>
      <c r="F1638" s="1">
        <v>242.61</v>
      </c>
      <c r="G1638" s="1">
        <v>32.19</v>
      </c>
      <c r="H1638">
        <f t="shared" si="25"/>
        <v>2911.32</v>
      </c>
    </row>
    <row r="1639" spans="1:8" x14ac:dyDescent="0.25">
      <c r="A1639" s="1" t="s">
        <v>1652</v>
      </c>
      <c r="B1639" s="5">
        <v>45726.208333333336</v>
      </c>
      <c r="C1639" s="1" t="s">
        <v>13</v>
      </c>
      <c r="D1639" s="1" t="s">
        <v>37</v>
      </c>
      <c r="E1639" s="1">
        <v>17</v>
      </c>
      <c r="F1639" s="1">
        <v>254.49</v>
      </c>
      <c r="G1639" s="1">
        <v>20.260000000000002</v>
      </c>
      <c r="H1639">
        <f t="shared" si="25"/>
        <v>4326.33</v>
      </c>
    </row>
    <row r="1640" spans="1:8" x14ac:dyDescent="0.25">
      <c r="A1640" s="1" t="s">
        <v>1653</v>
      </c>
      <c r="B1640" s="5">
        <v>45726.25</v>
      </c>
      <c r="C1640" s="1" t="s">
        <v>13</v>
      </c>
      <c r="D1640" s="1" t="s">
        <v>19</v>
      </c>
      <c r="E1640" s="1">
        <v>2</v>
      </c>
      <c r="F1640" s="1">
        <v>57.72</v>
      </c>
      <c r="G1640" s="1">
        <v>18.43</v>
      </c>
      <c r="H1640">
        <f t="shared" si="25"/>
        <v>115.44</v>
      </c>
    </row>
    <row r="1641" spans="1:8" x14ac:dyDescent="0.25">
      <c r="A1641" s="1" t="s">
        <v>1654</v>
      </c>
      <c r="B1641" s="5">
        <v>45726.291666666664</v>
      </c>
      <c r="C1641" s="1" t="s">
        <v>23</v>
      </c>
      <c r="D1641" s="1" t="s">
        <v>16</v>
      </c>
      <c r="E1641" s="1">
        <v>13</v>
      </c>
      <c r="F1641" s="1">
        <v>73</v>
      </c>
      <c r="G1641" s="1">
        <v>6.86</v>
      </c>
      <c r="H1641">
        <f t="shared" si="25"/>
        <v>949</v>
      </c>
    </row>
    <row r="1642" spans="1:8" x14ac:dyDescent="0.25">
      <c r="A1642" s="1" t="s">
        <v>1655</v>
      </c>
      <c r="B1642" s="5">
        <v>45726.333333333336</v>
      </c>
      <c r="C1642" s="1" t="s">
        <v>11</v>
      </c>
      <c r="D1642" s="1" t="s">
        <v>9</v>
      </c>
      <c r="E1642" s="1">
        <v>18</v>
      </c>
      <c r="F1642" s="1">
        <v>309.66000000000003</v>
      </c>
      <c r="G1642" s="1">
        <v>6.47</v>
      </c>
      <c r="H1642">
        <f t="shared" si="25"/>
        <v>5573.88</v>
      </c>
    </row>
    <row r="1643" spans="1:8" x14ac:dyDescent="0.25">
      <c r="A1643" s="1" t="s">
        <v>1656</v>
      </c>
      <c r="B1643" s="5">
        <v>45726.375</v>
      </c>
      <c r="C1643" s="1" t="s">
        <v>13</v>
      </c>
      <c r="D1643" s="1" t="s">
        <v>16</v>
      </c>
      <c r="E1643" s="1">
        <v>15</v>
      </c>
      <c r="F1643" s="1">
        <v>308.81</v>
      </c>
      <c r="G1643" s="1">
        <v>17.54</v>
      </c>
      <c r="H1643">
        <f t="shared" si="25"/>
        <v>4632.1499999999996</v>
      </c>
    </row>
    <row r="1644" spans="1:8" x14ac:dyDescent="0.25">
      <c r="A1644" s="1" t="s">
        <v>1657</v>
      </c>
      <c r="B1644" s="5">
        <v>45726.416666666664</v>
      </c>
      <c r="C1644" s="1" t="s">
        <v>13</v>
      </c>
      <c r="D1644" s="1" t="s">
        <v>19</v>
      </c>
      <c r="E1644" s="1">
        <v>8</v>
      </c>
      <c r="F1644" s="1">
        <v>440.92</v>
      </c>
      <c r="G1644" s="1">
        <v>28.87</v>
      </c>
      <c r="H1644">
        <f t="shared" si="25"/>
        <v>3527.36</v>
      </c>
    </row>
    <row r="1645" spans="1:8" x14ac:dyDescent="0.25">
      <c r="A1645" s="1" t="s">
        <v>1658</v>
      </c>
      <c r="B1645" s="5">
        <v>45726.458333333336</v>
      </c>
      <c r="C1645" s="1" t="s">
        <v>23</v>
      </c>
      <c r="D1645" s="1" t="s">
        <v>16</v>
      </c>
      <c r="E1645" s="1">
        <v>15</v>
      </c>
      <c r="F1645" s="1">
        <v>324.83999999999997</v>
      </c>
      <c r="G1645" s="1">
        <v>30.04</v>
      </c>
      <c r="H1645">
        <f t="shared" si="25"/>
        <v>4872.5999999999995</v>
      </c>
    </row>
    <row r="1646" spans="1:8" x14ac:dyDescent="0.25">
      <c r="A1646" s="1" t="s">
        <v>1659</v>
      </c>
      <c r="B1646" s="5">
        <v>45726.5</v>
      </c>
      <c r="C1646" s="1" t="s">
        <v>13</v>
      </c>
      <c r="D1646" s="1" t="s">
        <v>16</v>
      </c>
      <c r="E1646" s="1">
        <v>1</v>
      </c>
      <c r="F1646" s="1">
        <v>229.81</v>
      </c>
      <c r="G1646" s="1">
        <v>27.23</v>
      </c>
      <c r="H1646">
        <f t="shared" si="25"/>
        <v>229.81</v>
      </c>
    </row>
    <row r="1647" spans="1:8" x14ac:dyDescent="0.25">
      <c r="A1647" s="1" t="s">
        <v>1660</v>
      </c>
      <c r="B1647" s="5">
        <v>45726.541666666664</v>
      </c>
      <c r="C1647" s="1" t="s">
        <v>8</v>
      </c>
      <c r="D1647" s="1" t="s">
        <v>19</v>
      </c>
      <c r="E1647" s="1">
        <v>10</v>
      </c>
      <c r="F1647" s="1">
        <v>388.01</v>
      </c>
      <c r="G1647" s="1">
        <v>23.44</v>
      </c>
      <c r="H1647">
        <f t="shared" si="25"/>
        <v>3880.1</v>
      </c>
    </row>
    <row r="1648" spans="1:8" x14ac:dyDescent="0.25">
      <c r="A1648" s="1" t="s">
        <v>1661</v>
      </c>
      <c r="B1648" s="5">
        <v>45726.583333333336</v>
      </c>
      <c r="C1648" s="1" t="s">
        <v>8</v>
      </c>
      <c r="D1648" s="1" t="s">
        <v>37</v>
      </c>
      <c r="E1648" s="1">
        <v>12</v>
      </c>
      <c r="F1648" s="1">
        <v>60.89</v>
      </c>
      <c r="G1648" s="1">
        <v>16.350000000000001</v>
      </c>
      <c r="H1648">
        <f t="shared" si="25"/>
        <v>730.68000000000006</v>
      </c>
    </row>
    <row r="1649" spans="1:8" x14ac:dyDescent="0.25">
      <c r="A1649" s="1" t="s">
        <v>1662</v>
      </c>
      <c r="B1649" s="5">
        <v>45726.625</v>
      </c>
      <c r="C1649" s="1" t="s">
        <v>11</v>
      </c>
      <c r="D1649" s="1" t="s">
        <v>37</v>
      </c>
      <c r="E1649" s="1">
        <v>5</v>
      </c>
      <c r="F1649" s="1">
        <v>210.72</v>
      </c>
      <c r="G1649" s="1">
        <v>23.03</v>
      </c>
      <c r="H1649">
        <f t="shared" si="25"/>
        <v>1053.5999999999999</v>
      </c>
    </row>
    <row r="1650" spans="1:8" x14ac:dyDescent="0.25">
      <c r="A1650" s="1" t="s">
        <v>1663</v>
      </c>
      <c r="B1650" s="5">
        <v>45726.666666666664</v>
      </c>
      <c r="C1650" s="1" t="s">
        <v>13</v>
      </c>
      <c r="D1650" s="1" t="s">
        <v>19</v>
      </c>
      <c r="E1650" s="1">
        <v>9</v>
      </c>
      <c r="F1650" s="1">
        <v>140.25</v>
      </c>
      <c r="G1650" s="1">
        <v>11.24</v>
      </c>
      <c r="H1650">
        <f t="shared" si="25"/>
        <v>1262.25</v>
      </c>
    </row>
    <row r="1651" spans="1:8" x14ac:dyDescent="0.25">
      <c r="A1651" s="1" t="s">
        <v>1664</v>
      </c>
      <c r="B1651" s="5">
        <v>45726.708333333336</v>
      </c>
      <c r="C1651" s="1" t="s">
        <v>23</v>
      </c>
      <c r="D1651" s="1" t="s">
        <v>16</v>
      </c>
      <c r="E1651" s="1">
        <v>8</v>
      </c>
      <c r="F1651" s="1">
        <v>60.97</v>
      </c>
      <c r="G1651" s="1">
        <v>10.19</v>
      </c>
      <c r="H1651">
        <f t="shared" si="25"/>
        <v>487.76</v>
      </c>
    </row>
    <row r="1652" spans="1:8" x14ac:dyDescent="0.25">
      <c r="A1652" s="1" t="s">
        <v>1665</v>
      </c>
      <c r="B1652" s="5">
        <v>45726.75</v>
      </c>
      <c r="C1652" s="1" t="s">
        <v>8</v>
      </c>
      <c r="D1652" s="1" t="s">
        <v>19</v>
      </c>
      <c r="E1652" s="1">
        <v>16</v>
      </c>
      <c r="F1652" s="1">
        <v>347.24</v>
      </c>
      <c r="G1652" s="1">
        <v>18.5</v>
      </c>
      <c r="H1652">
        <f t="shared" si="25"/>
        <v>5555.84</v>
      </c>
    </row>
    <row r="1653" spans="1:8" x14ac:dyDescent="0.25">
      <c r="A1653" s="1" t="s">
        <v>1666</v>
      </c>
      <c r="B1653" s="5">
        <v>45726.791666666664</v>
      </c>
      <c r="C1653" s="1" t="s">
        <v>23</v>
      </c>
      <c r="D1653" s="1" t="s">
        <v>37</v>
      </c>
      <c r="E1653" s="1">
        <v>14</v>
      </c>
      <c r="F1653" s="1">
        <v>237.44</v>
      </c>
      <c r="G1653" s="1">
        <v>49.79</v>
      </c>
      <c r="H1653">
        <f t="shared" si="25"/>
        <v>3324.16</v>
      </c>
    </row>
    <row r="1654" spans="1:8" x14ac:dyDescent="0.25">
      <c r="A1654" s="1" t="s">
        <v>1667</v>
      </c>
      <c r="B1654" s="5">
        <v>45726.833333333336</v>
      </c>
      <c r="C1654" s="1" t="s">
        <v>23</v>
      </c>
      <c r="D1654" s="1" t="s">
        <v>9</v>
      </c>
      <c r="E1654" s="1">
        <v>13</v>
      </c>
      <c r="F1654" s="1">
        <v>257.42</v>
      </c>
      <c r="G1654" s="1">
        <v>19.690000000000001</v>
      </c>
      <c r="H1654">
        <f t="shared" si="25"/>
        <v>3346.46</v>
      </c>
    </row>
    <row r="1655" spans="1:8" x14ac:dyDescent="0.25">
      <c r="A1655" s="1" t="s">
        <v>1668</v>
      </c>
      <c r="B1655" s="5">
        <v>45726.875</v>
      </c>
      <c r="C1655" s="1" t="s">
        <v>8</v>
      </c>
      <c r="D1655" s="1" t="s">
        <v>16</v>
      </c>
      <c r="E1655" s="1">
        <v>13</v>
      </c>
      <c r="F1655" s="1">
        <v>194.19</v>
      </c>
      <c r="G1655" s="1">
        <v>47.14</v>
      </c>
      <c r="H1655">
        <f t="shared" si="25"/>
        <v>2524.4699999999998</v>
      </c>
    </row>
    <row r="1656" spans="1:8" x14ac:dyDescent="0.25">
      <c r="A1656" s="1" t="s">
        <v>1669</v>
      </c>
      <c r="B1656" s="5">
        <v>45726.916666666664</v>
      </c>
      <c r="C1656" s="1" t="s">
        <v>23</v>
      </c>
      <c r="D1656" s="1" t="s">
        <v>37</v>
      </c>
      <c r="E1656" s="1">
        <v>5</v>
      </c>
      <c r="F1656" s="1">
        <v>215.52</v>
      </c>
      <c r="G1656" s="1">
        <v>22.65</v>
      </c>
      <c r="H1656">
        <f t="shared" si="25"/>
        <v>1077.6000000000001</v>
      </c>
    </row>
    <row r="1657" spans="1:8" x14ac:dyDescent="0.25">
      <c r="A1657" s="1" t="s">
        <v>1670</v>
      </c>
      <c r="B1657" s="5">
        <v>45726.958333333336</v>
      </c>
      <c r="C1657" s="1" t="s">
        <v>8</v>
      </c>
      <c r="D1657" s="1" t="s">
        <v>16</v>
      </c>
      <c r="E1657" s="1">
        <v>16</v>
      </c>
      <c r="F1657" s="1">
        <v>65.91</v>
      </c>
      <c r="G1657" s="1">
        <v>24.76</v>
      </c>
      <c r="H1657">
        <f t="shared" si="25"/>
        <v>1054.56</v>
      </c>
    </row>
    <row r="1658" spans="1:8" x14ac:dyDescent="0.25">
      <c r="A1658" s="1" t="s">
        <v>1671</v>
      </c>
      <c r="B1658" s="5">
        <v>45727</v>
      </c>
      <c r="C1658" s="1" t="s">
        <v>23</v>
      </c>
      <c r="D1658" s="1" t="s">
        <v>19</v>
      </c>
      <c r="E1658" s="1">
        <v>11</v>
      </c>
      <c r="F1658" s="1">
        <v>307.88</v>
      </c>
      <c r="G1658" s="1">
        <v>40.869999999999997</v>
      </c>
      <c r="H1658">
        <f t="shared" si="25"/>
        <v>3386.68</v>
      </c>
    </row>
    <row r="1659" spans="1:8" x14ac:dyDescent="0.25">
      <c r="A1659" s="1" t="s">
        <v>1672</v>
      </c>
      <c r="B1659" s="5">
        <v>45727.041666666664</v>
      </c>
      <c r="C1659" s="1" t="s">
        <v>8</v>
      </c>
      <c r="D1659" s="1" t="s">
        <v>9</v>
      </c>
      <c r="E1659" s="1">
        <v>5</v>
      </c>
      <c r="F1659" s="1">
        <v>203.4</v>
      </c>
      <c r="G1659" s="1">
        <v>9.2100000000000009</v>
      </c>
      <c r="H1659">
        <f t="shared" si="25"/>
        <v>1017</v>
      </c>
    </row>
    <row r="1660" spans="1:8" x14ac:dyDescent="0.25">
      <c r="A1660" s="1" t="s">
        <v>1673</v>
      </c>
      <c r="B1660" s="5">
        <v>45727.083333333336</v>
      </c>
      <c r="C1660" s="1" t="s">
        <v>13</v>
      </c>
      <c r="D1660" s="1" t="s">
        <v>19</v>
      </c>
      <c r="E1660" s="1">
        <v>13</v>
      </c>
      <c r="F1660" s="1">
        <v>370.39</v>
      </c>
      <c r="G1660" s="1">
        <v>13.2</v>
      </c>
      <c r="H1660">
        <f t="shared" si="25"/>
        <v>4815.07</v>
      </c>
    </row>
    <row r="1661" spans="1:8" x14ac:dyDescent="0.25">
      <c r="A1661" s="1" t="s">
        <v>1674</v>
      </c>
      <c r="B1661" s="5">
        <v>45727.125</v>
      </c>
      <c r="C1661" s="1" t="s">
        <v>11</v>
      </c>
      <c r="D1661" s="1" t="s">
        <v>9</v>
      </c>
      <c r="E1661" s="1">
        <v>11</v>
      </c>
      <c r="F1661" s="1">
        <v>100.79</v>
      </c>
      <c r="G1661" s="1">
        <v>48.82</v>
      </c>
      <c r="H1661">
        <f t="shared" si="25"/>
        <v>1108.69</v>
      </c>
    </row>
    <row r="1662" spans="1:8" x14ac:dyDescent="0.25">
      <c r="A1662" s="1" t="s">
        <v>1675</v>
      </c>
      <c r="B1662" s="5">
        <v>45727.166666666664</v>
      </c>
      <c r="C1662" s="1" t="s">
        <v>8</v>
      </c>
      <c r="D1662" s="1" t="s">
        <v>16</v>
      </c>
      <c r="E1662" s="1">
        <v>19</v>
      </c>
      <c r="F1662" s="1">
        <v>104.6</v>
      </c>
      <c r="G1662" s="1">
        <v>27.77</v>
      </c>
      <c r="H1662">
        <f t="shared" si="25"/>
        <v>1987.3999999999999</v>
      </c>
    </row>
    <row r="1663" spans="1:8" x14ac:dyDescent="0.25">
      <c r="A1663" s="1" t="s">
        <v>1676</v>
      </c>
      <c r="B1663" s="5">
        <v>45727.208333333336</v>
      </c>
      <c r="C1663" s="1" t="s">
        <v>8</v>
      </c>
      <c r="D1663" s="1" t="s">
        <v>16</v>
      </c>
      <c r="E1663" s="1">
        <v>3</v>
      </c>
      <c r="F1663" s="1">
        <v>296.08</v>
      </c>
      <c r="G1663" s="1">
        <v>6.99</v>
      </c>
      <c r="H1663">
        <f t="shared" si="25"/>
        <v>888.24</v>
      </c>
    </row>
    <row r="1664" spans="1:8" x14ac:dyDescent="0.25">
      <c r="A1664" s="1" t="s">
        <v>1677</v>
      </c>
      <c r="B1664" s="5">
        <v>45727.25</v>
      </c>
      <c r="C1664" s="1" t="s">
        <v>11</v>
      </c>
      <c r="D1664" s="1" t="s">
        <v>19</v>
      </c>
      <c r="E1664" s="1">
        <v>15</v>
      </c>
      <c r="F1664" s="1">
        <v>383.09</v>
      </c>
      <c r="G1664" s="1">
        <v>7.13</v>
      </c>
      <c r="H1664">
        <f t="shared" si="25"/>
        <v>5746.3499999999995</v>
      </c>
    </row>
    <row r="1665" spans="1:8" x14ac:dyDescent="0.25">
      <c r="A1665" s="1" t="s">
        <v>1678</v>
      </c>
      <c r="B1665" s="5">
        <v>45727.291666666664</v>
      </c>
      <c r="C1665" s="1" t="s">
        <v>8</v>
      </c>
      <c r="D1665" s="1" t="s">
        <v>9</v>
      </c>
      <c r="E1665" s="1">
        <v>7</v>
      </c>
      <c r="F1665" s="1">
        <v>220.67</v>
      </c>
      <c r="G1665" s="1">
        <v>45.83</v>
      </c>
      <c r="H1665">
        <f t="shared" si="25"/>
        <v>1544.6899999999998</v>
      </c>
    </row>
    <row r="1666" spans="1:8" x14ac:dyDescent="0.25">
      <c r="A1666" s="1" t="s">
        <v>1679</v>
      </c>
      <c r="B1666" s="5">
        <v>45727.333333333336</v>
      </c>
      <c r="C1666" s="1" t="s">
        <v>8</v>
      </c>
      <c r="D1666" s="1" t="s">
        <v>9</v>
      </c>
      <c r="E1666" s="1">
        <v>7</v>
      </c>
      <c r="F1666" s="1">
        <v>331.36</v>
      </c>
      <c r="G1666" s="1">
        <v>44.3</v>
      </c>
      <c r="H1666">
        <f t="shared" ref="H1666:H1729" si="26">E1666*F1666</f>
        <v>2319.52</v>
      </c>
    </row>
    <row r="1667" spans="1:8" x14ac:dyDescent="0.25">
      <c r="A1667" s="1" t="s">
        <v>1680</v>
      </c>
      <c r="B1667" s="5">
        <v>45727.375</v>
      </c>
      <c r="C1667" s="1" t="s">
        <v>23</v>
      </c>
      <c r="D1667" s="1" t="s">
        <v>16</v>
      </c>
      <c r="E1667" s="1">
        <v>6</v>
      </c>
      <c r="F1667" s="1">
        <v>449.71</v>
      </c>
      <c r="G1667" s="1">
        <v>25.63</v>
      </c>
      <c r="H1667">
        <f t="shared" si="26"/>
        <v>2698.2599999999998</v>
      </c>
    </row>
    <row r="1668" spans="1:8" x14ac:dyDescent="0.25">
      <c r="A1668" s="1" t="s">
        <v>1681</v>
      </c>
      <c r="B1668" s="5">
        <v>45727.416666666664</v>
      </c>
      <c r="C1668" s="1" t="s">
        <v>11</v>
      </c>
      <c r="D1668" s="1" t="s">
        <v>19</v>
      </c>
      <c r="E1668" s="1">
        <v>3</v>
      </c>
      <c r="F1668" s="1">
        <v>445.77</v>
      </c>
      <c r="G1668" s="1">
        <v>12.34</v>
      </c>
      <c r="H1668">
        <f t="shared" si="26"/>
        <v>1337.31</v>
      </c>
    </row>
    <row r="1669" spans="1:8" x14ac:dyDescent="0.25">
      <c r="A1669" s="1" t="s">
        <v>1682</v>
      </c>
      <c r="B1669" s="5">
        <v>45727.458333333336</v>
      </c>
      <c r="C1669" s="1" t="s">
        <v>13</v>
      </c>
      <c r="D1669" s="1" t="s">
        <v>9</v>
      </c>
      <c r="E1669" s="1">
        <v>13</v>
      </c>
      <c r="F1669" s="1">
        <v>338.91</v>
      </c>
      <c r="G1669" s="1">
        <v>42.36</v>
      </c>
      <c r="H1669">
        <f t="shared" si="26"/>
        <v>4405.83</v>
      </c>
    </row>
    <row r="1670" spans="1:8" x14ac:dyDescent="0.25">
      <c r="A1670" s="1" t="s">
        <v>1683</v>
      </c>
      <c r="B1670" s="5">
        <v>45727.5</v>
      </c>
      <c r="C1670" s="1" t="s">
        <v>8</v>
      </c>
      <c r="D1670" s="1" t="s">
        <v>16</v>
      </c>
      <c r="E1670" s="1">
        <v>7</v>
      </c>
      <c r="F1670" s="1">
        <v>336.85</v>
      </c>
      <c r="G1670" s="1">
        <v>19.61</v>
      </c>
      <c r="H1670">
        <f t="shared" si="26"/>
        <v>2357.9500000000003</v>
      </c>
    </row>
    <row r="1671" spans="1:8" x14ac:dyDescent="0.25">
      <c r="A1671" s="1" t="s">
        <v>1684</v>
      </c>
      <c r="B1671" s="5">
        <v>45727.541666666664</v>
      </c>
      <c r="C1671" s="1" t="s">
        <v>11</v>
      </c>
      <c r="D1671" s="1" t="s">
        <v>37</v>
      </c>
      <c r="E1671" s="1">
        <v>5</v>
      </c>
      <c r="F1671" s="1">
        <v>123.09</v>
      </c>
      <c r="G1671" s="1">
        <v>23.86</v>
      </c>
      <c r="H1671">
        <f t="shared" si="26"/>
        <v>615.45000000000005</v>
      </c>
    </row>
    <row r="1672" spans="1:8" x14ac:dyDescent="0.25">
      <c r="A1672" s="1" t="s">
        <v>1685</v>
      </c>
      <c r="B1672" s="5">
        <v>45727.583333333336</v>
      </c>
      <c r="C1672" s="1" t="s">
        <v>23</v>
      </c>
      <c r="D1672" s="1" t="s">
        <v>19</v>
      </c>
      <c r="E1672" s="1">
        <v>18</v>
      </c>
      <c r="F1672" s="1">
        <v>377.67</v>
      </c>
      <c r="G1672" s="1">
        <v>35.71</v>
      </c>
      <c r="H1672">
        <f t="shared" si="26"/>
        <v>6798.06</v>
      </c>
    </row>
    <row r="1673" spans="1:8" x14ac:dyDescent="0.25">
      <c r="A1673" s="1" t="s">
        <v>1686</v>
      </c>
      <c r="B1673" s="5">
        <v>45727.625</v>
      </c>
      <c r="C1673" s="1" t="s">
        <v>13</v>
      </c>
      <c r="D1673" s="1" t="s">
        <v>37</v>
      </c>
      <c r="E1673" s="1">
        <v>8</v>
      </c>
      <c r="F1673" s="1">
        <v>191.52</v>
      </c>
      <c r="G1673" s="1">
        <v>20.9</v>
      </c>
      <c r="H1673">
        <f t="shared" si="26"/>
        <v>1532.16</v>
      </c>
    </row>
    <row r="1674" spans="1:8" x14ac:dyDescent="0.25">
      <c r="A1674" s="1" t="s">
        <v>1687</v>
      </c>
      <c r="B1674" s="5">
        <v>45727.666666666664</v>
      </c>
      <c r="C1674" s="1" t="s">
        <v>11</v>
      </c>
      <c r="D1674" s="1" t="s">
        <v>19</v>
      </c>
      <c r="E1674" s="1">
        <v>17</v>
      </c>
      <c r="F1674" s="1">
        <v>433.49</v>
      </c>
      <c r="G1674" s="1">
        <v>33.29</v>
      </c>
      <c r="H1674">
        <f t="shared" si="26"/>
        <v>7369.33</v>
      </c>
    </row>
    <row r="1675" spans="1:8" x14ac:dyDescent="0.25">
      <c r="A1675" s="1" t="s">
        <v>1688</v>
      </c>
      <c r="B1675" s="5">
        <v>45727.708333333336</v>
      </c>
      <c r="C1675" s="1" t="s">
        <v>13</v>
      </c>
      <c r="D1675" s="1" t="s">
        <v>16</v>
      </c>
      <c r="E1675" s="1">
        <v>1</v>
      </c>
      <c r="F1675" s="1">
        <v>50.88</v>
      </c>
      <c r="G1675" s="1">
        <v>44.84</v>
      </c>
      <c r="H1675">
        <f t="shared" si="26"/>
        <v>50.88</v>
      </c>
    </row>
    <row r="1676" spans="1:8" x14ac:dyDescent="0.25">
      <c r="A1676" s="1" t="s">
        <v>1689</v>
      </c>
      <c r="B1676" s="5">
        <v>45727.75</v>
      </c>
      <c r="C1676" s="1" t="s">
        <v>13</v>
      </c>
      <c r="D1676" s="1" t="s">
        <v>9</v>
      </c>
      <c r="E1676" s="1">
        <v>14</v>
      </c>
      <c r="F1676" s="1">
        <v>204.87</v>
      </c>
      <c r="G1676" s="1">
        <v>40.880000000000003</v>
      </c>
      <c r="H1676">
        <f t="shared" si="26"/>
        <v>2868.1800000000003</v>
      </c>
    </row>
    <row r="1677" spans="1:8" x14ac:dyDescent="0.25">
      <c r="A1677" s="1" t="s">
        <v>1690</v>
      </c>
      <c r="B1677" s="5">
        <v>45727.791666666664</v>
      </c>
      <c r="C1677" s="1" t="s">
        <v>13</v>
      </c>
      <c r="D1677" s="1" t="s">
        <v>9</v>
      </c>
      <c r="E1677" s="1">
        <v>17</v>
      </c>
      <c r="F1677" s="1">
        <v>257.01</v>
      </c>
      <c r="G1677" s="1">
        <v>22.17</v>
      </c>
      <c r="H1677">
        <f t="shared" si="26"/>
        <v>4369.17</v>
      </c>
    </row>
    <row r="1678" spans="1:8" x14ac:dyDescent="0.25">
      <c r="A1678" s="1" t="s">
        <v>1691</v>
      </c>
      <c r="B1678" s="5">
        <v>45727.833333333336</v>
      </c>
      <c r="C1678" s="1" t="s">
        <v>8</v>
      </c>
      <c r="D1678" s="1" t="s">
        <v>9</v>
      </c>
      <c r="E1678" s="1">
        <v>10</v>
      </c>
      <c r="F1678" s="1">
        <v>191.54</v>
      </c>
      <c r="G1678" s="1">
        <v>17.96</v>
      </c>
      <c r="H1678">
        <f t="shared" si="26"/>
        <v>1915.3999999999999</v>
      </c>
    </row>
    <row r="1679" spans="1:8" x14ac:dyDescent="0.25">
      <c r="A1679" s="1" t="s">
        <v>1692</v>
      </c>
      <c r="B1679" s="5">
        <v>45727.875</v>
      </c>
      <c r="C1679" s="1" t="s">
        <v>8</v>
      </c>
      <c r="D1679" s="1" t="s">
        <v>19</v>
      </c>
      <c r="E1679" s="1">
        <v>12</v>
      </c>
      <c r="F1679" s="1">
        <v>107</v>
      </c>
      <c r="G1679" s="1">
        <v>17.850000000000001</v>
      </c>
      <c r="H1679">
        <f t="shared" si="26"/>
        <v>1284</v>
      </c>
    </row>
    <row r="1680" spans="1:8" x14ac:dyDescent="0.25">
      <c r="A1680" s="1" t="s">
        <v>1693</v>
      </c>
      <c r="B1680" s="5">
        <v>45727.916666666664</v>
      </c>
      <c r="C1680" s="1" t="s">
        <v>23</v>
      </c>
      <c r="D1680" s="1" t="s">
        <v>16</v>
      </c>
      <c r="E1680" s="1">
        <v>16</v>
      </c>
      <c r="F1680" s="1">
        <v>273.14999999999998</v>
      </c>
      <c r="G1680" s="1">
        <v>20.69</v>
      </c>
      <c r="H1680">
        <f t="shared" si="26"/>
        <v>4370.3999999999996</v>
      </c>
    </row>
    <row r="1681" spans="1:8" x14ac:dyDescent="0.25">
      <c r="A1681" s="1" t="s">
        <v>1694</v>
      </c>
      <c r="B1681" s="5">
        <v>45727.958333333336</v>
      </c>
      <c r="C1681" s="1" t="s">
        <v>23</v>
      </c>
      <c r="D1681" s="1" t="s">
        <v>37</v>
      </c>
      <c r="E1681" s="1">
        <v>14</v>
      </c>
      <c r="F1681" s="1">
        <v>343.95</v>
      </c>
      <c r="G1681" s="1">
        <v>27.21</v>
      </c>
      <c r="H1681">
        <f t="shared" si="26"/>
        <v>4815.3</v>
      </c>
    </row>
    <row r="1682" spans="1:8" x14ac:dyDescent="0.25">
      <c r="A1682" s="1" t="s">
        <v>1695</v>
      </c>
      <c r="B1682" s="5">
        <v>45728</v>
      </c>
      <c r="C1682" s="1" t="s">
        <v>11</v>
      </c>
      <c r="D1682" s="1" t="s">
        <v>16</v>
      </c>
      <c r="E1682" s="1">
        <v>16</v>
      </c>
      <c r="F1682" s="1">
        <v>295.68</v>
      </c>
      <c r="G1682" s="1">
        <v>23.75</v>
      </c>
      <c r="H1682">
        <f t="shared" si="26"/>
        <v>4730.88</v>
      </c>
    </row>
    <row r="1683" spans="1:8" x14ac:dyDescent="0.25">
      <c r="A1683" s="1" t="s">
        <v>1696</v>
      </c>
      <c r="B1683" s="5">
        <v>45728.041666666664</v>
      </c>
      <c r="C1683" s="1" t="s">
        <v>23</v>
      </c>
      <c r="D1683" s="1" t="s">
        <v>37</v>
      </c>
      <c r="E1683" s="1">
        <v>8</v>
      </c>
      <c r="F1683" s="1">
        <v>117.37</v>
      </c>
      <c r="G1683" s="1">
        <v>10.99</v>
      </c>
      <c r="H1683">
        <f t="shared" si="26"/>
        <v>938.96</v>
      </c>
    </row>
    <row r="1684" spans="1:8" x14ac:dyDescent="0.25">
      <c r="A1684" s="1" t="s">
        <v>1697</v>
      </c>
      <c r="B1684" s="5">
        <v>45728.083333333336</v>
      </c>
      <c r="C1684" s="1" t="s">
        <v>13</v>
      </c>
      <c r="D1684" s="1" t="s">
        <v>19</v>
      </c>
      <c r="E1684" s="1">
        <v>10</v>
      </c>
      <c r="F1684" s="1">
        <v>333.38</v>
      </c>
      <c r="G1684" s="1">
        <v>12.36</v>
      </c>
      <c r="H1684">
        <f t="shared" si="26"/>
        <v>3333.8</v>
      </c>
    </row>
    <row r="1685" spans="1:8" x14ac:dyDescent="0.25">
      <c r="A1685" s="1" t="s">
        <v>1698</v>
      </c>
      <c r="B1685" s="5">
        <v>45728.125</v>
      </c>
      <c r="C1685" s="1" t="s">
        <v>13</v>
      </c>
      <c r="D1685" s="1" t="s">
        <v>19</v>
      </c>
      <c r="E1685" s="1">
        <v>17</v>
      </c>
      <c r="F1685" s="1">
        <v>127.12</v>
      </c>
      <c r="G1685" s="1">
        <v>20.43</v>
      </c>
      <c r="H1685">
        <f t="shared" si="26"/>
        <v>2161.04</v>
      </c>
    </row>
    <row r="1686" spans="1:8" x14ac:dyDescent="0.25">
      <c r="A1686" s="1" t="s">
        <v>1699</v>
      </c>
      <c r="B1686" s="5">
        <v>45728.166666666664</v>
      </c>
      <c r="C1686" s="1" t="s">
        <v>8</v>
      </c>
      <c r="D1686" s="1" t="s">
        <v>37</v>
      </c>
      <c r="E1686" s="1">
        <v>18</v>
      </c>
      <c r="F1686" s="1">
        <v>91.63</v>
      </c>
      <c r="G1686" s="1">
        <v>30.29</v>
      </c>
      <c r="H1686">
        <f t="shared" si="26"/>
        <v>1649.34</v>
      </c>
    </row>
    <row r="1687" spans="1:8" x14ac:dyDescent="0.25">
      <c r="A1687" s="1" t="s">
        <v>1700</v>
      </c>
      <c r="B1687" s="5">
        <v>45728.208333333336</v>
      </c>
      <c r="C1687" s="1" t="s">
        <v>13</v>
      </c>
      <c r="D1687" s="1" t="s">
        <v>37</v>
      </c>
      <c r="E1687" s="1">
        <v>16</v>
      </c>
      <c r="F1687" s="1">
        <v>315.60000000000002</v>
      </c>
      <c r="G1687" s="1">
        <v>31.67</v>
      </c>
      <c r="H1687">
        <f t="shared" si="26"/>
        <v>5049.6000000000004</v>
      </c>
    </row>
    <row r="1688" spans="1:8" x14ac:dyDescent="0.25">
      <c r="A1688" s="1" t="s">
        <v>1701</v>
      </c>
      <c r="B1688" s="5">
        <v>45728.25</v>
      </c>
      <c r="C1688" s="1" t="s">
        <v>11</v>
      </c>
      <c r="D1688" s="1" t="s">
        <v>37</v>
      </c>
      <c r="E1688" s="1">
        <v>17</v>
      </c>
      <c r="F1688" s="1">
        <v>381.69</v>
      </c>
      <c r="G1688" s="1">
        <v>26.88</v>
      </c>
      <c r="H1688">
        <f t="shared" si="26"/>
        <v>6488.73</v>
      </c>
    </row>
    <row r="1689" spans="1:8" x14ac:dyDescent="0.25">
      <c r="A1689" s="1" t="s">
        <v>1702</v>
      </c>
      <c r="B1689" s="5">
        <v>45728.291666666664</v>
      </c>
      <c r="C1689" s="1" t="s">
        <v>13</v>
      </c>
      <c r="D1689" s="1" t="s">
        <v>16</v>
      </c>
      <c r="E1689" s="1">
        <v>16</v>
      </c>
      <c r="F1689" s="1">
        <v>224.73</v>
      </c>
      <c r="G1689" s="1">
        <v>38.24</v>
      </c>
      <c r="H1689">
        <f t="shared" si="26"/>
        <v>3595.68</v>
      </c>
    </row>
    <row r="1690" spans="1:8" x14ac:dyDescent="0.25">
      <c r="A1690" s="1" t="s">
        <v>1703</v>
      </c>
      <c r="B1690" s="5">
        <v>45728.333333333336</v>
      </c>
      <c r="C1690" s="1" t="s">
        <v>13</v>
      </c>
      <c r="D1690" s="1" t="s">
        <v>37</v>
      </c>
      <c r="E1690" s="1">
        <v>19</v>
      </c>
      <c r="F1690" s="1">
        <v>246.39</v>
      </c>
      <c r="G1690" s="1">
        <v>38.18</v>
      </c>
      <c r="H1690">
        <f t="shared" si="26"/>
        <v>4681.41</v>
      </c>
    </row>
    <row r="1691" spans="1:8" x14ac:dyDescent="0.25">
      <c r="A1691" s="1" t="s">
        <v>1704</v>
      </c>
      <c r="B1691" s="5">
        <v>45728.375</v>
      </c>
      <c r="C1691" s="1" t="s">
        <v>11</v>
      </c>
      <c r="D1691" s="1" t="s">
        <v>19</v>
      </c>
      <c r="E1691" s="1">
        <v>8</v>
      </c>
      <c r="F1691" s="1">
        <v>147.04</v>
      </c>
      <c r="G1691" s="1">
        <v>24.24</v>
      </c>
      <c r="H1691">
        <f t="shared" si="26"/>
        <v>1176.32</v>
      </c>
    </row>
    <row r="1692" spans="1:8" x14ac:dyDescent="0.25">
      <c r="A1692" s="1" t="s">
        <v>1705</v>
      </c>
      <c r="B1692" s="5">
        <v>45728.416666666664</v>
      </c>
      <c r="C1692" s="1" t="s">
        <v>23</v>
      </c>
      <c r="D1692" s="1" t="s">
        <v>19</v>
      </c>
      <c r="E1692" s="1">
        <v>6</v>
      </c>
      <c r="F1692" s="1">
        <v>230.41</v>
      </c>
      <c r="G1692" s="1">
        <v>10.6</v>
      </c>
      <c r="H1692">
        <f t="shared" si="26"/>
        <v>1382.46</v>
      </c>
    </row>
    <row r="1693" spans="1:8" x14ac:dyDescent="0.25">
      <c r="A1693" s="1" t="s">
        <v>1706</v>
      </c>
      <c r="B1693" s="5">
        <v>45728.458333333336</v>
      </c>
      <c r="C1693" s="1" t="s">
        <v>23</v>
      </c>
      <c r="D1693" s="1" t="s">
        <v>9</v>
      </c>
      <c r="E1693" s="1">
        <v>6</v>
      </c>
      <c r="F1693" s="1">
        <v>72.849999999999994</v>
      </c>
      <c r="G1693" s="1">
        <v>28.86</v>
      </c>
      <c r="H1693">
        <f t="shared" si="26"/>
        <v>437.09999999999997</v>
      </c>
    </row>
    <row r="1694" spans="1:8" x14ac:dyDescent="0.25">
      <c r="A1694" s="1" t="s">
        <v>1707</v>
      </c>
      <c r="B1694" s="5">
        <v>45728.5</v>
      </c>
      <c r="C1694" s="1" t="s">
        <v>11</v>
      </c>
      <c r="D1694" s="1" t="s">
        <v>37</v>
      </c>
      <c r="E1694" s="1">
        <v>9</v>
      </c>
      <c r="F1694" s="1">
        <v>430.81</v>
      </c>
      <c r="G1694" s="1">
        <v>22.17</v>
      </c>
      <c r="H1694">
        <f t="shared" si="26"/>
        <v>3877.29</v>
      </c>
    </row>
    <row r="1695" spans="1:8" x14ac:dyDescent="0.25">
      <c r="A1695" s="1" t="s">
        <v>1708</v>
      </c>
      <c r="B1695" s="5">
        <v>45728.541666666664</v>
      </c>
      <c r="C1695" s="1" t="s">
        <v>8</v>
      </c>
      <c r="D1695" s="1" t="s">
        <v>16</v>
      </c>
      <c r="E1695" s="1">
        <v>4</v>
      </c>
      <c r="F1695" s="1">
        <v>363.26</v>
      </c>
      <c r="G1695" s="1">
        <v>11.21</v>
      </c>
      <c r="H1695">
        <f t="shared" si="26"/>
        <v>1453.04</v>
      </c>
    </row>
    <row r="1696" spans="1:8" x14ac:dyDescent="0.25">
      <c r="A1696" s="1" t="s">
        <v>1709</v>
      </c>
      <c r="B1696" s="5">
        <v>45728.583333333336</v>
      </c>
      <c r="C1696" s="1" t="s">
        <v>13</v>
      </c>
      <c r="D1696" s="1" t="s">
        <v>16</v>
      </c>
      <c r="E1696" s="1">
        <v>12</v>
      </c>
      <c r="F1696" s="1">
        <v>305.73</v>
      </c>
      <c r="G1696" s="1">
        <v>49.18</v>
      </c>
      <c r="H1696">
        <f t="shared" si="26"/>
        <v>3668.76</v>
      </c>
    </row>
    <row r="1697" spans="1:8" x14ac:dyDescent="0.25">
      <c r="A1697" s="1" t="s">
        <v>1710</v>
      </c>
      <c r="B1697" s="5">
        <v>45728.625</v>
      </c>
      <c r="C1697" s="1" t="s">
        <v>11</v>
      </c>
      <c r="D1697" s="1" t="s">
        <v>16</v>
      </c>
      <c r="E1697" s="1">
        <v>12</v>
      </c>
      <c r="F1697" s="1">
        <v>249.35</v>
      </c>
      <c r="G1697" s="1">
        <v>21.64</v>
      </c>
      <c r="H1697">
        <f t="shared" si="26"/>
        <v>2992.2</v>
      </c>
    </row>
    <row r="1698" spans="1:8" x14ac:dyDescent="0.25">
      <c r="A1698" s="1" t="s">
        <v>1711</v>
      </c>
      <c r="B1698" s="5">
        <v>45728.666666666664</v>
      </c>
      <c r="C1698" s="1" t="s">
        <v>13</v>
      </c>
      <c r="D1698" s="1" t="s">
        <v>9</v>
      </c>
      <c r="E1698" s="1">
        <v>17</v>
      </c>
      <c r="F1698" s="1">
        <v>359.7</v>
      </c>
      <c r="G1698" s="1">
        <v>33.159999999999997</v>
      </c>
      <c r="H1698">
        <f t="shared" si="26"/>
        <v>6114.9</v>
      </c>
    </row>
    <row r="1699" spans="1:8" x14ac:dyDescent="0.25">
      <c r="A1699" s="1" t="s">
        <v>1712</v>
      </c>
      <c r="B1699" s="5">
        <v>45728.708333333336</v>
      </c>
      <c r="C1699" s="1" t="s">
        <v>8</v>
      </c>
      <c r="D1699" s="1" t="s">
        <v>19</v>
      </c>
      <c r="E1699" s="1">
        <v>15</v>
      </c>
      <c r="F1699" s="1">
        <v>230.47</v>
      </c>
      <c r="G1699" s="1">
        <v>27.06</v>
      </c>
      <c r="H1699">
        <f t="shared" si="26"/>
        <v>3457.05</v>
      </c>
    </row>
    <row r="1700" spans="1:8" x14ac:dyDescent="0.25">
      <c r="A1700" s="1" t="s">
        <v>1713</v>
      </c>
      <c r="B1700" s="5">
        <v>45728.75</v>
      </c>
      <c r="C1700" s="1" t="s">
        <v>13</v>
      </c>
      <c r="D1700" s="1" t="s">
        <v>16</v>
      </c>
      <c r="E1700" s="1">
        <v>9</v>
      </c>
      <c r="F1700" s="1">
        <v>145.84</v>
      </c>
      <c r="G1700" s="1">
        <v>11.43</v>
      </c>
      <c r="H1700">
        <f t="shared" si="26"/>
        <v>1312.56</v>
      </c>
    </row>
    <row r="1701" spans="1:8" x14ac:dyDescent="0.25">
      <c r="A1701" s="1" t="s">
        <v>1714</v>
      </c>
      <c r="B1701" s="5">
        <v>45728.791666666664</v>
      </c>
      <c r="C1701" s="1" t="s">
        <v>11</v>
      </c>
      <c r="D1701" s="1" t="s">
        <v>19</v>
      </c>
      <c r="E1701" s="1">
        <v>7</v>
      </c>
      <c r="F1701" s="1">
        <v>85.18</v>
      </c>
      <c r="G1701" s="1">
        <v>7.5</v>
      </c>
      <c r="H1701">
        <f t="shared" si="26"/>
        <v>596.26</v>
      </c>
    </row>
    <row r="1702" spans="1:8" x14ac:dyDescent="0.25">
      <c r="A1702" s="1" t="s">
        <v>1715</v>
      </c>
      <c r="B1702" s="5">
        <v>45728.833333333336</v>
      </c>
      <c r="C1702" s="1" t="s">
        <v>13</v>
      </c>
      <c r="D1702" s="1" t="s">
        <v>9</v>
      </c>
      <c r="E1702" s="1">
        <v>10</v>
      </c>
      <c r="F1702" s="1">
        <v>296.88</v>
      </c>
      <c r="G1702" s="1">
        <v>33.159999999999997</v>
      </c>
      <c r="H1702">
        <f t="shared" si="26"/>
        <v>2968.8</v>
      </c>
    </row>
    <row r="1703" spans="1:8" x14ac:dyDescent="0.25">
      <c r="A1703" s="1" t="s">
        <v>1716</v>
      </c>
      <c r="B1703" s="5">
        <v>45728.875</v>
      </c>
      <c r="C1703" s="1" t="s">
        <v>23</v>
      </c>
      <c r="D1703" s="1" t="s">
        <v>37</v>
      </c>
      <c r="E1703" s="1">
        <v>16</v>
      </c>
      <c r="F1703" s="1">
        <v>419.34</v>
      </c>
      <c r="G1703" s="1">
        <v>16.12</v>
      </c>
      <c r="H1703">
        <f t="shared" si="26"/>
        <v>6709.44</v>
      </c>
    </row>
    <row r="1704" spans="1:8" x14ac:dyDescent="0.25">
      <c r="A1704" s="1" t="s">
        <v>1717</v>
      </c>
      <c r="B1704" s="5">
        <v>45728.916666666664</v>
      </c>
      <c r="C1704" s="1" t="s">
        <v>8</v>
      </c>
      <c r="D1704" s="1" t="s">
        <v>37</v>
      </c>
      <c r="E1704" s="1">
        <v>12</v>
      </c>
      <c r="F1704" s="1">
        <v>82.25</v>
      </c>
      <c r="G1704" s="1">
        <v>15.96</v>
      </c>
      <c r="H1704">
        <f t="shared" si="26"/>
        <v>987</v>
      </c>
    </row>
    <row r="1705" spans="1:8" x14ac:dyDescent="0.25">
      <c r="A1705" s="1" t="s">
        <v>1718</v>
      </c>
      <c r="B1705" s="5">
        <v>45728.958333333336</v>
      </c>
      <c r="C1705" s="1" t="s">
        <v>8</v>
      </c>
      <c r="D1705" s="1" t="s">
        <v>37</v>
      </c>
      <c r="E1705" s="1">
        <v>7</v>
      </c>
      <c r="F1705" s="1">
        <v>93.72</v>
      </c>
      <c r="G1705" s="1">
        <v>48.06</v>
      </c>
      <c r="H1705">
        <f t="shared" si="26"/>
        <v>656.04</v>
      </c>
    </row>
    <row r="1706" spans="1:8" x14ac:dyDescent="0.25">
      <c r="A1706" s="1" t="s">
        <v>1719</v>
      </c>
      <c r="B1706" s="5">
        <v>45729</v>
      </c>
      <c r="C1706" s="1" t="s">
        <v>8</v>
      </c>
      <c r="D1706" s="1" t="s">
        <v>16</v>
      </c>
      <c r="E1706" s="1">
        <v>18</v>
      </c>
      <c r="F1706" s="1">
        <v>203.9</v>
      </c>
      <c r="G1706" s="1">
        <v>25.78</v>
      </c>
      <c r="H1706">
        <f t="shared" si="26"/>
        <v>3670.2000000000003</v>
      </c>
    </row>
    <row r="1707" spans="1:8" x14ac:dyDescent="0.25">
      <c r="A1707" s="1" t="s">
        <v>1720</v>
      </c>
      <c r="B1707" s="5">
        <v>45729.041666666664</v>
      </c>
      <c r="C1707" s="1" t="s">
        <v>11</v>
      </c>
      <c r="D1707" s="1" t="s">
        <v>37</v>
      </c>
      <c r="E1707" s="1">
        <v>15</v>
      </c>
      <c r="F1707" s="1">
        <v>366.1</v>
      </c>
      <c r="G1707" s="1">
        <v>6.32</v>
      </c>
      <c r="H1707">
        <f t="shared" si="26"/>
        <v>5491.5</v>
      </c>
    </row>
    <row r="1708" spans="1:8" x14ac:dyDescent="0.25">
      <c r="A1708" s="1" t="s">
        <v>1721</v>
      </c>
      <c r="B1708" s="5">
        <v>45729.083333333336</v>
      </c>
      <c r="C1708" s="1" t="s">
        <v>8</v>
      </c>
      <c r="D1708" s="1" t="s">
        <v>16</v>
      </c>
      <c r="E1708" s="1">
        <v>6</v>
      </c>
      <c r="F1708" s="1">
        <v>143.21</v>
      </c>
      <c r="G1708" s="1">
        <v>20.29</v>
      </c>
      <c r="H1708">
        <f t="shared" si="26"/>
        <v>859.26</v>
      </c>
    </row>
    <row r="1709" spans="1:8" x14ac:dyDescent="0.25">
      <c r="A1709" s="1" t="s">
        <v>1722</v>
      </c>
      <c r="B1709" s="5">
        <v>45729.125</v>
      </c>
      <c r="C1709" s="1" t="s">
        <v>23</v>
      </c>
      <c r="D1709" s="1" t="s">
        <v>9</v>
      </c>
      <c r="E1709" s="1">
        <v>12</v>
      </c>
      <c r="F1709" s="1">
        <v>125.83</v>
      </c>
      <c r="G1709" s="1">
        <v>31.3</v>
      </c>
      <c r="H1709">
        <f t="shared" si="26"/>
        <v>1509.96</v>
      </c>
    </row>
    <row r="1710" spans="1:8" x14ac:dyDescent="0.25">
      <c r="A1710" s="1" t="s">
        <v>1723</v>
      </c>
      <c r="B1710" s="5">
        <v>45729.166666666664</v>
      </c>
      <c r="C1710" s="1" t="s">
        <v>11</v>
      </c>
      <c r="D1710" s="1" t="s">
        <v>9</v>
      </c>
      <c r="E1710" s="1">
        <v>11</v>
      </c>
      <c r="F1710" s="1">
        <v>284.88</v>
      </c>
      <c r="G1710" s="1">
        <v>19.79</v>
      </c>
      <c r="H1710">
        <f t="shared" si="26"/>
        <v>3133.68</v>
      </c>
    </row>
    <row r="1711" spans="1:8" x14ac:dyDescent="0.25">
      <c r="A1711" s="1" t="s">
        <v>1724</v>
      </c>
      <c r="B1711" s="5">
        <v>45729.208333333336</v>
      </c>
      <c r="C1711" s="1" t="s">
        <v>23</v>
      </c>
      <c r="D1711" s="1" t="s">
        <v>16</v>
      </c>
      <c r="E1711" s="1">
        <v>3</v>
      </c>
      <c r="F1711" s="1">
        <v>248.22</v>
      </c>
      <c r="G1711" s="1">
        <v>6.21</v>
      </c>
      <c r="H1711">
        <f t="shared" si="26"/>
        <v>744.66</v>
      </c>
    </row>
    <row r="1712" spans="1:8" x14ac:dyDescent="0.25">
      <c r="A1712" s="1" t="s">
        <v>1725</v>
      </c>
      <c r="B1712" s="5">
        <v>45729.25</v>
      </c>
      <c r="C1712" s="1" t="s">
        <v>13</v>
      </c>
      <c r="D1712" s="1" t="s">
        <v>19</v>
      </c>
      <c r="E1712" s="1">
        <v>2</v>
      </c>
      <c r="F1712" s="1">
        <v>41.67</v>
      </c>
      <c r="G1712" s="1">
        <v>24.99</v>
      </c>
      <c r="H1712">
        <f t="shared" si="26"/>
        <v>83.34</v>
      </c>
    </row>
    <row r="1713" spans="1:8" x14ac:dyDescent="0.25">
      <c r="A1713" s="1" t="s">
        <v>1726</v>
      </c>
      <c r="B1713" s="5">
        <v>45729.291666666664</v>
      </c>
      <c r="C1713" s="1" t="s">
        <v>13</v>
      </c>
      <c r="D1713" s="1" t="s">
        <v>37</v>
      </c>
      <c r="E1713" s="1">
        <v>6</v>
      </c>
      <c r="F1713" s="1">
        <v>50.91</v>
      </c>
      <c r="G1713" s="1">
        <v>9.77</v>
      </c>
      <c r="H1713">
        <f t="shared" si="26"/>
        <v>305.45999999999998</v>
      </c>
    </row>
    <row r="1714" spans="1:8" x14ac:dyDescent="0.25">
      <c r="A1714" s="1" t="s">
        <v>1727</v>
      </c>
      <c r="B1714" s="5">
        <v>45729.333333333336</v>
      </c>
      <c r="C1714" s="1" t="s">
        <v>13</v>
      </c>
      <c r="D1714" s="1" t="s">
        <v>37</v>
      </c>
      <c r="E1714" s="1">
        <v>5</v>
      </c>
      <c r="F1714" s="1">
        <v>294.89</v>
      </c>
      <c r="G1714" s="1">
        <v>32.86</v>
      </c>
      <c r="H1714">
        <f t="shared" si="26"/>
        <v>1474.4499999999998</v>
      </c>
    </row>
    <row r="1715" spans="1:8" x14ac:dyDescent="0.25">
      <c r="A1715" s="1" t="s">
        <v>1728</v>
      </c>
      <c r="B1715" s="5">
        <v>45729.375</v>
      </c>
      <c r="C1715" s="1" t="s">
        <v>13</v>
      </c>
      <c r="D1715" s="1" t="s">
        <v>37</v>
      </c>
      <c r="E1715" s="1">
        <v>18</v>
      </c>
      <c r="F1715" s="1">
        <v>217.6</v>
      </c>
      <c r="G1715" s="1">
        <v>32.880000000000003</v>
      </c>
      <c r="H1715">
        <f t="shared" si="26"/>
        <v>3916.7999999999997</v>
      </c>
    </row>
    <row r="1716" spans="1:8" x14ac:dyDescent="0.25">
      <c r="A1716" s="1" t="s">
        <v>1729</v>
      </c>
      <c r="B1716" s="5">
        <v>45729.416666666664</v>
      </c>
      <c r="C1716" s="1" t="s">
        <v>23</v>
      </c>
      <c r="D1716" s="1" t="s">
        <v>16</v>
      </c>
      <c r="E1716" s="1">
        <v>16</v>
      </c>
      <c r="F1716" s="1">
        <v>437.39</v>
      </c>
      <c r="G1716" s="1">
        <v>6.7</v>
      </c>
      <c r="H1716">
        <f t="shared" si="26"/>
        <v>6998.24</v>
      </c>
    </row>
    <row r="1717" spans="1:8" x14ac:dyDescent="0.25">
      <c r="A1717" s="1" t="s">
        <v>1730</v>
      </c>
      <c r="B1717" s="5">
        <v>45729.458333333336</v>
      </c>
      <c r="C1717" s="1" t="s">
        <v>11</v>
      </c>
      <c r="D1717" s="1" t="s">
        <v>9</v>
      </c>
      <c r="E1717" s="1">
        <v>8</v>
      </c>
      <c r="F1717" s="1">
        <v>310.32</v>
      </c>
      <c r="G1717" s="1">
        <v>18.079999999999998</v>
      </c>
      <c r="H1717">
        <f t="shared" si="26"/>
        <v>2482.56</v>
      </c>
    </row>
    <row r="1718" spans="1:8" x14ac:dyDescent="0.25">
      <c r="A1718" s="1" t="s">
        <v>1731</v>
      </c>
      <c r="B1718" s="5">
        <v>45729.5</v>
      </c>
      <c r="C1718" s="1" t="s">
        <v>11</v>
      </c>
      <c r="D1718" s="1" t="s">
        <v>37</v>
      </c>
      <c r="E1718" s="1">
        <v>11</v>
      </c>
      <c r="F1718" s="1">
        <v>19.88</v>
      </c>
      <c r="G1718" s="1">
        <v>23.62</v>
      </c>
      <c r="H1718">
        <f t="shared" si="26"/>
        <v>218.67999999999998</v>
      </c>
    </row>
    <row r="1719" spans="1:8" x14ac:dyDescent="0.25">
      <c r="A1719" s="1" t="s">
        <v>1732</v>
      </c>
      <c r="B1719" s="5">
        <v>45729.541666666664</v>
      </c>
      <c r="C1719" s="1" t="s">
        <v>8</v>
      </c>
      <c r="D1719" s="1" t="s">
        <v>9</v>
      </c>
      <c r="E1719" s="1">
        <v>10</v>
      </c>
      <c r="F1719" s="1">
        <v>224.5</v>
      </c>
      <c r="G1719" s="1">
        <v>29.76</v>
      </c>
      <c r="H1719">
        <f t="shared" si="26"/>
        <v>2245</v>
      </c>
    </row>
    <row r="1720" spans="1:8" x14ac:dyDescent="0.25">
      <c r="A1720" s="1" t="s">
        <v>1733</v>
      </c>
      <c r="B1720" s="5">
        <v>45729.583333333336</v>
      </c>
      <c r="C1720" s="1" t="s">
        <v>23</v>
      </c>
      <c r="D1720" s="1" t="s">
        <v>37</v>
      </c>
      <c r="E1720" s="1">
        <v>12</v>
      </c>
      <c r="F1720" s="1">
        <v>195.58</v>
      </c>
      <c r="G1720" s="1">
        <v>18.32</v>
      </c>
      <c r="H1720">
        <f t="shared" si="26"/>
        <v>2346.96</v>
      </c>
    </row>
    <row r="1721" spans="1:8" x14ac:dyDescent="0.25">
      <c r="A1721" s="1" t="s">
        <v>1734</v>
      </c>
      <c r="B1721" s="5">
        <v>45729.625</v>
      </c>
      <c r="C1721" s="1" t="s">
        <v>13</v>
      </c>
      <c r="D1721" s="1" t="s">
        <v>37</v>
      </c>
      <c r="E1721" s="1">
        <v>6</v>
      </c>
      <c r="F1721" s="1">
        <v>61.87</v>
      </c>
      <c r="G1721" s="1">
        <v>17.95</v>
      </c>
      <c r="H1721">
        <f t="shared" si="26"/>
        <v>371.21999999999997</v>
      </c>
    </row>
    <row r="1722" spans="1:8" x14ac:dyDescent="0.25">
      <c r="A1722" s="1" t="s">
        <v>1735</v>
      </c>
      <c r="B1722" s="5">
        <v>45729.666666666664</v>
      </c>
      <c r="C1722" s="1" t="s">
        <v>23</v>
      </c>
      <c r="D1722" s="1" t="s">
        <v>16</v>
      </c>
      <c r="E1722" s="1">
        <v>5</v>
      </c>
      <c r="F1722" s="1">
        <v>416.63</v>
      </c>
      <c r="G1722" s="1">
        <v>49.24</v>
      </c>
      <c r="H1722">
        <f t="shared" si="26"/>
        <v>2083.15</v>
      </c>
    </row>
    <row r="1723" spans="1:8" x14ac:dyDescent="0.25">
      <c r="A1723" s="1" t="s">
        <v>1736</v>
      </c>
      <c r="B1723" s="5">
        <v>45729.708333333336</v>
      </c>
      <c r="C1723" s="1" t="s">
        <v>8</v>
      </c>
      <c r="D1723" s="1" t="s">
        <v>19</v>
      </c>
      <c r="E1723" s="1">
        <v>9</v>
      </c>
      <c r="F1723" s="1">
        <v>365.28</v>
      </c>
      <c r="G1723" s="1">
        <v>6.88</v>
      </c>
      <c r="H1723">
        <f t="shared" si="26"/>
        <v>3287.5199999999995</v>
      </c>
    </row>
    <row r="1724" spans="1:8" x14ac:dyDescent="0.25">
      <c r="A1724" s="1" t="s">
        <v>1737</v>
      </c>
      <c r="B1724" s="5">
        <v>45729.75</v>
      </c>
      <c r="C1724" s="1" t="s">
        <v>8</v>
      </c>
      <c r="D1724" s="1" t="s">
        <v>16</v>
      </c>
      <c r="E1724" s="1">
        <v>16</v>
      </c>
      <c r="F1724" s="1">
        <v>115.47</v>
      </c>
      <c r="G1724" s="1">
        <v>49.51</v>
      </c>
      <c r="H1724">
        <f t="shared" si="26"/>
        <v>1847.52</v>
      </c>
    </row>
    <row r="1725" spans="1:8" x14ac:dyDescent="0.25">
      <c r="A1725" s="1" t="s">
        <v>1738</v>
      </c>
      <c r="B1725" s="5">
        <v>45729.791666666664</v>
      </c>
      <c r="C1725" s="1" t="s">
        <v>23</v>
      </c>
      <c r="D1725" s="1" t="s">
        <v>37</v>
      </c>
      <c r="E1725" s="1">
        <v>14</v>
      </c>
      <c r="F1725" s="1">
        <v>126.72</v>
      </c>
      <c r="G1725" s="1">
        <v>7.15</v>
      </c>
      <c r="H1725">
        <f t="shared" si="26"/>
        <v>1774.08</v>
      </c>
    </row>
    <row r="1726" spans="1:8" x14ac:dyDescent="0.25">
      <c r="A1726" s="1" t="s">
        <v>1739</v>
      </c>
      <c r="B1726" s="5">
        <v>45729.833333333336</v>
      </c>
      <c r="C1726" s="1" t="s">
        <v>23</v>
      </c>
      <c r="D1726" s="1" t="s">
        <v>37</v>
      </c>
      <c r="E1726" s="1">
        <v>8</v>
      </c>
      <c r="F1726" s="1">
        <v>29.41</v>
      </c>
      <c r="G1726" s="1">
        <v>17.98</v>
      </c>
      <c r="H1726">
        <f t="shared" si="26"/>
        <v>235.28</v>
      </c>
    </row>
    <row r="1727" spans="1:8" x14ac:dyDescent="0.25">
      <c r="A1727" s="1" t="s">
        <v>1740</v>
      </c>
      <c r="B1727" s="5">
        <v>45729.875</v>
      </c>
      <c r="C1727" s="1" t="s">
        <v>23</v>
      </c>
      <c r="D1727" s="1" t="s">
        <v>19</v>
      </c>
      <c r="E1727" s="1">
        <v>19</v>
      </c>
      <c r="F1727" s="1">
        <v>144.41999999999999</v>
      </c>
      <c r="G1727" s="1">
        <v>27.22</v>
      </c>
      <c r="H1727">
        <f t="shared" si="26"/>
        <v>2743.9799999999996</v>
      </c>
    </row>
    <row r="1728" spans="1:8" x14ac:dyDescent="0.25">
      <c r="A1728" s="1" t="s">
        <v>1741</v>
      </c>
      <c r="B1728" s="5">
        <v>45729.916666666664</v>
      </c>
      <c r="C1728" s="1" t="s">
        <v>11</v>
      </c>
      <c r="D1728" s="1" t="s">
        <v>9</v>
      </c>
      <c r="E1728" s="1">
        <v>14</v>
      </c>
      <c r="F1728" s="1">
        <v>269.52</v>
      </c>
      <c r="G1728" s="1">
        <v>11.45</v>
      </c>
      <c r="H1728">
        <f t="shared" si="26"/>
        <v>3773.2799999999997</v>
      </c>
    </row>
    <row r="1729" spans="1:8" x14ac:dyDescent="0.25">
      <c r="A1729" s="1" t="s">
        <v>1742</v>
      </c>
      <c r="B1729" s="5">
        <v>45729.958333333336</v>
      </c>
      <c r="C1729" s="1" t="s">
        <v>13</v>
      </c>
      <c r="D1729" s="1" t="s">
        <v>9</v>
      </c>
      <c r="E1729" s="1">
        <v>7</v>
      </c>
      <c r="F1729" s="1">
        <v>198.36</v>
      </c>
      <c r="G1729" s="1">
        <v>11.07</v>
      </c>
      <c r="H1729">
        <f t="shared" si="26"/>
        <v>1388.52</v>
      </c>
    </row>
    <row r="1730" spans="1:8" x14ac:dyDescent="0.25">
      <c r="A1730" s="1" t="s">
        <v>1743</v>
      </c>
      <c r="B1730" s="5">
        <v>45730</v>
      </c>
      <c r="C1730" s="1" t="s">
        <v>23</v>
      </c>
      <c r="D1730" s="1" t="s">
        <v>37</v>
      </c>
      <c r="E1730" s="1">
        <v>5</v>
      </c>
      <c r="F1730" s="1">
        <v>436.64</v>
      </c>
      <c r="G1730" s="1">
        <v>16.53</v>
      </c>
      <c r="H1730">
        <f t="shared" ref="H1730:H1793" si="27">E1730*F1730</f>
        <v>2183.1999999999998</v>
      </c>
    </row>
    <row r="1731" spans="1:8" x14ac:dyDescent="0.25">
      <c r="A1731" s="1" t="s">
        <v>1744</v>
      </c>
      <c r="B1731" s="5">
        <v>45730.041666666664</v>
      </c>
      <c r="C1731" s="1" t="s">
        <v>23</v>
      </c>
      <c r="D1731" s="1" t="s">
        <v>9</v>
      </c>
      <c r="E1731" s="1">
        <v>18</v>
      </c>
      <c r="F1731" s="1">
        <v>39.869999999999997</v>
      </c>
      <c r="G1731" s="1">
        <v>48.81</v>
      </c>
      <c r="H1731">
        <f t="shared" si="27"/>
        <v>717.66</v>
      </c>
    </row>
    <row r="1732" spans="1:8" x14ac:dyDescent="0.25">
      <c r="A1732" s="1" t="s">
        <v>1745</v>
      </c>
      <c r="B1732" s="5">
        <v>45730.083333333336</v>
      </c>
      <c r="C1732" s="1" t="s">
        <v>23</v>
      </c>
      <c r="D1732" s="1" t="s">
        <v>37</v>
      </c>
      <c r="E1732" s="1">
        <v>2</v>
      </c>
      <c r="F1732" s="1">
        <v>272.48</v>
      </c>
      <c r="G1732" s="1">
        <v>22.11</v>
      </c>
      <c r="H1732">
        <f t="shared" si="27"/>
        <v>544.96</v>
      </c>
    </row>
    <row r="1733" spans="1:8" x14ac:dyDescent="0.25">
      <c r="A1733" s="1" t="s">
        <v>1746</v>
      </c>
      <c r="B1733" s="5">
        <v>45730.125</v>
      </c>
      <c r="C1733" s="1" t="s">
        <v>8</v>
      </c>
      <c r="D1733" s="1" t="s">
        <v>19</v>
      </c>
      <c r="E1733" s="1">
        <v>11</v>
      </c>
      <c r="F1733" s="1">
        <v>388.44</v>
      </c>
      <c r="G1733" s="1">
        <v>30.47</v>
      </c>
      <c r="H1733">
        <f t="shared" si="27"/>
        <v>4272.84</v>
      </c>
    </row>
    <row r="1734" spans="1:8" x14ac:dyDescent="0.25">
      <c r="A1734" s="1" t="s">
        <v>1747</v>
      </c>
      <c r="B1734" s="5">
        <v>45730.166666666664</v>
      </c>
      <c r="C1734" s="1" t="s">
        <v>8</v>
      </c>
      <c r="D1734" s="1" t="s">
        <v>19</v>
      </c>
      <c r="E1734" s="1">
        <v>8</v>
      </c>
      <c r="F1734" s="1">
        <v>224.38</v>
      </c>
      <c r="G1734" s="1">
        <v>36.69</v>
      </c>
      <c r="H1734">
        <f t="shared" si="27"/>
        <v>1795.04</v>
      </c>
    </row>
    <row r="1735" spans="1:8" x14ac:dyDescent="0.25">
      <c r="A1735" s="1" t="s">
        <v>1748</v>
      </c>
      <c r="B1735" s="5">
        <v>45730.208333333336</v>
      </c>
      <c r="C1735" s="1" t="s">
        <v>11</v>
      </c>
      <c r="D1735" s="1" t="s">
        <v>37</v>
      </c>
      <c r="E1735" s="1">
        <v>1</v>
      </c>
      <c r="F1735" s="1">
        <v>16.79</v>
      </c>
      <c r="G1735" s="1">
        <v>38.4</v>
      </c>
      <c r="H1735">
        <f t="shared" si="27"/>
        <v>16.79</v>
      </c>
    </row>
    <row r="1736" spans="1:8" x14ac:dyDescent="0.25">
      <c r="A1736" s="1" t="s">
        <v>1749</v>
      </c>
      <c r="B1736" s="5">
        <v>45730.25</v>
      </c>
      <c r="C1736" s="1" t="s">
        <v>13</v>
      </c>
      <c r="D1736" s="1" t="s">
        <v>19</v>
      </c>
      <c r="E1736" s="1">
        <v>12</v>
      </c>
      <c r="F1736" s="1">
        <v>121</v>
      </c>
      <c r="G1736" s="1">
        <v>35.96</v>
      </c>
      <c r="H1736">
        <f t="shared" si="27"/>
        <v>1452</v>
      </c>
    </row>
    <row r="1737" spans="1:8" x14ac:dyDescent="0.25">
      <c r="A1737" s="1" t="s">
        <v>1750</v>
      </c>
      <c r="B1737" s="5">
        <v>45730.291666666664</v>
      </c>
      <c r="C1737" s="1" t="s">
        <v>11</v>
      </c>
      <c r="D1737" s="1" t="s">
        <v>16</v>
      </c>
      <c r="E1737" s="1">
        <v>2</v>
      </c>
      <c r="F1737" s="1">
        <v>156.18</v>
      </c>
      <c r="G1737" s="1">
        <v>20.16</v>
      </c>
      <c r="H1737">
        <f t="shared" si="27"/>
        <v>312.36</v>
      </c>
    </row>
    <row r="1738" spans="1:8" x14ac:dyDescent="0.25">
      <c r="A1738" s="1" t="s">
        <v>1751</v>
      </c>
      <c r="B1738" s="5">
        <v>45730.333333333336</v>
      </c>
      <c r="C1738" s="1" t="s">
        <v>13</v>
      </c>
      <c r="D1738" s="1" t="s">
        <v>16</v>
      </c>
      <c r="E1738" s="1">
        <v>18</v>
      </c>
      <c r="F1738" s="1">
        <v>435.22</v>
      </c>
      <c r="G1738" s="1">
        <v>10.029999999999999</v>
      </c>
      <c r="H1738">
        <f t="shared" si="27"/>
        <v>7833.9600000000009</v>
      </c>
    </row>
    <row r="1739" spans="1:8" x14ac:dyDescent="0.25">
      <c r="A1739" s="1" t="s">
        <v>1752</v>
      </c>
      <c r="B1739" s="5">
        <v>45730.375</v>
      </c>
      <c r="C1739" s="1" t="s">
        <v>8</v>
      </c>
      <c r="D1739" s="1" t="s">
        <v>19</v>
      </c>
      <c r="E1739" s="1">
        <v>7</v>
      </c>
      <c r="F1739" s="1">
        <v>411.67</v>
      </c>
      <c r="G1739" s="1">
        <v>17.68</v>
      </c>
      <c r="H1739">
        <f t="shared" si="27"/>
        <v>2881.69</v>
      </c>
    </row>
    <row r="1740" spans="1:8" x14ac:dyDescent="0.25">
      <c r="A1740" s="1" t="s">
        <v>1753</v>
      </c>
      <c r="B1740" s="5">
        <v>45730.416666666664</v>
      </c>
      <c r="C1740" s="1" t="s">
        <v>8</v>
      </c>
      <c r="D1740" s="1" t="s">
        <v>37</v>
      </c>
      <c r="E1740" s="1">
        <v>17</v>
      </c>
      <c r="F1740" s="1">
        <v>427.91</v>
      </c>
      <c r="G1740" s="1">
        <v>14.46</v>
      </c>
      <c r="H1740">
        <f t="shared" si="27"/>
        <v>7274.47</v>
      </c>
    </row>
    <row r="1741" spans="1:8" x14ac:dyDescent="0.25">
      <c r="A1741" s="1" t="s">
        <v>1754</v>
      </c>
      <c r="B1741" s="5">
        <v>45730.458333333336</v>
      </c>
      <c r="C1741" s="1" t="s">
        <v>8</v>
      </c>
      <c r="D1741" s="1" t="s">
        <v>37</v>
      </c>
      <c r="E1741" s="1">
        <v>14</v>
      </c>
      <c r="F1741" s="1">
        <v>374.29</v>
      </c>
      <c r="G1741" s="1">
        <v>11.13</v>
      </c>
      <c r="H1741">
        <f t="shared" si="27"/>
        <v>5240.0600000000004</v>
      </c>
    </row>
    <row r="1742" spans="1:8" x14ac:dyDescent="0.25">
      <c r="A1742" s="1" t="s">
        <v>1755</v>
      </c>
      <c r="B1742" s="5">
        <v>45730.5</v>
      </c>
      <c r="C1742" s="1" t="s">
        <v>11</v>
      </c>
      <c r="D1742" s="1" t="s">
        <v>19</v>
      </c>
      <c r="E1742" s="1">
        <v>7</v>
      </c>
      <c r="F1742" s="1">
        <v>168.29</v>
      </c>
      <c r="G1742" s="1">
        <v>6.1</v>
      </c>
      <c r="H1742">
        <f t="shared" si="27"/>
        <v>1178.03</v>
      </c>
    </row>
    <row r="1743" spans="1:8" x14ac:dyDescent="0.25">
      <c r="A1743" s="1" t="s">
        <v>1756</v>
      </c>
      <c r="B1743" s="5">
        <v>45730.541666666664</v>
      </c>
      <c r="C1743" s="1" t="s">
        <v>23</v>
      </c>
      <c r="D1743" s="1" t="s">
        <v>9</v>
      </c>
      <c r="E1743" s="1">
        <v>3</v>
      </c>
      <c r="F1743" s="1">
        <v>409.1</v>
      </c>
      <c r="G1743" s="1">
        <v>47.11</v>
      </c>
      <c r="H1743">
        <f t="shared" si="27"/>
        <v>1227.3000000000002</v>
      </c>
    </row>
    <row r="1744" spans="1:8" x14ac:dyDescent="0.25">
      <c r="A1744" s="1" t="s">
        <v>1757</v>
      </c>
      <c r="B1744" s="5">
        <v>45730.583333333336</v>
      </c>
      <c r="C1744" s="1" t="s">
        <v>23</v>
      </c>
      <c r="D1744" s="1" t="s">
        <v>16</v>
      </c>
      <c r="E1744" s="1">
        <v>6</v>
      </c>
      <c r="F1744" s="1">
        <v>442.04</v>
      </c>
      <c r="G1744" s="1">
        <v>46.45</v>
      </c>
      <c r="H1744">
        <f t="shared" si="27"/>
        <v>2652.2400000000002</v>
      </c>
    </row>
    <row r="1745" spans="1:8" x14ac:dyDescent="0.25">
      <c r="A1745" s="1" t="s">
        <v>1758</v>
      </c>
      <c r="B1745" s="5">
        <v>45730.625</v>
      </c>
      <c r="C1745" s="1" t="s">
        <v>8</v>
      </c>
      <c r="D1745" s="1" t="s">
        <v>9</v>
      </c>
      <c r="E1745" s="1">
        <v>2</v>
      </c>
      <c r="F1745" s="1">
        <v>167.61</v>
      </c>
      <c r="G1745" s="1">
        <v>7.27</v>
      </c>
      <c r="H1745">
        <f t="shared" si="27"/>
        <v>335.22</v>
      </c>
    </row>
    <row r="1746" spans="1:8" x14ac:dyDescent="0.25">
      <c r="A1746" s="1" t="s">
        <v>1759</v>
      </c>
      <c r="B1746" s="5">
        <v>45730.666666666664</v>
      </c>
      <c r="C1746" s="1" t="s">
        <v>23</v>
      </c>
      <c r="D1746" s="1" t="s">
        <v>37</v>
      </c>
      <c r="E1746" s="1">
        <v>17</v>
      </c>
      <c r="F1746" s="1">
        <v>128.71</v>
      </c>
      <c r="G1746" s="1">
        <v>12.79</v>
      </c>
      <c r="H1746">
        <f t="shared" si="27"/>
        <v>2188.0700000000002</v>
      </c>
    </row>
    <row r="1747" spans="1:8" x14ac:dyDescent="0.25">
      <c r="A1747" s="1" t="s">
        <v>1760</v>
      </c>
      <c r="B1747" s="5">
        <v>45730.708333333336</v>
      </c>
      <c r="C1747" s="1" t="s">
        <v>23</v>
      </c>
      <c r="D1747" s="1" t="s">
        <v>37</v>
      </c>
      <c r="E1747" s="1">
        <v>12</v>
      </c>
      <c r="F1747" s="1">
        <v>253.14</v>
      </c>
      <c r="G1747" s="1">
        <v>11.28</v>
      </c>
      <c r="H1747">
        <f t="shared" si="27"/>
        <v>3037.68</v>
      </c>
    </row>
    <row r="1748" spans="1:8" x14ac:dyDescent="0.25">
      <c r="A1748" s="1" t="s">
        <v>1761</v>
      </c>
      <c r="B1748" s="5">
        <v>45730.75</v>
      </c>
      <c r="C1748" s="1" t="s">
        <v>11</v>
      </c>
      <c r="D1748" s="1" t="s">
        <v>9</v>
      </c>
      <c r="E1748" s="1">
        <v>12</v>
      </c>
      <c r="F1748" s="1">
        <v>96.82</v>
      </c>
      <c r="G1748" s="1">
        <v>17.66</v>
      </c>
      <c r="H1748">
        <f t="shared" si="27"/>
        <v>1161.8399999999999</v>
      </c>
    </row>
    <row r="1749" spans="1:8" x14ac:dyDescent="0.25">
      <c r="A1749" s="1" t="s">
        <v>1762</v>
      </c>
      <c r="B1749" s="5">
        <v>45730.791666666664</v>
      </c>
      <c r="C1749" s="1" t="s">
        <v>13</v>
      </c>
      <c r="D1749" s="1" t="s">
        <v>19</v>
      </c>
      <c r="E1749" s="1">
        <v>17</v>
      </c>
      <c r="F1749" s="1">
        <v>29.68</v>
      </c>
      <c r="G1749" s="1">
        <v>14.18</v>
      </c>
      <c r="H1749">
        <f t="shared" si="27"/>
        <v>504.56</v>
      </c>
    </row>
    <row r="1750" spans="1:8" x14ac:dyDescent="0.25">
      <c r="A1750" s="1" t="s">
        <v>1763</v>
      </c>
      <c r="B1750" s="5">
        <v>45730.833333333336</v>
      </c>
      <c r="C1750" s="1" t="s">
        <v>8</v>
      </c>
      <c r="D1750" s="1" t="s">
        <v>9</v>
      </c>
      <c r="E1750" s="1">
        <v>10</v>
      </c>
      <c r="F1750" s="1">
        <v>426.46</v>
      </c>
      <c r="G1750" s="1">
        <v>47.56</v>
      </c>
      <c r="H1750">
        <f t="shared" si="27"/>
        <v>4264.5999999999995</v>
      </c>
    </row>
    <row r="1751" spans="1:8" x14ac:dyDescent="0.25">
      <c r="A1751" s="1" t="s">
        <v>1764</v>
      </c>
      <c r="B1751" s="5">
        <v>45730.875</v>
      </c>
      <c r="C1751" s="1" t="s">
        <v>8</v>
      </c>
      <c r="D1751" s="1" t="s">
        <v>9</v>
      </c>
      <c r="E1751" s="1">
        <v>3</v>
      </c>
      <c r="F1751" s="1">
        <v>417.73</v>
      </c>
      <c r="G1751" s="1">
        <v>8.7899999999999991</v>
      </c>
      <c r="H1751">
        <f t="shared" si="27"/>
        <v>1253.19</v>
      </c>
    </row>
    <row r="1752" spans="1:8" x14ac:dyDescent="0.25">
      <c r="A1752" s="1" t="s">
        <v>1765</v>
      </c>
      <c r="B1752" s="5">
        <v>45730.916666666664</v>
      </c>
      <c r="C1752" s="1" t="s">
        <v>11</v>
      </c>
      <c r="D1752" s="1" t="s">
        <v>16</v>
      </c>
      <c r="E1752" s="1">
        <v>18</v>
      </c>
      <c r="F1752" s="1">
        <v>86.17</v>
      </c>
      <c r="G1752" s="1">
        <v>14.53</v>
      </c>
      <c r="H1752">
        <f t="shared" si="27"/>
        <v>1551.06</v>
      </c>
    </row>
    <row r="1753" spans="1:8" x14ac:dyDescent="0.25">
      <c r="A1753" s="1" t="s">
        <v>1766</v>
      </c>
      <c r="B1753" s="5">
        <v>45730.958333333336</v>
      </c>
      <c r="C1753" s="1" t="s">
        <v>11</v>
      </c>
      <c r="D1753" s="1" t="s">
        <v>16</v>
      </c>
      <c r="E1753" s="1">
        <v>13</v>
      </c>
      <c r="F1753" s="1">
        <v>192.66</v>
      </c>
      <c r="G1753" s="1">
        <v>8.6300000000000008</v>
      </c>
      <c r="H1753">
        <f t="shared" si="27"/>
        <v>2504.58</v>
      </c>
    </row>
    <row r="1754" spans="1:8" x14ac:dyDescent="0.25">
      <c r="A1754" s="1" t="s">
        <v>1767</v>
      </c>
      <c r="B1754" s="5">
        <v>45731</v>
      </c>
      <c r="C1754" s="1" t="s">
        <v>23</v>
      </c>
      <c r="D1754" s="1" t="s">
        <v>9</v>
      </c>
      <c r="E1754" s="1">
        <v>12</v>
      </c>
      <c r="F1754" s="1">
        <v>376.59</v>
      </c>
      <c r="G1754" s="1">
        <v>49.12</v>
      </c>
      <c r="H1754">
        <f t="shared" si="27"/>
        <v>4519.08</v>
      </c>
    </row>
    <row r="1755" spans="1:8" x14ac:dyDescent="0.25">
      <c r="A1755" s="1" t="s">
        <v>1768</v>
      </c>
      <c r="B1755" s="5">
        <v>45731.041666666664</v>
      </c>
      <c r="C1755" s="1" t="s">
        <v>8</v>
      </c>
      <c r="D1755" s="1" t="s">
        <v>9</v>
      </c>
      <c r="E1755" s="1">
        <v>17</v>
      </c>
      <c r="F1755" s="1">
        <v>302.7</v>
      </c>
      <c r="G1755" s="1">
        <v>46.33</v>
      </c>
      <c r="H1755">
        <f t="shared" si="27"/>
        <v>5145.8999999999996</v>
      </c>
    </row>
    <row r="1756" spans="1:8" x14ac:dyDescent="0.25">
      <c r="A1756" s="1" t="s">
        <v>1769</v>
      </c>
      <c r="B1756" s="5">
        <v>45731.083333333336</v>
      </c>
      <c r="C1756" s="1" t="s">
        <v>13</v>
      </c>
      <c r="D1756" s="1" t="s">
        <v>37</v>
      </c>
      <c r="E1756" s="1">
        <v>4</v>
      </c>
      <c r="F1756" s="1">
        <v>187.04</v>
      </c>
      <c r="G1756" s="1">
        <v>37.25</v>
      </c>
      <c r="H1756">
        <f t="shared" si="27"/>
        <v>748.16</v>
      </c>
    </row>
    <row r="1757" spans="1:8" x14ac:dyDescent="0.25">
      <c r="A1757" s="1" t="s">
        <v>1770</v>
      </c>
      <c r="B1757" s="5">
        <v>45731.125</v>
      </c>
      <c r="C1757" s="1" t="s">
        <v>11</v>
      </c>
      <c r="D1757" s="1" t="s">
        <v>16</v>
      </c>
      <c r="E1757" s="1">
        <v>10</v>
      </c>
      <c r="F1757" s="1">
        <v>338.84</v>
      </c>
      <c r="G1757" s="1">
        <v>24.17</v>
      </c>
      <c r="H1757">
        <f t="shared" si="27"/>
        <v>3388.3999999999996</v>
      </c>
    </row>
    <row r="1758" spans="1:8" x14ac:dyDescent="0.25">
      <c r="A1758" s="1" t="s">
        <v>1771</v>
      </c>
      <c r="B1758" s="5">
        <v>45731.166666666664</v>
      </c>
      <c r="C1758" s="1" t="s">
        <v>13</v>
      </c>
      <c r="D1758" s="1" t="s">
        <v>16</v>
      </c>
      <c r="E1758" s="1">
        <v>11</v>
      </c>
      <c r="F1758" s="1">
        <v>405.27</v>
      </c>
      <c r="G1758" s="1">
        <v>13.56</v>
      </c>
      <c r="H1758">
        <f t="shared" si="27"/>
        <v>4457.9699999999993</v>
      </c>
    </row>
    <row r="1759" spans="1:8" x14ac:dyDescent="0.25">
      <c r="A1759" s="1" t="s">
        <v>1772</v>
      </c>
      <c r="B1759" s="5">
        <v>45731.208333333336</v>
      </c>
      <c r="C1759" s="1" t="s">
        <v>13</v>
      </c>
      <c r="D1759" s="1" t="s">
        <v>37</v>
      </c>
      <c r="E1759" s="1">
        <v>6</v>
      </c>
      <c r="F1759" s="1">
        <v>417.92</v>
      </c>
      <c r="G1759" s="1">
        <v>14.97</v>
      </c>
      <c r="H1759">
        <f t="shared" si="27"/>
        <v>2507.52</v>
      </c>
    </row>
    <row r="1760" spans="1:8" x14ac:dyDescent="0.25">
      <c r="A1760" s="1" t="s">
        <v>1773</v>
      </c>
      <c r="B1760" s="5">
        <v>45731.25</v>
      </c>
      <c r="C1760" s="1" t="s">
        <v>8</v>
      </c>
      <c r="D1760" s="1" t="s">
        <v>19</v>
      </c>
      <c r="E1760" s="1">
        <v>6</v>
      </c>
      <c r="F1760" s="1">
        <v>180.11</v>
      </c>
      <c r="G1760" s="1">
        <v>24.94</v>
      </c>
      <c r="H1760">
        <f t="shared" si="27"/>
        <v>1080.6600000000001</v>
      </c>
    </row>
    <row r="1761" spans="1:8" x14ac:dyDescent="0.25">
      <c r="A1761" s="1" t="s">
        <v>1774</v>
      </c>
      <c r="B1761" s="5">
        <v>45731.291666666664</v>
      </c>
      <c r="C1761" s="1" t="s">
        <v>8</v>
      </c>
      <c r="D1761" s="1" t="s">
        <v>16</v>
      </c>
      <c r="E1761" s="1">
        <v>9</v>
      </c>
      <c r="F1761" s="1">
        <v>90.91</v>
      </c>
      <c r="G1761" s="1">
        <v>39.57</v>
      </c>
      <c r="H1761">
        <f t="shared" si="27"/>
        <v>818.18999999999994</v>
      </c>
    </row>
    <row r="1762" spans="1:8" x14ac:dyDescent="0.25">
      <c r="A1762" s="1" t="s">
        <v>1775</v>
      </c>
      <c r="B1762" s="5">
        <v>45731.333333333336</v>
      </c>
      <c r="C1762" s="1" t="s">
        <v>11</v>
      </c>
      <c r="D1762" s="1" t="s">
        <v>16</v>
      </c>
      <c r="E1762" s="1">
        <v>15</v>
      </c>
      <c r="F1762" s="1">
        <v>412.13</v>
      </c>
      <c r="G1762" s="1">
        <v>16.91</v>
      </c>
      <c r="H1762">
        <f t="shared" si="27"/>
        <v>6181.95</v>
      </c>
    </row>
    <row r="1763" spans="1:8" x14ac:dyDescent="0.25">
      <c r="A1763" s="1" t="s">
        <v>1776</v>
      </c>
      <c r="B1763" s="5">
        <v>45731.375</v>
      </c>
      <c r="C1763" s="1" t="s">
        <v>8</v>
      </c>
      <c r="D1763" s="1" t="s">
        <v>19</v>
      </c>
      <c r="E1763" s="1">
        <v>2</v>
      </c>
      <c r="F1763" s="1">
        <v>55.72</v>
      </c>
      <c r="G1763" s="1">
        <v>18.989999999999998</v>
      </c>
      <c r="H1763">
        <f t="shared" si="27"/>
        <v>111.44</v>
      </c>
    </row>
    <row r="1764" spans="1:8" x14ac:dyDescent="0.25">
      <c r="A1764" s="1" t="s">
        <v>1777</v>
      </c>
      <c r="B1764" s="5">
        <v>45731.416666666664</v>
      </c>
      <c r="C1764" s="1" t="s">
        <v>8</v>
      </c>
      <c r="D1764" s="1" t="s">
        <v>16</v>
      </c>
      <c r="E1764" s="1">
        <v>4</v>
      </c>
      <c r="F1764" s="1">
        <v>329.07</v>
      </c>
      <c r="G1764" s="1">
        <v>32</v>
      </c>
      <c r="H1764">
        <f t="shared" si="27"/>
        <v>1316.28</v>
      </c>
    </row>
    <row r="1765" spans="1:8" x14ac:dyDescent="0.25">
      <c r="A1765" s="1" t="s">
        <v>1778</v>
      </c>
      <c r="B1765" s="5">
        <v>45731.458333333336</v>
      </c>
      <c r="C1765" s="1" t="s">
        <v>8</v>
      </c>
      <c r="D1765" s="1" t="s">
        <v>16</v>
      </c>
      <c r="E1765" s="1">
        <v>5</v>
      </c>
      <c r="F1765" s="1">
        <v>76.55</v>
      </c>
      <c r="G1765" s="1">
        <v>15.7</v>
      </c>
      <c r="H1765">
        <f t="shared" si="27"/>
        <v>382.75</v>
      </c>
    </row>
    <row r="1766" spans="1:8" x14ac:dyDescent="0.25">
      <c r="A1766" s="1" t="s">
        <v>1779</v>
      </c>
      <c r="B1766" s="5">
        <v>45731.5</v>
      </c>
      <c r="C1766" s="1" t="s">
        <v>13</v>
      </c>
      <c r="D1766" s="1" t="s">
        <v>19</v>
      </c>
      <c r="E1766" s="1">
        <v>17</v>
      </c>
      <c r="F1766" s="1">
        <v>184.69</v>
      </c>
      <c r="G1766" s="1">
        <v>31.29</v>
      </c>
      <c r="H1766">
        <f t="shared" si="27"/>
        <v>3139.73</v>
      </c>
    </row>
    <row r="1767" spans="1:8" x14ac:dyDescent="0.25">
      <c r="A1767" s="1" t="s">
        <v>1780</v>
      </c>
      <c r="B1767" s="5">
        <v>45731.541666666664</v>
      </c>
      <c r="C1767" s="1" t="s">
        <v>11</v>
      </c>
      <c r="D1767" s="1" t="s">
        <v>19</v>
      </c>
      <c r="E1767" s="1">
        <v>8</v>
      </c>
      <c r="F1767" s="1">
        <v>194.32</v>
      </c>
      <c r="G1767" s="1">
        <v>22.42</v>
      </c>
      <c r="H1767">
        <f t="shared" si="27"/>
        <v>1554.56</v>
      </c>
    </row>
    <row r="1768" spans="1:8" x14ac:dyDescent="0.25">
      <c r="A1768" s="1" t="s">
        <v>1781</v>
      </c>
      <c r="B1768" s="5">
        <v>45731.583333333336</v>
      </c>
      <c r="C1768" s="1" t="s">
        <v>23</v>
      </c>
      <c r="D1768" s="1" t="s">
        <v>9</v>
      </c>
      <c r="E1768" s="1">
        <v>8</v>
      </c>
      <c r="F1768" s="1">
        <v>84.48</v>
      </c>
      <c r="G1768" s="1">
        <v>6.55</v>
      </c>
      <c r="H1768">
        <f t="shared" si="27"/>
        <v>675.84</v>
      </c>
    </row>
    <row r="1769" spans="1:8" x14ac:dyDescent="0.25">
      <c r="A1769" s="1" t="s">
        <v>1782</v>
      </c>
      <c r="B1769" s="5">
        <v>45731.625</v>
      </c>
      <c r="C1769" s="1" t="s">
        <v>13</v>
      </c>
      <c r="D1769" s="1" t="s">
        <v>37</v>
      </c>
      <c r="E1769" s="1">
        <v>12</v>
      </c>
      <c r="F1769" s="1">
        <v>416.41</v>
      </c>
      <c r="G1769" s="1">
        <v>23.12</v>
      </c>
      <c r="H1769">
        <f t="shared" si="27"/>
        <v>4996.92</v>
      </c>
    </row>
    <row r="1770" spans="1:8" x14ac:dyDescent="0.25">
      <c r="A1770" s="1" t="s">
        <v>1783</v>
      </c>
      <c r="B1770" s="5">
        <v>45731.666666666664</v>
      </c>
      <c r="C1770" s="1" t="s">
        <v>8</v>
      </c>
      <c r="D1770" s="1" t="s">
        <v>37</v>
      </c>
      <c r="E1770" s="1">
        <v>8</v>
      </c>
      <c r="F1770" s="1">
        <v>16.66</v>
      </c>
      <c r="G1770" s="1">
        <v>46.38</v>
      </c>
      <c r="H1770">
        <f t="shared" si="27"/>
        <v>133.28</v>
      </c>
    </row>
    <row r="1771" spans="1:8" x14ac:dyDescent="0.25">
      <c r="A1771" s="1" t="s">
        <v>1784</v>
      </c>
      <c r="B1771" s="5">
        <v>45731.708333333336</v>
      </c>
      <c r="C1771" s="1" t="s">
        <v>13</v>
      </c>
      <c r="D1771" s="1" t="s">
        <v>19</v>
      </c>
      <c r="E1771" s="1">
        <v>19</v>
      </c>
      <c r="F1771" s="1">
        <v>403.86</v>
      </c>
      <c r="G1771" s="1">
        <v>18.190000000000001</v>
      </c>
      <c r="H1771">
        <f t="shared" si="27"/>
        <v>7673.34</v>
      </c>
    </row>
    <row r="1772" spans="1:8" x14ac:dyDescent="0.25">
      <c r="A1772" s="1" t="s">
        <v>1785</v>
      </c>
      <c r="B1772" s="5">
        <v>45731.75</v>
      </c>
      <c r="C1772" s="1" t="s">
        <v>8</v>
      </c>
      <c r="D1772" s="1" t="s">
        <v>19</v>
      </c>
      <c r="E1772" s="1">
        <v>3</v>
      </c>
      <c r="F1772" s="1">
        <v>399.52</v>
      </c>
      <c r="G1772" s="1">
        <v>19.53</v>
      </c>
      <c r="H1772">
        <f t="shared" si="27"/>
        <v>1198.56</v>
      </c>
    </row>
    <row r="1773" spans="1:8" x14ac:dyDescent="0.25">
      <c r="A1773" s="1" t="s">
        <v>1786</v>
      </c>
      <c r="B1773" s="5">
        <v>45731.791666666664</v>
      </c>
      <c r="C1773" s="1" t="s">
        <v>8</v>
      </c>
      <c r="D1773" s="1" t="s">
        <v>16</v>
      </c>
      <c r="E1773" s="1">
        <v>18</v>
      </c>
      <c r="F1773" s="1">
        <v>153.22</v>
      </c>
      <c r="G1773" s="1">
        <v>7.97</v>
      </c>
      <c r="H1773">
        <f t="shared" si="27"/>
        <v>2757.96</v>
      </c>
    </row>
    <row r="1774" spans="1:8" x14ac:dyDescent="0.25">
      <c r="A1774" s="1" t="s">
        <v>1787</v>
      </c>
      <c r="B1774" s="5">
        <v>45731.833333333336</v>
      </c>
      <c r="C1774" s="1" t="s">
        <v>13</v>
      </c>
      <c r="D1774" s="1" t="s">
        <v>9</v>
      </c>
      <c r="E1774" s="1">
        <v>19</v>
      </c>
      <c r="F1774" s="1">
        <v>321.51</v>
      </c>
      <c r="G1774" s="1">
        <v>32.68</v>
      </c>
      <c r="H1774">
        <f t="shared" si="27"/>
        <v>6108.69</v>
      </c>
    </row>
    <row r="1775" spans="1:8" x14ac:dyDescent="0.25">
      <c r="A1775" s="1" t="s">
        <v>1788</v>
      </c>
      <c r="B1775" s="5">
        <v>45731.875</v>
      </c>
      <c r="C1775" s="1" t="s">
        <v>11</v>
      </c>
      <c r="D1775" s="1" t="s">
        <v>9</v>
      </c>
      <c r="E1775" s="1">
        <v>19</v>
      </c>
      <c r="F1775" s="1">
        <v>125.35</v>
      </c>
      <c r="G1775" s="1">
        <v>43.22</v>
      </c>
      <c r="H1775">
        <f t="shared" si="27"/>
        <v>2381.65</v>
      </c>
    </row>
    <row r="1776" spans="1:8" x14ac:dyDescent="0.25">
      <c r="A1776" s="1" t="s">
        <v>1789</v>
      </c>
      <c r="B1776" s="5">
        <v>45731.916666666664</v>
      </c>
      <c r="C1776" s="1" t="s">
        <v>8</v>
      </c>
      <c r="D1776" s="1" t="s">
        <v>19</v>
      </c>
      <c r="E1776" s="1">
        <v>15</v>
      </c>
      <c r="F1776" s="1">
        <v>345.19</v>
      </c>
      <c r="G1776" s="1">
        <v>20.88</v>
      </c>
      <c r="H1776">
        <f t="shared" si="27"/>
        <v>5177.8500000000004</v>
      </c>
    </row>
    <row r="1777" spans="1:8" x14ac:dyDescent="0.25">
      <c r="A1777" s="1" t="s">
        <v>1790</v>
      </c>
      <c r="B1777" s="5">
        <v>45731.958333333336</v>
      </c>
      <c r="C1777" s="1" t="s">
        <v>11</v>
      </c>
      <c r="D1777" s="1" t="s">
        <v>16</v>
      </c>
      <c r="E1777" s="1">
        <v>6</v>
      </c>
      <c r="F1777" s="1">
        <v>259.31</v>
      </c>
      <c r="G1777" s="1">
        <v>15.81</v>
      </c>
      <c r="H1777">
        <f t="shared" si="27"/>
        <v>1555.8600000000001</v>
      </c>
    </row>
    <row r="1778" spans="1:8" x14ac:dyDescent="0.25">
      <c r="A1778" s="1" t="s">
        <v>1791</v>
      </c>
      <c r="B1778" s="5">
        <v>45732</v>
      </c>
      <c r="C1778" s="1" t="s">
        <v>23</v>
      </c>
      <c r="D1778" s="1" t="s">
        <v>16</v>
      </c>
      <c r="E1778" s="1">
        <v>16</v>
      </c>
      <c r="F1778" s="1">
        <v>145.94999999999999</v>
      </c>
      <c r="G1778" s="1">
        <v>48.05</v>
      </c>
      <c r="H1778">
        <f t="shared" si="27"/>
        <v>2335.1999999999998</v>
      </c>
    </row>
    <row r="1779" spans="1:8" x14ac:dyDescent="0.25">
      <c r="A1779" s="1" t="s">
        <v>1792</v>
      </c>
      <c r="B1779" s="5">
        <v>45732.041666666664</v>
      </c>
      <c r="C1779" s="1" t="s">
        <v>8</v>
      </c>
      <c r="D1779" s="1" t="s">
        <v>37</v>
      </c>
      <c r="E1779" s="1">
        <v>8</v>
      </c>
      <c r="F1779" s="1">
        <v>189.4</v>
      </c>
      <c r="G1779" s="1">
        <v>38.53</v>
      </c>
      <c r="H1779">
        <f t="shared" si="27"/>
        <v>1515.2</v>
      </c>
    </row>
    <row r="1780" spans="1:8" x14ac:dyDescent="0.25">
      <c r="A1780" s="1" t="s">
        <v>1793</v>
      </c>
      <c r="B1780" s="5">
        <v>45732.083333333336</v>
      </c>
      <c r="C1780" s="1" t="s">
        <v>11</v>
      </c>
      <c r="D1780" s="1" t="s">
        <v>37</v>
      </c>
      <c r="E1780" s="1">
        <v>16</v>
      </c>
      <c r="F1780" s="1">
        <v>315.26</v>
      </c>
      <c r="G1780" s="1">
        <v>30.52</v>
      </c>
      <c r="H1780">
        <f t="shared" si="27"/>
        <v>5044.16</v>
      </c>
    </row>
    <row r="1781" spans="1:8" x14ac:dyDescent="0.25">
      <c r="A1781" s="1" t="s">
        <v>1794</v>
      </c>
      <c r="B1781" s="5">
        <v>45732.125</v>
      </c>
      <c r="C1781" s="1" t="s">
        <v>11</v>
      </c>
      <c r="D1781" s="1" t="s">
        <v>16</v>
      </c>
      <c r="E1781" s="1">
        <v>18</v>
      </c>
      <c r="F1781" s="1">
        <v>409.2</v>
      </c>
      <c r="G1781" s="1">
        <v>18.75</v>
      </c>
      <c r="H1781">
        <f t="shared" si="27"/>
        <v>7365.5999999999995</v>
      </c>
    </row>
    <row r="1782" spans="1:8" x14ac:dyDescent="0.25">
      <c r="A1782" s="1" t="s">
        <v>1795</v>
      </c>
      <c r="B1782" s="5">
        <v>45732.166666666664</v>
      </c>
      <c r="C1782" s="1" t="s">
        <v>23</v>
      </c>
      <c r="D1782" s="1" t="s">
        <v>37</v>
      </c>
      <c r="E1782" s="1">
        <v>16</v>
      </c>
      <c r="F1782" s="1">
        <v>72.3</v>
      </c>
      <c r="G1782" s="1">
        <v>14.94</v>
      </c>
      <c r="H1782">
        <f t="shared" si="27"/>
        <v>1156.8</v>
      </c>
    </row>
    <row r="1783" spans="1:8" x14ac:dyDescent="0.25">
      <c r="A1783" s="1" t="s">
        <v>1796</v>
      </c>
      <c r="B1783" s="5">
        <v>45732.208333333336</v>
      </c>
      <c r="C1783" s="1" t="s">
        <v>11</v>
      </c>
      <c r="D1783" s="1" t="s">
        <v>19</v>
      </c>
      <c r="E1783" s="1">
        <v>11</v>
      </c>
      <c r="F1783" s="1">
        <v>263.76</v>
      </c>
      <c r="G1783" s="1">
        <v>37.21</v>
      </c>
      <c r="H1783">
        <f t="shared" si="27"/>
        <v>2901.3599999999997</v>
      </c>
    </row>
    <row r="1784" spans="1:8" x14ac:dyDescent="0.25">
      <c r="A1784" s="1" t="s">
        <v>1797</v>
      </c>
      <c r="B1784" s="5">
        <v>45732.25</v>
      </c>
      <c r="C1784" s="1" t="s">
        <v>11</v>
      </c>
      <c r="D1784" s="1" t="s">
        <v>16</v>
      </c>
      <c r="E1784" s="1">
        <v>7</v>
      </c>
      <c r="F1784" s="1">
        <v>125.75</v>
      </c>
      <c r="G1784" s="1">
        <v>28.48</v>
      </c>
      <c r="H1784">
        <f t="shared" si="27"/>
        <v>880.25</v>
      </c>
    </row>
    <row r="1785" spans="1:8" x14ac:dyDescent="0.25">
      <c r="A1785" s="1" t="s">
        <v>1798</v>
      </c>
      <c r="B1785" s="5">
        <v>45732.291666666664</v>
      </c>
      <c r="C1785" s="1" t="s">
        <v>23</v>
      </c>
      <c r="D1785" s="1" t="s">
        <v>37</v>
      </c>
      <c r="E1785" s="1">
        <v>17</v>
      </c>
      <c r="F1785" s="1">
        <v>363.7</v>
      </c>
      <c r="G1785" s="1">
        <v>28.43</v>
      </c>
      <c r="H1785">
        <f t="shared" si="27"/>
        <v>6182.9</v>
      </c>
    </row>
    <row r="1786" spans="1:8" x14ac:dyDescent="0.25">
      <c r="A1786" s="1" t="s">
        <v>1799</v>
      </c>
      <c r="B1786" s="5">
        <v>45732.333333333336</v>
      </c>
      <c r="C1786" s="1" t="s">
        <v>8</v>
      </c>
      <c r="D1786" s="1" t="s">
        <v>9</v>
      </c>
      <c r="E1786" s="1">
        <v>17</v>
      </c>
      <c r="F1786" s="1">
        <v>46.02</v>
      </c>
      <c r="G1786" s="1">
        <v>8.32</v>
      </c>
      <c r="H1786">
        <f t="shared" si="27"/>
        <v>782.34</v>
      </c>
    </row>
    <row r="1787" spans="1:8" x14ac:dyDescent="0.25">
      <c r="A1787" s="1" t="s">
        <v>1800</v>
      </c>
      <c r="B1787" s="5">
        <v>45732.375</v>
      </c>
      <c r="C1787" s="1" t="s">
        <v>11</v>
      </c>
      <c r="D1787" s="1" t="s">
        <v>16</v>
      </c>
      <c r="E1787" s="1">
        <v>12</v>
      </c>
      <c r="F1787" s="1">
        <v>314.85000000000002</v>
      </c>
      <c r="G1787" s="1">
        <v>28.05</v>
      </c>
      <c r="H1787">
        <f t="shared" si="27"/>
        <v>3778.2000000000003</v>
      </c>
    </row>
    <row r="1788" spans="1:8" x14ac:dyDescent="0.25">
      <c r="A1788" s="1" t="s">
        <v>1801</v>
      </c>
      <c r="B1788" s="5">
        <v>45732.416666666664</v>
      </c>
      <c r="C1788" s="1" t="s">
        <v>11</v>
      </c>
      <c r="D1788" s="1" t="s">
        <v>16</v>
      </c>
      <c r="E1788" s="1">
        <v>13</v>
      </c>
      <c r="F1788" s="1">
        <v>91.51</v>
      </c>
      <c r="G1788" s="1">
        <v>42.02</v>
      </c>
      <c r="H1788">
        <f t="shared" si="27"/>
        <v>1189.6300000000001</v>
      </c>
    </row>
    <row r="1789" spans="1:8" x14ac:dyDescent="0.25">
      <c r="A1789" s="1" t="s">
        <v>1802</v>
      </c>
      <c r="B1789" s="5">
        <v>45732.458333333336</v>
      </c>
      <c r="C1789" s="1" t="s">
        <v>11</v>
      </c>
      <c r="D1789" s="1" t="s">
        <v>9</v>
      </c>
      <c r="E1789" s="1">
        <v>10</v>
      </c>
      <c r="F1789" s="1">
        <v>274.63</v>
      </c>
      <c r="G1789" s="1">
        <v>47.61</v>
      </c>
      <c r="H1789">
        <f t="shared" si="27"/>
        <v>2746.3</v>
      </c>
    </row>
    <row r="1790" spans="1:8" x14ac:dyDescent="0.25">
      <c r="A1790" s="1" t="s">
        <v>1803</v>
      </c>
      <c r="B1790" s="5">
        <v>45732.5</v>
      </c>
      <c r="C1790" s="1" t="s">
        <v>13</v>
      </c>
      <c r="D1790" s="1" t="s">
        <v>19</v>
      </c>
      <c r="E1790" s="1">
        <v>7</v>
      </c>
      <c r="F1790" s="1">
        <v>378.61</v>
      </c>
      <c r="G1790" s="1">
        <v>9.8000000000000007</v>
      </c>
      <c r="H1790">
        <f t="shared" si="27"/>
        <v>2650.27</v>
      </c>
    </row>
    <row r="1791" spans="1:8" x14ac:dyDescent="0.25">
      <c r="A1791" s="1" t="s">
        <v>1804</v>
      </c>
      <c r="B1791" s="5">
        <v>45732.541666666664</v>
      </c>
      <c r="C1791" s="1" t="s">
        <v>23</v>
      </c>
      <c r="D1791" s="1" t="s">
        <v>9</v>
      </c>
      <c r="E1791" s="1">
        <v>14</v>
      </c>
      <c r="F1791" s="1">
        <v>343.58</v>
      </c>
      <c r="G1791" s="1">
        <v>33.4</v>
      </c>
      <c r="H1791">
        <f t="shared" si="27"/>
        <v>4810.12</v>
      </c>
    </row>
    <row r="1792" spans="1:8" x14ac:dyDescent="0.25">
      <c r="A1792" s="1" t="s">
        <v>1805</v>
      </c>
      <c r="B1792" s="5">
        <v>45732.583333333336</v>
      </c>
      <c r="C1792" s="1" t="s">
        <v>13</v>
      </c>
      <c r="D1792" s="1" t="s">
        <v>16</v>
      </c>
      <c r="E1792" s="1">
        <v>1</v>
      </c>
      <c r="F1792" s="1">
        <v>342.65</v>
      </c>
      <c r="G1792" s="1">
        <v>30.58</v>
      </c>
      <c r="H1792">
        <f t="shared" si="27"/>
        <v>342.65</v>
      </c>
    </row>
    <row r="1793" spans="1:8" x14ac:dyDescent="0.25">
      <c r="A1793" s="1" t="s">
        <v>1806</v>
      </c>
      <c r="B1793" s="5">
        <v>45732.625</v>
      </c>
      <c r="C1793" s="1" t="s">
        <v>23</v>
      </c>
      <c r="D1793" s="1" t="s">
        <v>19</v>
      </c>
      <c r="E1793" s="1">
        <v>17</v>
      </c>
      <c r="F1793" s="1">
        <v>240.5</v>
      </c>
      <c r="G1793" s="1">
        <v>45.06</v>
      </c>
      <c r="H1793">
        <f t="shared" si="27"/>
        <v>4088.5</v>
      </c>
    </row>
    <row r="1794" spans="1:8" x14ac:dyDescent="0.25">
      <c r="A1794" s="1" t="s">
        <v>1807</v>
      </c>
      <c r="B1794" s="5">
        <v>45732.666666666664</v>
      </c>
      <c r="C1794" s="1" t="s">
        <v>8</v>
      </c>
      <c r="D1794" s="1" t="s">
        <v>37</v>
      </c>
      <c r="E1794" s="1">
        <v>4</v>
      </c>
      <c r="F1794" s="1">
        <v>402.53</v>
      </c>
      <c r="G1794" s="1">
        <v>38.81</v>
      </c>
      <c r="H1794">
        <f t="shared" ref="H1794:H1857" si="28">E1794*F1794</f>
        <v>1610.12</v>
      </c>
    </row>
    <row r="1795" spans="1:8" x14ac:dyDescent="0.25">
      <c r="A1795" s="1" t="s">
        <v>1808</v>
      </c>
      <c r="B1795" s="5">
        <v>45732.708333333336</v>
      </c>
      <c r="C1795" s="1" t="s">
        <v>8</v>
      </c>
      <c r="D1795" s="1" t="s">
        <v>37</v>
      </c>
      <c r="E1795" s="1">
        <v>5</v>
      </c>
      <c r="F1795" s="1">
        <v>271.02999999999997</v>
      </c>
      <c r="G1795" s="1">
        <v>48.44</v>
      </c>
      <c r="H1795">
        <f t="shared" si="28"/>
        <v>1355.1499999999999</v>
      </c>
    </row>
    <row r="1796" spans="1:8" x14ac:dyDescent="0.25">
      <c r="A1796" s="1" t="s">
        <v>1809</v>
      </c>
      <c r="B1796" s="5">
        <v>45732.75</v>
      </c>
      <c r="C1796" s="1" t="s">
        <v>11</v>
      </c>
      <c r="D1796" s="1" t="s">
        <v>37</v>
      </c>
      <c r="E1796" s="1">
        <v>7</v>
      </c>
      <c r="F1796" s="1">
        <v>414.16</v>
      </c>
      <c r="G1796" s="1">
        <v>48.2</v>
      </c>
      <c r="H1796">
        <f t="shared" si="28"/>
        <v>2899.1200000000003</v>
      </c>
    </row>
    <row r="1797" spans="1:8" x14ac:dyDescent="0.25">
      <c r="A1797" s="1" t="s">
        <v>1810</v>
      </c>
      <c r="B1797" s="5">
        <v>45732.791666666664</v>
      </c>
      <c r="C1797" s="1" t="s">
        <v>23</v>
      </c>
      <c r="D1797" s="1" t="s">
        <v>16</v>
      </c>
      <c r="E1797" s="1">
        <v>10</v>
      </c>
      <c r="F1797" s="1">
        <v>252.96</v>
      </c>
      <c r="G1797" s="1">
        <v>15.16</v>
      </c>
      <c r="H1797">
        <f t="shared" si="28"/>
        <v>2529.6</v>
      </c>
    </row>
    <row r="1798" spans="1:8" x14ac:dyDescent="0.25">
      <c r="A1798" s="1" t="s">
        <v>1811</v>
      </c>
      <c r="B1798" s="5">
        <v>45732.833333333336</v>
      </c>
      <c r="C1798" s="1" t="s">
        <v>8</v>
      </c>
      <c r="D1798" s="1" t="s">
        <v>9</v>
      </c>
      <c r="E1798" s="1">
        <v>17</v>
      </c>
      <c r="F1798" s="1">
        <v>235.34</v>
      </c>
      <c r="G1798" s="1">
        <v>37.64</v>
      </c>
      <c r="H1798">
        <f t="shared" si="28"/>
        <v>4000.78</v>
      </c>
    </row>
    <row r="1799" spans="1:8" x14ac:dyDescent="0.25">
      <c r="A1799" s="1" t="s">
        <v>1812</v>
      </c>
      <c r="B1799" s="5">
        <v>45732.875</v>
      </c>
      <c r="C1799" s="1" t="s">
        <v>23</v>
      </c>
      <c r="D1799" s="1" t="s">
        <v>19</v>
      </c>
      <c r="E1799" s="1">
        <v>7</v>
      </c>
      <c r="F1799" s="1">
        <v>112.11</v>
      </c>
      <c r="G1799" s="1">
        <v>28.87</v>
      </c>
      <c r="H1799">
        <f t="shared" si="28"/>
        <v>784.77</v>
      </c>
    </row>
    <row r="1800" spans="1:8" x14ac:dyDescent="0.25">
      <c r="A1800" s="1" t="s">
        <v>1813</v>
      </c>
      <c r="B1800" s="5">
        <v>45732.916666666664</v>
      </c>
      <c r="C1800" s="1" t="s">
        <v>8</v>
      </c>
      <c r="D1800" s="1" t="s">
        <v>37</v>
      </c>
      <c r="E1800" s="1">
        <v>1</v>
      </c>
      <c r="F1800" s="1">
        <v>252.21</v>
      </c>
      <c r="G1800" s="1">
        <v>14.66</v>
      </c>
      <c r="H1800">
        <f t="shared" si="28"/>
        <v>252.21</v>
      </c>
    </row>
    <row r="1801" spans="1:8" x14ac:dyDescent="0.25">
      <c r="A1801" s="1" t="s">
        <v>1814</v>
      </c>
      <c r="B1801" s="5">
        <v>45732.958333333336</v>
      </c>
      <c r="C1801" s="1" t="s">
        <v>13</v>
      </c>
      <c r="D1801" s="1" t="s">
        <v>19</v>
      </c>
      <c r="E1801" s="1">
        <v>7</v>
      </c>
      <c r="F1801" s="1">
        <v>76.58</v>
      </c>
      <c r="G1801" s="1">
        <v>13.77</v>
      </c>
      <c r="H1801">
        <f t="shared" si="28"/>
        <v>536.05999999999995</v>
      </c>
    </row>
    <row r="1802" spans="1:8" x14ac:dyDescent="0.25">
      <c r="A1802" s="1" t="s">
        <v>1815</v>
      </c>
      <c r="B1802" s="5">
        <v>45733</v>
      </c>
      <c r="C1802" s="1" t="s">
        <v>8</v>
      </c>
      <c r="D1802" s="1" t="s">
        <v>16</v>
      </c>
      <c r="E1802" s="1">
        <v>11</v>
      </c>
      <c r="F1802" s="1">
        <v>393.38</v>
      </c>
      <c r="G1802" s="1">
        <v>8.65</v>
      </c>
      <c r="H1802">
        <f t="shared" si="28"/>
        <v>4327.18</v>
      </c>
    </row>
    <row r="1803" spans="1:8" x14ac:dyDescent="0.25">
      <c r="A1803" s="1" t="s">
        <v>1816</v>
      </c>
      <c r="B1803" s="5">
        <v>45733.041666666664</v>
      </c>
      <c r="C1803" s="1" t="s">
        <v>13</v>
      </c>
      <c r="D1803" s="1" t="s">
        <v>37</v>
      </c>
      <c r="E1803" s="1">
        <v>9</v>
      </c>
      <c r="F1803" s="1">
        <v>309.18</v>
      </c>
      <c r="G1803" s="1">
        <v>40.799999999999997</v>
      </c>
      <c r="H1803">
        <f t="shared" si="28"/>
        <v>2782.62</v>
      </c>
    </row>
    <row r="1804" spans="1:8" x14ac:dyDescent="0.25">
      <c r="A1804" s="1" t="s">
        <v>1817</v>
      </c>
      <c r="B1804" s="5">
        <v>45733.083333333336</v>
      </c>
      <c r="C1804" s="1" t="s">
        <v>8</v>
      </c>
      <c r="D1804" s="1" t="s">
        <v>16</v>
      </c>
      <c r="E1804" s="1">
        <v>12</v>
      </c>
      <c r="F1804" s="1">
        <v>447.23</v>
      </c>
      <c r="G1804" s="1">
        <v>19.600000000000001</v>
      </c>
      <c r="H1804">
        <f t="shared" si="28"/>
        <v>5366.76</v>
      </c>
    </row>
    <row r="1805" spans="1:8" x14ac:dyDescent="0.25">
      <c r="A1805" s="1" t="s">
        <v>1818</v>
      </c>
      <c r="B1805" s="5">
        <v>45733.125</v>
      </c>
      <c r="C1805" s="1" t="s">
        <v>11</v>
      </c>
      <c r="D1805" s="1" t="s">
        <v>9</v>
      </c>
      <c r="E1805" s="1">
        <v>3</v>
      </c>
      <c r="F1805" s="1">
        <v>55.52</v>
      </c>
      <c r="G1805" s="1">
        <v>43.56</v>
      </c>
      <c r="H1805">
        <f t="shared" si="28"/>
        <v>166.56</v>
      </c>
    </row>
    <row r="1806" spans="1:8" x14ac:dyDescent="0.25">
      <c r="A1806" s="1" t="s">
        <v>1819</v>
      </c>
      <c r="B1806" s="5">
        <v>45733.166666666664</v>
      </c>
      <c r="C1806" s="1" t="s">
        <v>13</v>
      </c>
      <c r="D1806" s="1" t="s">
        <v>16</v>
      </c>
      <c r="E1806" s="1">
        <v>4</v>
      </c>
      <c r="F1806" s="1">
        <v>120.07</v>
      </c>
      <c r="G1806" s="1">
        <v>32.369999999999997</v>
      </c>
      <c r="H1806">
        <f t="shared" si="28"/>
        <v>480.28</v>
      </c>
    </row>
    <row r="1807" spans="1:8" x14ac:dyDescent="0.25">
      <c r="A1807" s="1" t="s">
        <v>1820</v>
      </c>
      <c r="B1807" s="5">
        <v>45733.208333333336</v>
      </c>
      <c r="C1807" s="1" t="s">
        <v>8</v>
      </c>
      <c r="D1807" s="1" t="s">
        <v>16</v>
      </c>
      <c r="E1807" s="1">
        <v>4</v>
      </c>
      <c r="F1807" s="1">
        <v>396.63</v>
      </c>
      <c r="G1807" s="1">
        <v>35.31</v>
      </c>
      <c r="H1807">
        <f t="shared" si="28"/>
        <v>1586.52</v>
      </c>
    </row>
    <row r="1808" spans="1:8" x14ac:dyDescent="0.25">
      <c r="A1808" s="1" t="s">
        <v>1821</v>
      </c>
      <c r="B1808" s="5">
        <v>45733.25</v>
      </c>
      <c r="C1808" s="1" t="s">
        <v>11</v>
      </c>
      <c r="D1808" s="1" t="s">
        <v>9</v>
      </c>
      <c r="E1808" s="1">
        <v>13</v>
      </c>
      <c r="F1808" s="1">
        <v>187.24</v>
      </c>
      <c r="G1808" s="1">
        <v>18.13</v>
      </c>
      <c r="H1808">
        <f t="shared" si="28"/>
        <v>2434.12</v>
      </c>
    </row>
    <row r="1809" spans="1:8" x14ac:dyDescent="0.25">
      <c r="A1809" s="1" t="s">
        <v>1822</v>
      </c>
      <c r="B1809" s="5">
        <v>45733.291666666664</v>
      </c>
      <c r="C1809" s="1" t="s">
        <v>13</v>
      </c>
      <c r="D1809" s="1" t="s">
        <v>19</v>
      </c>
      <c r="E1809" s="1">
        <v>19</v>
      </c>
      <c r="F1809" s="1">
        <v>218.11</v>
      </c>
      <c r="G1809" s="1">
        <v>25.58</v>
      </c>
      <c r="H1809">
        <f t="shared" si="28"/>
        <v>4144.09</v>
      </c>
    </row>
    <row r="1810" spans="1:8" x14ac:dyDescent="0.25">
      <c r="A1810" s="1" t="s">
        <v>1823</v>
      </c>
      <c r="B1810" s="5">
        <v>45733.333333333336</v>
      </c>
      <c r="C1810" s="1" t="s">
        <v>11</v>
      </c>
      <c r="D1810" s="1" t="s">
        <v>9</v>
      </c>
      <c r="E1810" s="1">
        <v>10</v>
      </c>
      <c r="F1810" s="1">
        <v>389.45</v>
      </c>
      <c r="G1810" s="1">
        <v>23.55</v>
      </c>
      <c r="H1810">
        <f t="shared" si="28"/>
        <v>3894.5</v>
      </c>
    </row>
    <row r="1811" spans="1:8" x14ac:dyDescent="0.25">
      <c r="A1811" s="1" t="s">
        <v>1824</v>
      </c>
      <c r="B1811" s="5">
        <v>45733.375</v>
      </c>
      <c r="C1811" s="1" t="s">
        <v>23</v>
      </c>
      <c r="D1811" s="1" t="s">
        <v>9</v>
      </c>
      <c r="E1811" s="1">
        <v>5</v>
      </c>
      <c r="F1811" s="1">
        <v>242.23</v>
      </c>
      <c r="G1811" s="1">
        <v>15.61</v>
      </c>
      <c r="H1811">
        <f t="shared" si="28"/>
        <v>1211.1499999999999</v>
      </c>
    </row>
    <row r="1812" spans="1:8" x14ac:dyDescent="0.25">
      <c r="A1812" s="1" t="s">
        <v>1825</v>
      </c>
      <c r="B1812" s="5">
        <v>45733.416666666664</v>
      </c>
      <c r="C1812" s="1" t="s">
        <v>23</v>
      </c>
      <c r="D1812" s="1" t="s">
        <v>16</v>
      </c>
      <c r="E1812" s="1">
        <v>7</v>
      </c>
      <c r="F1812" s="1">
        <v>99.57</v>
      </c>
      <c r="G1812" s="1">
        <v>42.46</v>
      </c>
      <c r="H1812">
        <f t="shared" si="28"/>
        <v>696.99</v>
      </c>
    </row>
    <row r="1813" spans="1:8" x14ac:dyDescent="0.25">
      <c r="A1813" s="1" t="s">
        <v>1826</v>
      </c>
      <c r="B1813" s="5">
        <v>45733.458333333336</v>
      </c>
      <c r="C1813" s="1" t="s">
        <v>13</v>
      </c>
      <c r="D1813" s="1" t="s">
        <v>19</v>
      </c>
      <c r="E1813" s="1">
        <v>16</v>
      </c>
      <c r="F1813" s="1">
        <v>403.09</v>
      </c>
      <c r="G1813" s="1">
        <v>32.99</v>
      </c>
      <c r="H1813">
        <f t="shared" si="28"/>
        <v>6449.44</v>
      </c>
    </row>
    <row r="1814" spans="1:8" x14ac:dyDescent="0.25">
      <c r="A1814" s="1" t="s">
        <v>1827</v>
      </c>
      <c r="B1814" s="5">
        <v>45733.5</v>
      </c>
      <c r="C1814" s="1" t="s">
        <v>8</v>
      </c>
      <c r="D1814" s="1" t="s">
        <v>37</v>
      </c>
      <c r="E1814" s="1">
        <v>1</v>
      </c>
      <c r="F1814" s="1">
        <v>29</v>
      </c>
      <c r="G1814" s="1">
        <v>6.68</v>
      </c>
      <c r="H1814">
        <f t="shared" si="28"/>
        <v>29</v>
      </c>
    </row>
    <row r="1815" spans="1:8" x14ac:dyDescent="0.25">
      <c r="A1815" s="1" t="s">
        <v>1828</v>
      </c>
      <c r="B1815" s="5">
        <v>45733.541666666664</v>
      </c>
      <c r="C1815" s="1" t="s">
        <v>13</v>
      </c>
      <c r="D1815" s="1" t="s">
        <v>9</v>
      </c>
      <c r="E1815" s="1">
        <v>12</v>
      </c>
      <c r="F1815" s="1">
        <v>404.55</v>
      </c>
      <c r="G1815" s="1">
        <v>41.9</v>
      </c>
      <c r="H1815">
        <f t="shared" si="28"/>
        <v>4854.6000000000004</v>
      </c>
    </row>
    <row r="1816" spans="1:8" x14ac:dyDescent="0.25">
      <c r="A1816" s="1" t="s">
        <v>1829</v>
      </c>
      <c r="B1816" s="5">
        <v>45733.583333333336</v>
      </c>
      <c r="C1816" s="1" t="s">
        <v>11</v>
      </c>
      <c r="D1816" s="1" t="s">
        <v>19</v>
      </c>
      <c r="E1816" s="1">
        <v>2</v>
      </c>
      <c r="F1816" s="1">
        <v>37.450000000000003</v>
      </c>
      <c r="G1816" s="1">
        <v>9.77</v>
      </c>
      <c r="H1816">
        <f t="shared" si="28"/>
        <v>74.900000000000006</v>
      </c>
    </row>
    <row r="1817" spans="1:8" x14ac:dyDescent="0.25">
      <c r="A1817" s="1" t="s">
        <v>1830</v>
      </c>
      <c r="B1817" s="5">
        <v>45733.625</v>
      </c>
      <c r="C1817" s="1" t="s">
        <v>8</v>
      </c>
      <c r="D1817" s="1" t="s">
        <v>9</v>
      </c>
      <c r="E1817" s="1">
        <v>7</v>
      </c>
      <c r="F1817" s="1">
        <v>304.81</v>
      </c>
      <c r="G1817" s="1">
        <v>23.17</v>
      </c>
      <c r="H1817">
        <f t="shared" si="28"/>
        <v>2133.67</v>
      </c>
    </row>
    <row r="1818" spans="1:8" x14ac:dyDescent="0.25">
      <c r="A1818" s="1" t="s">
        <v>1831</v>
      </c>
      <c r="B1818" s="5">
        <v>45733.666666666664</v>
      </c>
      <c r="C1818" s="1" t="s">
        <v>23</v>
      </c>
      <c r="D1818" s="1" t="s">
        <v>9</v>
      </c>
      <c r="E1818" s="1">
        <v>11</v>
      </c>
      <c r="F1818" s="1">
        <v>46.64</v>
      </c>
      <c r="G1818" s="1">
        <v>30.71</v>
      </c>
      <c r="H1818">
        <f t="shared" si="28"/>
        <v>513.04</v>
      </c>
    </row>
    <row r="1819" spans="1:8" x14ac:dyDescent="0.25">
      <c r="A1819" s="1" t="s">
        <v>1832</v>
      </c>
      <c r="B1819" s="5">
        <v>45733.708333333336</v>
      </c>
      <c r="C1819" s="1" t="s">
        <v>8</v>
      </c>
      <c r="D1819" s="1" t="s">
        <v>9</v>
      </c>
      <c r="E1819" s="1">
        <v>13</v>
      </c>
      <c r="F1819" s="1">
        <v>322.35000000000002</v>
      </c>
      <c r="G1819" s="1">
        <v>5.34</v>
      </c>
      <c r="H1819">
        <f t="shared" si="28"/>
        <v>4190.55</v>
      </c>
    </row>
    <row r="1820" spans="1:8" x14ac:dyDescent="0.25">
      <c r="A1820" s="1" t="s">
        <v>1833</v>
      </c>
      <c r="B1820" s="5">
        <v>45733.75</v>
      </c>
      <c r="C1820" s="1" t="s">
        <v>23</v>
      </c>
      <c r="D1820" s="1" t="s">
        <v>9</v>
      </c>
      <c r="E1820" s="1">
        <v>2</v>
      </c>
      <c r="F1820" s="1">
        <v>30.26</v>
      </c>
      <c r="G1820" s="1">
        <v>34.380000000000003</v>
      </c>
      <c r="H1820">
        <f t="shared" si="28"/>
        <v>60.52</v>
      </c>
    </row>
    <row r="1821" spans="1:8" x14ac:dyDescent="0.25">
      <c r="A1821" s="1" t="s">
        <v>1834</v>
      </c>
      <c r="B1821" s="5">
        <v>45733.791666666664</v>
      </c>
      <c r="C1821" s="1" t="s">
        <v>8</v>
      </c>
      <c r="D1821" s="1" t="s">
        <v>16</v>
      </c>
      <c r="E1821" s="1">
        <v>7</v>
      </c>
      <c r="F1821" s="1">
        <v>381.55</v>
      </c>
      <c r="G1821" s="1">
        <v>34.69</v>
      </c>
      <c r="H1821">
        <f t="shared" si="28"/>
        <v>2670.85</v>
      </c>
    </row>
    <row r="1822" spans="1:8" x14ac:dyDescent="0.25">
      <c r="A1822" s="1" t="s">
        <v>1835</v>
      </c>
      <c r="B1822" s="5">
        <v>45733.833333333336</v>
      </c>
      <c r="C1822" s="1" t="s">
        <v>8</v>
      </c>
      <c r="D1822" s="1" t="s">
        <v>19</v>
      </c>
      <c r="E1822" s="1">
        <v>15</v>
      </c>
      <c r="F1822" s="1">
        <v>217.95</v>
      </c>
      <c r="G1822" s="1">
        <v>34.36</v>
      </c>
      <c r="H1822">
        <f t="shared" si="28"/>
        <v>3269.25</v>
      </c>
    </row>
    <row r="1823" spans="1:8" x14ac:dyDescent="0.25">
      <c r="A1823" s="1" t="s">
        <v>1836</v>
      </c>
      <c r="B1823" s="5">
        <v>45733.875</v>
      </c>
      <c r="C1823" s="1" t="s">
        <v>8</v>
      </c>
      <c r="D1823" s="1" t="s">
        <v>19</v>
      </c>
      <c r="E1823" s="1">
        <v>11</v>
      </c>
      <c r="F1823" s="1">
        <v>56.11</v>
      </c>
      <c r="G1823" s="1">
        <v>12.36</v>
      </c>
      <c r="H1823">
        <f t="shared" si="28"/>
        <v>617.21</v>
      </c>
    </row>
    <row r="1824" spans="1:8" x14ac:dyDescent="0.25">
      <c r="A1824" s="1" t="s">
        <v>1837</v>
      </c>
      <c r="B1824" s="5">
        <v>45733.916666666664</v>
      </c>
      <c r="C1824" s="1" t="s">
        <v>11</v>
      </c>
      <c r="D1824" s="1" t="s">
        <v>19</v>
      </c>
      <c r="E1824" s="1">
        <v>2</v>
      </c>
      <c r="F1824" s="1">
        <v>322.61</v>
      </c>
      <c r="G1824" s="1">
        <v>16.510000000000002</v>
      </c>
      <c r="H1824">
        <f t="shared" si="28"/>
        <v>645.22</v>
      </c>
    </row>
    <row r="1825" spans="1:8" x14ac:dyDescent="0.25">
      <c r="A1825" s="1" t="s">
        <v>1838</v>
      </c>
      <c r="B1825" s="5">
        <v>45733.958333333336</v>
      </c>
      <c r="C1825" s="1" t="s">
        <v>11</v>
      </c>
      <c r="D1825" s="1" t="s">
        <v>9</v>
      </c>
      <c r="E1825" s="1">
        <v>7</v>
      </c>
      <c r="F1825" s="1">
        <v>228.1</v>
      </c>
      <c r="G1825" s="1">
        <v>16.13</v>
      </c>
      <c r="H1825">
        <f t="shared" si="28"/>
        <v>1596.7</v>
      </c>
    </row>
    <row r="1826" spans="1:8" x14ac:dyDescent="0.25">
      <c r="A1826" s="1" t="s">
        <v>1839</v>
      </c>
      <c r="B1826" s="5">
        <v>45734</v>
      </c>
      <c r="C1826" s="1" t="s">
        <v>13</v>
      </c>
      <c r="D1826" s="1" t="s">
        <v>16</v>
      </c>
      <c r="E1826" s="1">
        <v>4</v>
      </c>
      <c r="F1826" s="1">
        <v>98.47</v>
      </c>
      <c r="G1826" s="1">
        <v>48.2</v>
      </c>
      <c r="H1826">
        <f t="shared" si="28"/>
        <v>393.88</v>
      </c>
    </row>
    <row r="1827" spans="1:8" x14ac:dyDescent="0.25">
      <c r="A1827" s="1" t="s">
        <v>1840</v>
      </c>
      <c r="B1827" s="5">
        <v>45734.041666666664</v>
      </c>
      <c r="C1827" s="1" t="s">
        <v>13</v>
      </c>
      <c r="D1827" s="1" t="s">
        <v>9</v>
      </c>
      <c r="E1827" s="1">
        <v>11</v>
      </c>
      <c r="F1827" s="1">
        <v>22.31</v>
      </c>
      <c r="G1827" s="1">
        <v>8.0399999999999991</v>
      </c>
      <c r="H1827">
        <f t="shared" si="28"/>
        <v>245.41</v>
      </c>
    </row>
    <row r="1828" spans="1:8" x14ac:dyDescent="0.25">
      <c r="A1828" s="1" t="s">
        <v>1841</v>
      </c>
      <c r="B1828" s="5">
        <v>45734.083333333336</v>
      </c>
      <c r="C1828" s="1" t="s">
        <v>23</v>
      </c>
      <c r="D1828" s="1" t="s">
        <v>9</v>
      </c>
      <c r="E1828" s="1">
        <v>2</v>
      </c>
      <c r="F1828" s="1">
        <v>197.12</v>
      </c>
      <c r="G1828" s="1">
        <v>24.29</v>
      </c>
      <c r="H1828">
        <f t="shared" si="28"/>
        <v>394.24</v>
      </c>
    </row>
    <row r="1829" spans="1:8" x14ac:dyDescent="0.25">
      <c r="A1829" s="1" t="s">
        <v>1842</v>
      </c>
      <c r="B1829" s="5">
        <v>45734.125</v>
      </c>
      <c r="C1829" s="1" t="s">
        <v>11</v>
      </c>
      <c r="D1829" s="1" t="s">
        <v>19</v>
      </c>
      <c r="E1829" s="1">
        <v>16</v>
      </c>
      <c r="F1829" s="1">
        <v>52.71</v>
      </c>
      <c r="G1829" s="1">
        <v>44.21</v>
      </c>
      <c r="H1829">
        <f t="shared" si="28"/>
        <v>843.36</v>
      </c>
    </row>
    <row r="1830" spans="1:8" x14ac:dyDescent="0.25">
      <c r="A1830" s="1" t="s">
        <v>1843</v>
      </c>
      <c r="B1830" s="5">
        <v>45734.166666666664</v>
      </c>
      <c r="C1830" s="1" t="s">
        <v>23</v>
      </c>
      <c r="D1830" s="1" t="s">
        <v>9</v>
      </c>
      <c r="E1830" s="1">
        <v>7</v>
      </c>
      <c r="F1830" s="1">
        <v>56.42</v>
      </c>
      <c r="G1830" s="1">
        <v>39.630000000000003</v>
      </c>
      <c r="H1830">
        <f t="shared" si="28"/>
        <v>394.94</v>
      </c>
    </row>
    <row r="1831" spans="1:8" x14ac:dyDescent="0.25">
      <c r="A1831" s="1" t="s">
        <v>1844</v>
      </c>
      <c r="B1831" s="5">
        <v>45734.208333333336</v>
      </c>
      <c r="C1831" s="1" t="s">
        <v>13</v>
      </c>
      <c r="D1831" s="1" t="s">
        <v>37</v>
      </c>
      <c r="E1831" s="1">
        <v>13</v>
      </c>
      <c r="F1831" s="1">
        <v>131.65</v>
      </c>
      <c r="G1831" s="1">
        <v>42.01</v>
      </c>
      <c r="H1831">
        <f t="shared" si="28"/>
        <v>1711.45</v>
      </c>
    </row>
    <row r="1832" spans="1:8" x14ac:dyDescent="0.25">
      <c r="A1832" s="1" t="s">
        <v>1845</v>
      </c>
      <c r="B1832" s="5">
        <v>45734.25</v>
      </c>
      <c r="C1832" s="1" t="s">
        <v>23</v>
      </c>
      <c r="D1832" s="1" t="s">
        <v>9</v>
      </c>
      <c r="E1832" s="1">
        <v>5</v>
      </c>
      <c r="F1832" s="1">
        <v>289.43</v>
      </c>
      <c r="G1832" s="1">
        <v>48.75</v>
      </c>
      <c r="H1832">
        <f t="shared" si="28"/>
        <v>1447.15</v>
      </c>
    </row>
    <row r="1833" spans="1:8" x14ac:dyDescent="0.25">
      <c r="A1833" s="1" t="s">
        <v>1846</v>
      </c>
      <c r="B1833" s="5">
        <v>45734.291666666664</v>
      </c>
      <c r="C1833" s="1" t="s">
        <v>13</v>
      </c>
      <c r="D1833" s="1" t="s">
        <v>37</v>
      </c>
      <c r="E1833" s="1">
        <v>17</v>
      </c>
      <c r="F1833" s="1">
        <v>245.75</v>
      </c>
      <c r="G1833" s="1">
        <v>22.43</v>
      </c>
      <c r="H1833">
        <f t="shared" si="28"/>
        <v>4177.75</v>
      </c>
    </row>
    <row r="1834" spans="1:8" x14ac:dyDescent="0.25">
      <c r="A1834" s="1" t="s">
        <v>1847</v>
      </c>
      <c r="B1834" s="5">
        <v>45734.333333333336</v>
      </c>
      <c r="C1834" s="1" t="s">
        <v>11</v>
      </c>
      <c r="D1834" s="1" t="s">
        <v>9</v>
      </c>
      <c r="E1834" s="1">
        <v>12</v>
      </c>
      <c r="F1834" s="1">
        <v>45.47</v>
      </c>
      <c r="G1834" s="1">
        <v>18.93</v>
      </c>
      <c r="H1834">
        <f t="shared" si="28"/>
        <v>545.64</v>
      </c>
    </row>
    <row r="1835" spans="1:8" x14ac:dyDescent="0.25">
      <c r="A1835" s="1" t="s">
        <v>1848</v>
      </c>
      <c r="B1835" s="5">
        <v>45734.375</v>
      </c>
      <c r="C1835" s="1" t="s">
        <v>8</v>
      </c>
      <c r="D1835" s="1" t="s">
        <v>16</v>
      </c>
      <c r="E1835" s="1">
        <v>19</v>
      </c>
      <c r="F1835" s="1">
        <v>436.28</v>
      </c>
      <c r="G1835" s="1">
        <v>6.38</v>
      </c>
      <c r="H1835">
        <f t="shared" si="28"/>
        <v>8289.32</v>
      </c>
    </row>
    <row r="1836" spans="1:8" x14ac:dyDescent="0.25">
      <c r="A1836" s="1" t="s">
        <v>1849</v>
      </c>
      <c r="B1836" s="5">
        <v>45734.416666666664</v>
      </c>
      <c r="C1836" s="1" t="s">
        <v>11</v>
      </c>
      <c r="D1836" s="1" t="s">
        <v>16</v>
      </c>
      <c r="E1836" s="1">
        <v>7</v>
      </c>
      <c r="F1836" s="1">
        <v>400.97</v>
      </c>
      <c r="G1836" s="1">
        <v>11.75</v>
      </c>
      <c r="H1836">
        <f t="shared" si="28"/>
        <v>2806.79</v>
      </c>
    </row>
    <row r="1837" spans="1:8" x14ac:dyDescent="0.25">
      <c r="A1837" s="1" t="s">
        <v>1850</v>
      </c>
      <c r="B1837" s="5">
        <v>45734.458333333336</v>
      </c>
      <c r="C1837" s="1" t="s">
        <v>23</v>
      </c>
      <c r="D1837" s="1" t="s">
        <v>19</v>
      </c>
      <c r="E1837" s="1">
        <v>6</v>
      </c>
      <c r="F1837" s="1">
        <v>128.13</v>
      </c>
      <c r="G1837" s="1">
        <v>30.29</v>
      </c>
      <c r="H1837">
        <f t="shared" si="28"/>
        <v>768.78</v>
      </c>
    </row>
    <row r="1838" spans="1:8" x14ac:dyDescent="0.25">
      <c r="A1838" s="1" t="s">
        <v>1851</v>
      </c>
      <c r="B1838" s="5">
        <v>45734.5</v>
      </c>
      <c r="C1838" s="1" t="s">
        <v>23</v>
      </c>
      <c r="D1838" s="1" t="s">
        <v>9</v>
      </c>
      <c r="E1838" s="1">
        <v>8</v>
      </c>
      <c r="F1838" s="1">
        <v>68.66</v>
      </c>
      <c r="G1838" s="1">
        <v>12.09</v>
      </c>
      <c r="H1838">
        <f t="shared" si="28"/>
        <v>549.28</v>
      </c>
    </row>
    <row r="1839" spans="1:8" x14ac:dyDescent="0.25">
      <c r="A1839" s="1" t="s">
        <v>1852</v>
      </c>
      <c r="B1839" s="5">
        <v>45734.541666666664</v>
      </c>
      <c r="C1839" s="1" t="s">
        <v>11</v>
      </c>
      <c r="D1839" s="1" t="s">
        <v>37</v>
      </c>
      <c r="E1839" s="1">
        <v>13</v>
      </c>
      <c r="F1839" s="1">
        <v>424.97</v>
      </c>
      <c r="G1839" s="1">
        <v>38.130000000000003</v>
      </c>
      <c r="H1839">
        <f t="shared" si="28"/>
        <v>5524.6100000000006</v>
      </c>
    </row>
    <row r="1840" spans="1:8" x14ac:dyDescent="0.25">
      <c r="A1840" s="1" t="s">
        <v>1853</v>
      </c>
      <c r="B1840" s="5">
        <v>45734.583333333336</v>
      </c>
      <c r="C1840" s="1" t="s">
        <v>11</v>
      </c>
      <c r="D1840" s="1" t="s">
        <v>37</v>
      </c>
      <c r="E1840" s="1">
        <v>5</v>
      </c>
      <c r="F1840" s="1">
        <v>215.87</v>
      </c>
      <c r="G1840" s="1">
        <v>6.68</v>
      </c>
      <c r="H1840">
        <f t="shared" si="28"/>
        <v>1079.3499999999999</v>
      </c>
    </row>
    <row r="1841" spans="1:8" x14ac:dyDescent="0.25">
      <c r="A1841" s="1" t="s">
        <v>1854</v>
      </c>
      <c r="B1841" s="5">
        <v>45734.625</v>
      </c>
      <c r="C1841" s="1" t="s">
        <v>13</v>
      </c>
      <c r="D1841" s="1" t="s">
        <v>9</v>
      </c>
      <c r="E1841" s="1">
        <v>2</v>
      </c>
      <c r="F1841" s="1">
        <v>150.69999999999999</v>
      </c>
      <c r="G1841" s="1">
        <v>16.68</v>
      </c>
      <c r="H1841">
        <f t="shared" si="28"/>
        <v>301.39999999999998</v>
      </c>
    </row>
    <row r="1842" spans="1:8" x14ac:dyDescent="0.25">
      <c r="A1842" s="1" t="s">
        <v>1855</v>
      </c>
      <c r="B1842" s="5">
        <v>45734.666666666664</v>
      </c>
      <c r="C1842" s="1" t="s">
        <v>23</v>
      </c>
      <c r="D1842" s="1" t="s">
        <v>37</v>
      </c>
      <c r="E1842" s="1">
        <v>9</v>
      </c>
      <c r="F1842" s="1">
        <v>228.56</v>
      </c>
      <c r="G1842" s="1">
        <v>36.299999999999997</v>
      </c>
      <c r="H1842">
        <f t="shared" si="28"/>
        <v>2057.04</v>
      </c>
    </row>
    <row r="1843" spans="1:8" x14ac:dyDescent="0.25">
      <c r="A1843" s="1" t="s">
        <v>1856</v>
      </c>
      <c r="B1843" s="5">
        <v>45734.708333333336</v>
      </c>
      <c r="C1843" s="1" t="s">
        <v>23</v>
      </c>
      <c r="D1843" s="1" t="s">
        <v>16</v>
      </c>
      <c r="E1843" s="1">
        <v>11</v>
      </c>
      <c r="F1843" s="1">
        <v>351.26</v>
      </c>
      <c r="G1843" s="1">
        <v>16.5</v>
      </c>
      <c r="H1843">
        <f t="shared" si="28"/>
        <v>3863.8599999999997</v>
      </c>
    </row>
    <row r="1844" spans="1:8" x14ac:dyDescent="0.25">
      <c r="A1844" s="1" t="s">
        <v>1857</v>
      </c>
      <c r="B1844" s="5">
        <v>45734.75</v>
      </c>
      <c r="C1844" s="1" t="s">
        <v>11</v>
      </c>
      <c r="D1844" s="1" t="s">
        <v>37</v>
      </c>
      <c r="E1844" s="1">
        <v>6</v>
      </c>
      <c r="F1844" s="1">
        <v>88.66</v>
      </c>
      <c r="G1844" s="1">
        <v>37.79</v>
      </c>
      <c r="H1844">
        <f t="shared" si="28"/>
        <v>531.96</v>
      </c>
    </row>
    <row r="1845" spans="1:8" x14ac:dyDescent="0.25">
      <c r="A1845" s="1" t="s">
        <v>1858</v>
      </c>
      <c r="B1845" s="5">
        <v>45734.791666666664</v>
      </c>
      <c r="C1845" s="1" t="s">
        <v>8</v>
      </c>
      <c r="D1845" s="1" t="s">
        <v>19</v>
      </c>
      <c r="E1845" s="1">
        <v>7</v>
      </c>
      <c r="F1845" s="1">
        <v>348.98</v>
      </c>
      <c r="G1845" s="1">
        <v>49.81</v>
      </c>
      <c r="H1845">
        <f t="shared" si="28"/>
        <v>2442.86</v>
      </c>
    </row>
    <row r="1846" spans="1:8" x14ac:dyDescent="0.25">
      <c r="A1846" s="1" t="s">
        <v>1859</v>
      </c>
      <c r="B1846" s="5">
        <v>45734.833333333336</v>
      </c>
      <c r="C1846" s="1" t="s">
        <v>23</v>
      </c>
      <c r="D1846" s="1" t="s">
        <v>16</v>
      </c>
      <c r="E1846" s="1">
        <v>7</v>
      </c>
      <c r="F1846" s="1">
        <v>341.13</v>
      </c>
      <c r="G1846" s="1">
        <v>40.869999999999997</v>
      </c>
      <c r="H1846">
        <f t="shared" si="28"/>
        <v>2387.91</v>
      </c>
    </row>
    <row r="1847" spans="1:8" x14ac:dyDescent="0.25">
      <c r="A1847" s="1" t="s">
        <v>1860</v>
      </c>
      <c r="B1847" s="5">
        <v>45734.875</v>
      </c>
      <c r="C1847" s="1" t="s">
        <v>8</v>
      </c>
      <c r="D1847" s="1" t="s">
        <v>16</v>
      </c>
      <c r="E1847" s="1">
        <v>19</v>
      </c>
      <c r="F1847" s="1">
        <v>249.85</v>
      </c>
      <c r="G1847" s="1">
        <v>20.38</v>
      </c>
      <c r="H1847">
        <f t="shared" si="28"/>
        <v>4747.1499999999996</v>
      </c>
    </row>
    <row r="1848" spans="1:8" x14ac:dyDescent="0.25">
      <c r="A1848" s="1" t="s">
        <v>1861</v>
      </c>
      <c r="B1848" s="5">
        <v>45734.916666666664</v>
      </c>
      <c r="C1848" s="1" t="s">
        <v>11</v>
      </c>
      <c r="D1848" s="1" t="s">
        <v>16</v>
      </c>
      <c r="E1848" s="1">
        <v>6</v>
      </c>
      <c r="F1848" s="1">
        <v>391.71</v>
      </c>
      <c r="G1848" s="1">
        <v>45.53</v>
      </c>
      <c r="H1848">
        <f t="shared" si="28"/>
        <v>2350.2599999999998</v>
      </c>
    </row>
    <row r="1849" spans="1:8" x14ac:dyDescent="0.25">
      <c r="A1849" s="1" t="s">
        <v>1862</v>
      </c>
      <c r="B1849" s="5">
        <v>45734.958333333336</v>
      </c>
      <c r="C1849" s="1" t="s">
        <v>11</v>
      </c>
      <c r="D1849" s="1" t="s">
        <v>9</v>
      </c>
      <c r="E1849" s="1">
        <v>11</v>
      </c>
      <c r="F1849" s="1">
        <v>72.92</v>
      </c>
      <c r="G1849" s="1">
        <v>7.3</v>
      </c>
      <c r="H1849">
        <f t="shared" si="28"/>
        <v>802.12</v>
      </c>
    </row>
    <row r="1850" spans="1:8" x14ac:dyDescent="0.25">
      <c r="A1850" s="1" t="s">
        <v>1863</v>
      </c>
      <c r="B1850" s="5">
        <v>45735</v>
      </c>
      <c r="C1850" s="1" t="s">
        <v>13</v>
      </c>
      <c r="D1850" s="1" t="s">
        <v>9</v>
      </c>
      <c r="E1850" s="1">
        <v>11</v>
      </c>
      <c r="F1850" s="1">
        <v>274.24</v>
      </c>
      <c r="G1850" s="1">
        <v>37.630000000000003</v>
      </c>
      <c r="H1850">
        <f t="shared" si="28"/>
        <v>3016.6400000000003</v>
      </c>
    </row>
    <row r="1851" spans="1:8" x14ac:dyDescent="0.25">
      <c r="A1851" s="1" t="s">
        <v>1864</v>
      </c>
      <c r="B1851" s="5">
        <v>45735.041666666664</v>
      </c>
      <c r="C1851" s="1" t="s">
        <v>23</v>
      </c>
      <c r="D1851" s="1" t="s">
        <v>16</v>
      </c>
      <c r="E1851" s="1">
        <v>7</v>
      </c>
      <c r="F1851" s="1">
        <v>210.74</v>
      </c>
      <c r="G1851" s="1">
        <v>6.05</v>
      </c>
      <c r="H1851">
        <f t="shared" si="28"/>
        <v>1475.18</v>
      </c>
    </row>
    <row r="1852" spans="1:8" x14ac:dyDescent="0.25">
      <c r="A1852" s="1" t="s">
        <v>1865</v>
      </c>
      <c r="B1852" s="5">
        <v>45735.083333333336</v>
      </c>
      <c r="C1852" s="1" t="s">
        <v>8</v>
      </c>
      <c r="D1852" s="1" t="s">
        <v>9</v>
      </c>
      <c r="E1852" s="1">
        <v>2</v>
      </c>
      <c r="F1852" s="1">
        <v>198.99</v>
      </c>
      <c r="G1852" s="1">
        <v>12.85</v>
      </c>
      <c r="H1852">
        <f t="shared" si="28"/>
        <v>397.98</v>
      </c>
    </row>
    <row r="1853" spans="1:8" x14ac:dyDescent="0.25">
      <c r="A1853" s="1" t="s">
        <v>1866</v>
      </c>
      <c r="B1853" s="5">
        <v>45735.125</v>
      </c>
      <c r="C1853" s="1" t="s">
        <v>13</v>
      </c>
      <c r="D1853" s="1" t="s">
        <v>37</v>
      </c>
      <c r="E1853" s="1">
        <v>19</v>
      </c>
      <c r="F1853" s="1">
        <v>125.24</v>
      </c>
      <c r="G1853" s="1">
        <v>49.44</v>
      </c>
      <c r="H1853">
        <f t="shared" si="28"/>
        <v>2379.56</v>
      </c>
    </row>
    <row r="1854" spans="1:8" x14ac:dyDescent="0.25">
      <c r="A1854" s="1" t="s">
        <v>1867</v>
      </c>
      <c r="B1854" s="5">
        <v>45735.166666666664</v>
      </c>
      <c r="C1854" s="1" t="s">
        <v>23</v>
      </c>
      <c r="D1854" s="1" t="s">
        <v>9</v>
      </c>
      <c r="E1854" s="1">
        <v>4</v>
      </c>
      <c r="F1854" s="1">
        <v>177.26</v>
      </c>
      <c r="G1854" s="1">
        <v>21.24</v>
      </c>
      <c r="H1854">
        <f t="shared" si="28"/>
        <v>709.04</v>
      </c>
    </row>
    <row r="1855" spans="1:8" x14ac:dyDescent="0.25">
      <c r="A1855" s="1" t="s">
        <v>1868</v>
      </c>
      <c r="B1855" s="5">
        <v>45735.208333333336</v>
      </c>
      <c r="C1855" s="1" t="s">
        <v>13</v>
      </c>
      <c r="D1855" s="1" t="s">
        <v>9</v>
      </c>
      <c r="E1855" s="1">
        <v>6</v>
      </c>
      <c r="F1855" s="1">
        <v>62.49</v>
      </c>
      <c r="G1855" s="1">
        <v>41.92</v>
      </c>
      <c r="H1855">
        <f t="shared" si="28"/>
        <v>374.94</v>
      </c>
    </row>
    <row r="1856" spans="1:8" x14ac:dyDescent="0.25">
      <c r="A1856" s="1" t="s">
        <v>1869</v>
      </c>
      <c r="B1856" s="5">
        <v>45735.25</v>
      </c>
      <c r="C1856" s="1" t="s">
        <v>11</v>
      </c>
      <c r="D1856" s="1" t="s">
        <v>16</v>
      </c>
      <c r="E1856" s="1">
        <v>17</v>
      </c>
      <c r="F1856" s="1">
        <v>124.82</v>
      </c>
      <c r="G1856" s="1">
        <v>21.92</v>
      </c>
      <c r="H1856">
        <f t="shared" si="28"/>
        <v>2121.94</v>
      </c>
    </row>
    <row r="1857" spans="1:8" x14ac:dyDescent="0.25">
      <c r="A1857" s="1" t="s">
        <v>1870</v>
      </c>
      <c r="B1857" s="5">
        <v>45735.291666666664</v>
      </c>
      <c r="C1857" s="1" t="s">
        <v>23</v>
      </c>
      <c r="D1857" s="1" t="s">
        <v>19</v>
      </c>
      <c r="E1857" s="1">
        <v>5</v>
      </c>
      <c r="F1857" s="1">
        <v>133.66999999999999</v>
      </c>
      <c r="G1857" s="1">
        <v>42.8</v>
      </c>
      <c r="H1857">
        <f t="shared" si="28"/>
        <v>668.34999999999991</v>
      </c>
    </row>
    <row r="1858" spans="1:8" x14ac:dyDescent="0.25">
      <c r="A1858" s="1" t="s">
        <v>1871</v>
      </c>
      <c r="B1858" s="5">
        <v>45735.333333333336</v>
      </c>
      <c r="C1858" s="1" t="s">
        <v>13</v>
      </c>
      <c r="D1858" s="1" t="s">
        <v>19</v>
      </c>
      <c r="E1858" s="1">
        <v>7</v>
      </c>
      <c r="F1858" s="1">
        <v>328.63</v>
      </c>
      <c r="G1858" s="1">
        <v>48.44</v>
      </c>
      <c r="H1858">
        <f t="shared" ref="H1858:H1921" si="29">E1858*F1858</f>
        <v>2300.41</v>
      </c>
    </row>
    <row r="1859" spans="1:8" x14ac:dyDescent="0.25">
      <c r="A1859" s="1" t="s">
        <v>1872</v>
      </c>
      <c r="B1859" s="5">
        <v>45735.375</v>
      </c>
      <c r="C1859" s="1" t="s">
        <v>13</v>
      </c>
      <c r="D1859" s="1" t="s">
        <v>19</v>
      </c>
      <c r="E1859" s="1">
        <v>9</v>
      </c>
      <c r="F1859" s="1">
        <v>36.6</v>
      </c>
      <c r="G1859" s="1">
        <v>24.6</v>
      </c>
      <c r="H1859">
        <f t="shared" si="29"/>
        <v>329.40000000000003</v>
      </c>
    </row>
    <row r="1860" spans="1:8" x14ac:dyDescent="0.25">
      <c r="A1860" s="1" t="s">
        <v>1873</v>
      </c>
      <c r="B1860" s="5">
        <v>45735.416666666664</v>
      </c>
      <c r="C1860" s="1" t="s">
        <v>8</v>
      </c>
      <c r="D1860" s="1" t="s">
        <v>37</v>
      </c>
      <c r="E1860" s="1">
        <v>1</v>
      </c>
      <c r="F1860" s="1">
        <v>298.44</v>
      </c>
      <c r="G1860" s="1">
        <v>30.17</v>
      </c>
      <c r="H1860">
        <f t="shared" si="29"/>
        <v>298.44</v>
      </c>
    </row>
    <row r="1861" spans="1:8" x14ac:dyDescent="0.25">
      <c r="A1861" s="1" t="s">
        <v>1874</v>
      </c>
      <c r="B1861" s="5">
        <v>45735.458333333336</v>
      </c>
      <c r="C1861" s="1" t="s">
        <v>13</v>
      </c>
      <c r="D1861" s="1" t="s">
        <v>9</v>
      </c>
      <c r="E1861" s="1">
        <v>1</v>
      </c>
      <c r="F1861" s="1">
        <v>111.7</v>
      </c>
      <c r="G1861" s="1">
        <v>33.29</v>
      </c>
      <c r="H1861">
        <f t="shared" si="29"/>
        <v>111.7</v>
      </c>
    </row>
    <row r="1862" spans="1:8" x14ac:dyDescent="0.25">
      <c r="A1862" s="1" t="s">
        <v>1875</v>
      </c>
      <c r="B1862" s="5">
        <v>45735.5</v>
      </c>
      <c r="C1862" s="1" t="s">
        <v>23</v>
      </c>
      <c r="D1862" s="1" t="s">
        <v>19</v>
      </c>
      <c r="E1862" s="1">
        <v>19</v>
      </c>
      <c r="F1862" s="1">
        <v>51.07</v>
      </c>
      <c r="G1862" s="1">
        <v>47.07</v>
      </c>
      <c r="H1862">
        <f t="shared" si="29"/>
        <v>970.33</v>
      </c>
    </row>
    <row r="1863" spans="1:8" x14ac:dyDescent="0.25">
      <c r="A1863" s="1" t="s">
        <v>1876</v>
      </c>
      <c r="B1863" s="5">
        <v>45735.541666666664</v>
      </c>
      <c r="C1863" s="1" t="s">
        <v>23</v>
      </c>
      <c r="D1863" s="1" t="s">
        <v>16</v>
      </c>
      <c r="E1863" s="1">
        <v>6</v>
      </c>
      <c r="F1863" s="1">
        <v>146.19999999999999</v>
      </c>
      <c r="G1863" s="1">
        <v>16.55</v>
      </c>
      <c r="H1863">
        <f t="shared" si="29"/>
        <v>877.19999999999993</v>
      </c>
    </row>
    <row r="1864" spans="1:8" x14ac:dyDescent="0.25">
      <c r="A1864" s="1" t="s">
        <v>1877</v>
      </c>
      <c r="B1864" s="5">
        <v>45735.583333333336</v>
      </c>
      <c r="C1864" s="1" t="s">
        <v>8</v>
      </c>
      <c r="D1864" s="1" t="s">
        <v>19</v>
      </c>
      <c r="E1864" s="1">
        <v>18</v>
      </c>
      <c r="F1864" s="1">
        <v>113.03</v>
      </c>
      <c r="G1864" s="1">
        <v>32.51</v>
      </c>
      <c r="H1864">
        <f t="shared" si="29"/>
        <v>2034.54</v>
      </c>
    </row>
    <row r="1865" spans="1:8" x14ac:dyDescent="0.25">
      <c r="A1865" s="1" t="s">
        <v>1878</v>
      </c>
      <c r="B1865" s="5">
        <v>45735.625</v>
      </c>
      <c r="C1865" s="1" t="s">
        <v>23</v>
      </c>
      <c r="D1865" s="1" t="s">
        <v>19</v>
      </c>
      <c r="E1865" s="1">
        <v>10</v>
      </c>
      <c r="F1865" s="1">
        <v>255.36</v>
      </c>
      <c r="G1865" s="1">
        <v>19.61</v>
      </c>
      <c r="H1865">
        <f t="shared" si="29"/>
        <v>2553.6000000000004</v>
      </c>
    </row>
    <row r="1866" spans="1:8" x14ac:dyDescent="0.25">
      <c r="A1866" s="1" t="s">
        <v>1879</v>
      </c>
      <c r="B1866" s="5">
        <v>45735.666666666664</v>
      </c>
      <c r="C1866" s="1" t="s">
        <v>11</v>
      </c>
      <c r="D1866" s="1" t="s">
        <v>9</v>
      </c>
      <c r="E1866" s="1">
        <v>11</v>
      </c>
      <c r="F1866" s="1">
        <v>170.78</v>
      </c>
      <c r="G1866" s="1">
        <v>14.76</v>
      </c>
      <c r="H1866">
        <f t="shared" si="29"/>
        <v>1878.58</v>
      </c>
    </row>
    <row r="1867" spans="1:8" x14ac:dyDescent="0.25">
      <c r="A1867" s="1" t="s">
        <v>1880</v>
      </c>
      <c r="B1867" s="5">
        <v>45735.708333333336</v>
      </c>
      <c r="C1867" s="1" t="s">
        <v>23</v>
      </c>
      <c r="D1867" s="1" t="s">
        <v>9</v>
      </c>
      <c r="E1867" s="1">
        <v>1</v>
      </c>
      <c r="F1867" s="1">
        <v>435.22</v>
      </c>
      <c r="G1867" s="1">
        <v>8.82</v>
      </c>
      <c r="H1867">
        <f t="shared" si="29"/>
        <v>435.22</v>
      </c>
    </row>
    <row r="1868" spans="1:8" x14ac:dyDescent="0.25">
      <c r="A1868" s="1" t="s">
        <v>1881</v>
      </c>
      <c r="B1868" s="5">
        <v>45735.75</v>
      </c>
      <c r="C1868" s="1" t="s">
        <v>23</v>
      </c>
      <c r="D1868" s="1" t="s">
        <v>9</v>
      </c>
      <c r="E1868" s="1">
        <v>1</v>
      </c>
      <c r="F1868" s="1">
        <v>434.16</v>
      </c>
      <c r="G1868" s="1">
        <v>32.93</v>
      </c>
      <c r="H1868">
        <f t="shared" si="29"/>
        <v>434.16</v>
      </c>
    </row>
    <row r="1869" spans="1:8" x14ac:dyDescent="0.25">
      <c r="A1869" s="1" t="s">
        <v>1882</v>
      </c>
      <c r="B1869" s="5">
        <v>45735.791666666664</v>
      </c>
      <c r="C1869" s="1" t="s">
        <v>13</v>
      </c>
      <c r="D1869" s="1" t="s">
        <v>37</v>
      </c>
      <c r="E1869" s="1">
        <v>13</v>
      </c>
      <c r="F1869" s="1">
        <v>208.29</v>
      </c>
      <c r="G1869" s="1">
        <v>44.69</v>
      </c>
      <c r="H1869">
        <f t="shared" si="29"/>
        <v>2707.77</v>
      </c>
    </row>
    <row r="1870" spans="1:8" x14ac:dyDescent="0.25">
      <c r="A1870" s="1" t="s">
        <v>1883</v>
      </c>
      <c r="B1870" s="5">
        <v>45735.833333333336</v>
      </c>
      <c r="C1870" s="1" t="s">
        <v>13</v>
      </c>
      <c r="D1870" s="1" t="s">
        <v>37</v>
      </c>
      <c r="E1870" s="1">
        <v>5</v>
      </c>
      <c r="F1870" s="1">
        <v>360.97</v>
      </c>
      <c r="G1870" s="1">
        <v>20.81</v>
      </c>
      <c r="H1870">
        <f t="shared" si="29"/>
        <v>1804.8500000000001</v>
      </c>
    </row>
    <row r="1871" spans="1:8" x14ac:dyDescent="0.25">
      <c r="A1871" s="1" t="s">
        <v>1884</v>
      </c>
      <c r="B1871" s="5">
        <v>45735.875</v>
      </c>
      <c r="C1871" s="1" t="s">
        <v>23</v>
      </c>
      <c r="D1871" s="1" t="s">
        <v>19</v>
      </c>
      <c r="E1871" s="1">
        <v>1</v>
      </c>
      <c r="F1871" s="1">
        <v>21.27</v>
      </c>
      <c r="G1871" s="1">
        <v>29.87</v>
      </c>
      <c r="H1871">
        <f t="shared" si="29"/>
        <v>21.27</v>
      </c>
    </row>
    <row r="1872" spans="1:8" x14ac:dyDescent="0.25">
      <c r="A1872" s="1" t="s">
        <v>1885</v>
      </c>
      <c r="B1872" s="5">
        <v>45735.916666666664</v>
      </c>
      <c r="C1872" s="1" t="s">
        <v>8</v>
      </c>
      <c r="D1872" s="1" t="s">
        <v>9</v>
      </c>
      <c r="E1872" s="1">
        <v>3</v>
      </c>
      <c r="F1872" s="1">
        <v>253.52</v>
      </c>
      <c r="G1872" s="1">
        <v>33.9</v>
      </c>
      <c r="H1872">
        <f t="shared" si="29"/>
        <v>760.56000000000006</v>
      </c>
    </row>
    <row r="1873" spans="1:8" x14ac:dyDescent="0.25">
      <c r="A1873" s="1" t="s">
        <v>1886</v>
      </c>
      <c r="B1873" s="5">
        <v>45735.958333333336</v>
      </c>
      <c r="C1873" s="1" t="s">
        <v>13</v>
      </c>
      <c r="D1873" s="1" t="s">
        <v>19</v>
      </c>
      <c r="E1873" s="1">
        <v>18</v>
      </c>
      <c r="F1873" s="1">
        <v>338.46</v>
      </c>
      <c r="G1873" s="1">
        <v>23.66</v>
      </c>
      <c r="H1873">
        <f t="shared" si="29"/>
        <v>6092.28</v>
      </c>
    </row>
    <row r="1874" spans="1:8" x14ac:dyDescent="0.25">
      <c r="A1874" s="1" t="s">
        <v>1887</v>
      </c>
      <c r="B1874" s="5">
        <v>45736</v>
      </c>
      <c r="C1874" s="1" t="s">
        <v>8</v>
      </c>
      <c r="D1874" s="1" t="s">
        <v>16</v>
      </c>
      <c r="E1874" s="1">
        <v>9</v>
      </c>
      <c r="F1874" s="1">
        <v>109.76</v>
      </c>
      <c r="G1874" s="1">
        <v>45.65</v>
      </c>
      <c r="H1874">
        <f t="shared" si="29"/>
        <v>987.84</v>
      </c>
    </row>
    <row r="1875" spans="1:8" x14ac:dyDescent="0.25">
      <c r="A1875" s="1" t="s">
        <v>1888</v>
      </c>
      <c r="B1875" s="5">
        <v>45736.041666666664</v>
      </c>
      <c r="C1875" s="1" t="s">
        <v>23</v>
      </c>
      <c r="D1875" s="1" t="s">
        <v>16</v>
      </c>
      <c r="E1875" s="1">
        <v>14</v>
      </c>
      <c r="F1875" s="1">
        <v>42.08</v>
      </c>
      <c r="G1875" s="1">
        <v>21.32</v>
      </c>
      <c r="H1875">
        <f t="shared" si="29"/>
        <v>589.12</v>
      </c>
    </row>
    <row r="1876" spans="1:8" x14ac:dyDescent="0.25">
      <c r="A1876" s="1" t="s">
        <v>1889</v>
      </c>
      <c r="B1876" s="5">
        <v>45736.083333333336</v>
      </c>
      <c r="C1876" s="1" t="s">
        <v>23</v>
      </c>
      <c r="D1876" s="1" t="s">
        <v>9</v>
      </c>
      <c r="E1876" s="1">
        <v>17</v>
      </c>
      <c r="F1876" s="1">
        <v>83.25</v>
      </c>
      <c r="G1876" s="1">
        <v>10.63</v>
      </c>
      <c r="H1876">
        <f t="shared" si="29"/>
        <v>1415.25</v>
      </c>
    </row>
    <row r="1877" spans="1:8" x14ac:dyDescent="0.25">
      <c r="A1877" s="1" t="s">
        <v>1890</v>
      </c>
      <c r="B1877" s="5">
        <v>45736.125</v>
      </c>
      <c r="C1877" s="1" t="s">
        <v>11</v>
      </c>
      <c r="D1877" s="1" t="s">
        <v>9</v>
      </c>
      <c r="E1877" s="1">
        <v>14</v>
      </c>
      <c r="F1877" s="1">
        <v>207.48</v>
      </c>
      <c r="G1877" s="1">
        <v>11.48</v>
      </c>
      <c r="H1877">
        <f t="shared" si="29"/>
        <v>2904.72</v>
      </c>
    </row>
    <row r="1878" spans="1:8" x14ac:dyDescent="0.25">
      <c r="A1878" s="1" t="s">
        <v>1891</v>
      </c>
      <c r="B1878" s="5">
        <v>45736.166666666664</v>
      </c>
      <c r="C1878" s="1" t="s">
        <v>13</v>
      </c>
      <c r="D1878" s="1" t="s">
        <v>16</v>
      </c>
      <c r="E1878" s="1">
        <v>4</v>
      </c>
      <c r="F1878" s="1">
        <v>235.52</v>
      </c>
      <c r="G1878" s="1">
        <v>45.09</v>
      </c>
      <c r="H1878">
        <f t="shared" si="29"/>
        <v>942.08</v>
      </c>
    </row>
    <row r="1879" spans="1:8" x14ac:dyDescent="0.25">
      <c r="A1879" s="1" t="s">
        <v>1892</v>
      </c>
      <c r="B1879" s="5">
        <v>45736.208333333336</v>
      </c>
      <c r="C1879" s="1" t="s">
        <v>23</v>
      </c>
      <c r="D1879" s="1" t="s">
        <v>9</v>
      </c>
      <c r="E1879" s="1">
        <v>5</v>
      </c>
      <c r="F1879" s="1">
        <v>180.99</v>
      </c>
      <c r="G1879" s="1">
        <v>49.46</v>
      </c>
      <c r="H1879">
        <f t="shared" si="29"/>
        <v>904.95</v>
      </c>
    </row>
    <row r="1880" spans="1:8" x14ac:dyDescent="0.25">
      <c r="A1880" s="1" t="s">
        <v>1893</v>
      </c>
      <c r="B1880" s="5">
        <v>45736.25</v>
      </c>
      <c r="C1880" s="1" t="s">
        <v>11</v>
      </c>
      <c r="D1880" s="1" t="s">
        <v>37</v>
      </c>
      <c r="E1880" s="1">
        <v>17</v>
      </c>
      <c r="F1880" s="1">
        <v>206.67</v>
      </c>
      <c r="G1880" s="1">
        <v>18</v>
      </c>
      <c r="H1880">
        <f t="shared" si="29"/>
        <v>3513.39</v>
      </c>
    </row>
    <row r="1881" spans="1:8" x14ac:dyDescent="0.25">
      <c r="A1881" s="1" t="s">
        <v>1894</v>
      </c>
      <c r="B1881" s="5">
        <v>45736.291666666664</v>
      </c>
      <c r="C1881" s="1" t="s">
        <v>13</v>
      </c>
      <c r="D1881" s="1" t="s">
        <v>37</v>
      </c>
      <c r="E1881" s="1">
        <v>2</v>
      </c>
      <c r="F1881" s="1">
        <v>219.82</v>
      </c>
      <c r="G1881" s="1">
        <v>11.46</v>
      </c>
      <c r="H1881">
        <f t="shared" si="29"/>
        <v>439.64</v>
      </c>
    </row>
    <row r="1882" spans="1:8" x14ac:dyDescent="0.25">
      <c r="A1882" s="1" t="s">
        <v>1895</v>
      </c>
      <c r="B1882" s="5">
        <v>45736.333333333336</v>
      </c>
      <c r="C1882" s="1" t="s">
        <v>23</v>
      </c>
      <c r="D1882" s="1" t="s">
        <v>9</v>
      </c>
      <c r="E1882" s="1">
        <v>5</v>
      </c>
      <c r="F1882" s="1">
        <v>349.82</v>
      </c>
      <c r="G1882" s="1">
        <v>26.7</v>
      </c>
      <c r="H1882">
        <f t="shared" si="29"/>
        <v>1749.1</v>
      </c>
    </row>
    <row r="1883" spans="1:8" x14ac:dyDescent="0.25">
      <c r="A1883" s="1" t="s">
        <v>1896</v>
      </c>
      <c r="B1883" s="5">
        <v>45736.375</v>
      </c>
      <c r="C1883" s="1" t="s">
        <v>23</v>
      </c>
      <c r="D1883" s="1" t="s">
        <v>16</v>
      </c>
      <c r="E1883" s="1">
        <v>4</v>
      </c>
      <c r="F1883" s="1">
        <v>61.23</v>
      </c>
      <c r="G1883" s="1">
        <v>36.93</v>
      </c>
      <c r="H1883">
        <f t="shared" si="29"/>
        <v>244.92</v>
      </c>
    </row>
    <row r="1884" spans="1:8" x14ac:dyDescent="0.25">
      <c r="A1884" s="1" t="s">
        <v>1897</v>
      </c>
      <c r="B1884" s="5">
        <v>45736.416666666664</v>
      </c>
      <c r="C1884" s="1" t="s">
        <v>13</v>
      </c>
      <c r="D1884" s="1" t="s">
        <v>19</v>
      </c>
      <c r="E1884" s="1">
        <v>4</v>
      </c>
      <c r="F1884" s="1">
        <v>349.61</v>
      </c>
      <c r="G1884" s="1">
        <v>32.56</v>
      </c>
      <c r="H1884">
        <f t="shared" si="29"/>
        <v>1398.44</v>
      </c>
    </row>
    <row r="1885" spans="1:8" x14ac:dyDescent="0.25">
      <c r="A1885" s="1" t="s">
        <v>1898</v>
      </c>
      <c r="B1885" s="5">
        <v>45736.458333333336</v>
      </c>
      <c r="C1885" s="1" t="s">
        <v>13</v>
      </c>
      <c r="D1885" s="1" t="s">
        <v>9</v>
      </c>
      <c r="E1885" s="1">
        <v>6</v>
      </c>
      <c r="F1885" s="1">
        <v>314.70999999999998</v>
      </c>
      <c r="G1885" s="1">
        <v>47.8</v>
      </c>
      <c r="H1885">
        <f t="shared" si="29"/>
        <v>1888.2599999999998</v>
      </c>
    </row>
    <row r="1886" spans="1:8" x14ac:dyDescent="0.25">
      <c r="A1886" s="1" t="s">
        <v>1899</v>
      </c>
      <c r="B1886" s="5">
        <v>45736.5</v>
      </c>
      <c r="C1886" s="1" t="s">
        <v>13</v>
      </c>
      <c r="D1886" s="1" t="s">
        <v>9</v>
      </c>
      <c r="E1886" s="1">
        <v>13</v>
      </c>
      <c r="F1886" s="1">
        <v>337.75</v>
      </c>
      <c r="G1886" s="1">
        <v>41.8</v>
      </c>
      <c r="H1886">
        <f t="shared" si="29"/>
        <v>4390.75</v>
      </c>
    </row>
    <row r="1887" spans="1:8" x14ac:dyDescent="0.25">
      <c r="A1887" s="1" t="s">
        <v>1900</v>
      </c>
      <c r="B1887" s="5">
        <v>45736.541666666664</v>
      </c>
      <c r="C1887" s="1" t="s">
        <v>23</v>
      </c>
      <c r="D1887" s="1" t="s">
        <v>19</v>
      </c>
      <c r="E1887" s="1">
        <v>5</v>
      </c>
      <c r="F1887" s="1">
        <v>334.63</v>
      </c>
      <c r="G1887" s="1">
        <v>44.1</v>
      </c>
      <c r="H1887">
        <f t="shared" si="29"/>
        <v>1673.15</v>
      </c>
    </row>
    <row r="1888" spans="1:8" x14ac:dyDescent="0.25">
      <c r="A1888" s="1" t="s">
        <v>1901</v>
      </c>
      <c r="B1888" s="5">
        <v>45736.583333333336</v>
      </c>
      <c r="C1888" s="1" t="s">
        <v>23</v>
      </c>
      <c r="D1888" s="1" t="s">
        <v>9</v>
      </c>
      <c r="E1888" s="1">
        <v>7</v>
      </c>
      <c r="F1888" s="1">
        <v>219.97</v>
      </c>
      <c r="G1888" s="1">
        <v>29.38</v>
      </c>
      <c r="H1888">
        <f t="shared" si="29"/>
        <v>1539.79</v>
      </c>
    </row>
    <row r="1889" spans="1:8" x14ac:dyDescent="0.25">
      <c r="A1889" s="1" t="s">
        <v>1902</v>
      </c>
      <c r="B1889" s="5">
        <v>45736.625</v>
      </c>
      <c r="C1889" s="1" t="s">
        <v>11</v>
      </c>
      <c r="D1889" s="1" t="s">
        <v>19</v>
      </c>
      <c r="E1889" s="1">
        <v>1</v>
      </c>
      <c r="F1889" s="1">
        <v>107.35</v>
      </c>
      <c r="G1889" s="1">
        <v>19.73</v>
      </c>
      <c r="H1889">
        <f t="shared" si="29"/>
        <v>107.35</v>
      </c>
    </row>
    <row r="1890" spans="1:8" x14ac:dyDescent="0.25">
      <c r="A1890" s="1" t="s">
        <v>1903</v>
      </c>
      <c r="B1890" s="5">
        <v>45736.666666666664</v>
      </c>
      <c r="C1890" s="1" t="s">
        <v>8</v>
      </c>
      <c r="D1890" s="1" t="s">
        <v>16</v>
      </c>
      <c r="E1890" s="1">
        <v>14</v>
      </c>
      <c r="F1890" s="1">
        <v>248.67</v>
      </c>
      <c r="G1890" s="1">
        <v>36.58</v>
      </c>
      <c r="H1890">
        <f t="shared" si="29"/>
        <v>3481.3799999999997</v>
      </c>
    </row>
    <row r="1891" spans="1:8" x14ac:dyDescent="0.25">
      <c r="A1891" s="1" t="s">
        <v>1904</v>
      </c>
      <c r="B1891" s="5">
        <v>45736.708333333336</v>
      </c>
      <c r="C1891" s="1" t="s">
        <v>13</v>
      </c>
      <c r="D1891" s="1" t="s">
        <v>37</v>
      </c>
      <c r="E1891" s="1">
        <v>4</v>
      </c>
      <c r="F1891" s="1">
        <v>431.74</v>
      </c>
      <c r="G1891" s="1">
        <v>24.76</v>
      </c>
      <c r="H1891">
        <f t="shared" si="29"/>
        <v>1726.96</v>
      </c>
    </row>
    <row r="1892" spans="1:8" x14ac:dyDescent="0.25">
      <c r="A1892" s="1" t="s">
        <v>1905</v>
      </c>
      <c r="B1892" s="5">
        <v>45736.75</v>
      </c>
      <c r="C1892" s="1" t="s">
        <v>23</v>
      </c>
      <c r="D1892" s="1" t="s">
        <v>16</v>
      </c>
      <c r="E1892" s="1">
        <v>17</v>
      </c>
      <c r="F1892" s="1">
        <v>271.20999999999998</v>
      </c>
      <c r="G1892" s="1">
        <v>17.95</v>
      </c>
      <c r="H1892">
        <f t="shared" si="29"/>
        <v>4610.57</v>
      </c>
    </row>
    <row r="1893" spans="1:8" x14ac:dyDescent="0.25">
      <c r="A1893" s="1" t="s">
        <v>1906</v>
      </c>
      <c r="B1893" s="5">
        <v>45736.791666666664</v>
      </c>
      <c r="C1893" s="1" t="s">
        <v>23</v>
      </c>
      <c r="D1893" s="1" t="s">
        <v>37</v>
      </c>
      <c r="E1893" s="1">
        <v>14</v>
      </c>
      <c r="F1893" s="1">
        <v>20.3</v>
      </c>
      <c r="G1893" s="1">
        <v>11.85</v>
      </c>
      <c r="H1893">
        <f t="shared" si="29"/>
        <v>284.2</v>
      </c>
    </row>
    <row r="1894" spans="1:8" x14ac:dyDescent="0.25">
      <c r="A1894" s="1" t="s">
        <v>1907</v>
      </c>
      <c r="B1894" s="5">
        <v>45736.833333333336</v>
      </c>
      <c r="C1894" s="1" t="s">
        <v>13</v>
      </c>
      <c r="D1894" s="1" t="s">
        <v>19</v>
      </c>
      <c r="E1894" s="1">
        <v>16</v>
      </c>
      <c r="F1894" s="1">
        <v>41.44</v>
      </c>
      <c r="G1894" s="1">
        <v>28.75</v>
      </c>
      <c r="H1894">
        <f t="shared" si="29"/>
        <v>663.04</v>
      </c>
    </row>
    <row r="1895" spans="1:8" x14ac:dyDescent="0.25">
      <c r="A1895" s="1" t="s">
        <v>1908</v>
      </c>
      <c r="B1895" s="5">
        <v>45736.875</v>
      </c>
      <c r="C1895" s="1" t="s">
        <v>8</v>
      </c>
      <c r="D1895" s="1" t="s">
        <v>37</v>
      </c>
      <c r="E1895" s="1">
        <v>14</v>
      </c>
      <c r="F1895" s="1">
        <v>446.9</v>
      </c>
      <c r="G1895" s="1">
        <v>31.74</v>
      </c>
      <c r="H1895">
        <f t="shared" si="29"/>
        <v>6256.5999999999995</v>
      </c>
    </row>
    <row r="1896" spans="1:8" x14ac:dyDescent="0.25">
      <c r="A1896" s="1" t="s">
        <v>1909</v>
      </c>
      <c r="B1896" s="5">
        <v>45736.916666666664</v>
      </c>
      <c r="C1896" s="1" t="s">
        <v>13</v>
      </c>
      <c r="D1896" s="1" t="s">
        <v>16</v>
      </c>
      <c r="E1896" s="1">
        <v>16</v>
      </c>
      <c r="F1896" s="1">
        <v>46.76</v>
      </c>
      <c r="G1896" s="1">
        <v>30.6</v>
      </c>
      <c r="H1896">
        <f t="shared" si="29"/>
        <v>748.16</v>
      </c>
    </row>
    <row r="1897" spans="1:8" x14ac:dyDescent="0.25">
      <c r="A1897" s="1" t="s">
        <v>1910</v>
      </c>
      <c r="B1897" s="5">
        <v>45736.958333333336</v>
      </c>
      <c r="C1897" s="1" t="s">
        <v>8</v>
      </c>
      <c r="D1897" s="1" t="s">
        <v>37</v>
      </c>
      <c r="E1897" s="1">
        <v>8</v>
      </c>
      <c r="F1897" s="1">
        <v>35.51</v>
      </c>
      <c r="G1897" s="1">
        <v>10.24</v>
      </c>
      <c r="H1897">
        <f t="shared" si="29"/>
        <v>284.08</v>
      </c>
    </row>
    <row r="1898" spans="1:8" x14ac:dyDescent="0.25">
      <c r="A1898" s="1" t="s">
        <v>1911</v>
      </c>
      <c r="B1898" s="5">
        <v>45737</v>
      </c>
      <c r="C1898" s="1" t="s">
        <v>23</v>
      </c>
      <c r="D1898" s="1" t="s">
        <v>19</v>
      </c>
      <c r="E1898" s="1">
        <v>3</v>
      </c>
      <c r="F1898" s="1">
        <v>168.89</v>
      </c>
      <c r="G1898" s="1">
        <v>30.65</v>
      </c>
      <c r="H1898">
        <f t="shared" si="29"/>
        <v>506.66999999999996</v>
      </c>
    </row>
    <row r="1899" spans="1:8" x14ac:dyDescent="0.25">
      <c r="A1899" s="1" t="s">
        <v>1912</v>
      </c>
      <c r="B1899" s="5">
        <v>45737.041666666664</v>
      </c>
      <c r="C1899" s="1" t="s">
        <v>8</v>
      </c>
      <c r="D1899" s="1" t="s">
        <v>37</v>
      </c>
      <c r="E1899" s="1">
        <v>19</v>
      </c>
      <c r="F1899" s="1">
        <v>436.67</v>
      </c>
      <c r="G1899" s="1">
        <v>12.58</v>
      </c>
      <c r="H1899">
        <f t="shared" si="29"/>
        <v>8296.73</v>
      </c>
    </row>
    <row r="1900" spans="1:8" x14ac:dyDescent="0.25">
      <c r="A1900" s="1" t="s">
        <v>1913</v>
      </c>
      <c r="B1900" s="5">
        <v>45737.083333333336</v>
      </c>
      <c r="C1900" s="1" t="s">
        <v>11</v>
      </c>
      <c r="D1900" s="1" t="s">
        <v>9</v>
      </c>
      <c r="E1900" s="1">
        <v>1</v>
      </c>
      <c r="F1900" s="1">
        <v>153.96</v>
      </c>
      <c r="G1900" s="1">
        <v>34.869999999999997</v>
      </c>
      <c r="H1900">
        <f t="shared" si="29"/>
        <v>153.96</v>
      </c>
    </row>
    <row r="1901" spans="1:8" x14ac:dyDescent="0.25">
      <c r="A1901" s="1" t="s">
        <v>1914</v>
      </c>
      <c r="B1901" s="5">
        <v>45737.125</v>
      </c>
      <c r="C1901" s="1" t="s">
        <v>23</v>
      </c>
      <c r="D1901" s="1" t="s">
        <v>16</v>
      </c>
      <c r="E1901" s="1">
        <v>2</v>
      </c>
      <c r="F1901" s="1">
        <v>193.59</v>
      </c>
      <c r="G1901" s="1">
        <v>24.32</v>
      </c>
      <c r="H1901">
        <f t="shared" si="29"/>
        <v>387.18</v>
      </c>
    </row>
    <row r="1902" spans="1:8" x14ac:dyDescent="0.25">
      <c r="A1902" s="1" t="s">
        <v>1915</v>
      </c>
      <c r="B1902" s="5">
        <v>45737.166666666664</v>
      </c>
      <c r="C1902" s="1" t="s">
        <v>11</v>
      </c>
      <c r="D1902" s="1" t="s">
        <v>9</v>
      </c>
      <c r="E1902" s="1">
        <v>15</v>
      </c>
      <c r="F1902" s="1">
        <v>291.01</v>
      </c>
      <c r="G1902" s="1">
        <v>43.2</v>
      </c>
      <c r="H1902">
        <f t="shared" si="29"/>
        <v>4365.1499999999996</v>
      </c>
    </row>
    <row r="1903" spans="1:8" x14ac:dyDescent="0.25">
      <c r="A1903" s="1" t="s">
        <v>1916</v>
      </c>
      <c r="B1903" s="5">
        <v>45737.208333333336</v>
      </c>
      <c r="C1903" s="1" t="s">
        <v>13</v>
      </c>
      <c r="D1903" s="1" t="s">
        <v>19</v>
      </c>
      <c r="E1903" s="1">
        <v>10</v>
      </c>
      <c r="F1903" s="1">
        <v>25.98</v>
      </c>
      <c r="G1903" s="1">
        <v>40.020000000000003</v>
      </c>
      <c r="H1903">
        <f t="shared" si="29"/>
        <v>259.8</v>
      </c>
    </row>
    <row r="1904" spans="1:8" x14ac:dyDescent="0.25">
      <c r="A1904" s="1" t="s">
        <v>1917</v>
      </c>
      <c r="B1904" s="5">
        <v>45737.25</v>
      </c>
      <c r="C1904" s="1" t="s">
        <v>13</v>
      </c>
      <c r="D1904" s="1" t="s">
        <v>37</v>
      </c>
      <c r="E1904" s="1">
        <v>18</v>
      </c>
      <c r="F1904" s="1">
        <v>405.58</v>
      </c>
      <c r="G1904" s="1">
        <v>37.6</v>
      </c>
      <c r="H1904">
        <f t="shared" si="29"/>
        <v>7300.44</v>
      </c>
    </row>
    <row r="1905" spans="1:8" x14ac:dyDescent="0.25">
      <c r="A1905" s="1" t="s">
        <v>1918</v>
      </c>
      <c r="B1905" s="5">
        <v>45737.291666666664</v>
      </c>
      <c r="C1905" s="1" t="s">
        <v>13</v>
      </c>
      <c r="D1905" s="1" t="s">
        <v>9</v>
      </c>
      <c r="E1905" s="1">
        <v>14</v>
      </c>
      <c r="F1905" s="1">
        <v>241.2</v>
      </c>
      <c r="G1905" s="1">
        <v>36.53</v>
      </c>
      <c r="H1905">
        <f t="shared" si="29"/>
        <v>3376.7999999999997</v>
      </c>
    </row>
    <row r="1906" spans="1:8" x14ac:dyDescent="0.25">
      <c r="A1906" s="1" t="s">
        <v>1919</v>
      </c>
      <c r="B1906" s="5">
        <v>45737.333333333336</v>
      </c>
      <c r="C1906" s="1" t="s">
        <v>8</v>
      </c>
      <c r="D1906" s="1" t="s">
        <v>9</v>
      </c>
      <c r="E1906" s="1">
        <v>17</v>
      </c>
      <c r="F1906" s="1">
        <v>218.33</v>
      </c>
      <c r="G1906" s="1">
        <v>30.22</v>
      </c>
      <c r="H1906">
        <f t="shared" si="29"/>
        <v>3711.61</v>
      </c>
    </row>
    <row r="1907" spans="1:8" x14ac:dyDescent="0.25">
      <c r="A1907" s="1" t="s">
        <v>1920</v>
      </c>
      <c r="B1907" s="5">
        <v>45737.375</v>
      </c>
      <c r="C1907" s="1" t="s">
        <v>23</v>
      </c>
      <c r="D1907" s="1" t="s">
        <v>37</v>
      </c>
      <c r="E1907" s="1">
        <v>13</v>
      </c>
      <c r="F1907" s="1">
        <v>389.49</v>
      </c>
      <c r="G1907" s="1">
        <v>7.75</v>
      </c>
      <c r="H1907">
        <f t="shared" si="29"/>
        <v>5063.37</v>
      </c>
    </row>
    <row r="1908" spans="1:8" x14ac:dyDescent="0.25">
      <c r="A1908" s="1" t="s">
        <v>1921</v>
      </c>
      <c r="B1908" s="5">
        <v>45737.416666666664</v>
      </c>
      <c r="C1908" s="1" t="s">
        <v>13</v>
      </c>
      <c r="D1908" s="1" t="s">
        <v>37</v>
      </c>
      <c r="E1908" s="1">
        <v>1</v>
      </c>
      <c r="F1908" s="1">
        <v>429.61</v>
      </c>
      <c r="G1908" s="1">
        <v>34.5</v>
      </c>
      <c r="H1908">
        <f t="shared" si="29"/>
        <v>429.61</v>
      </c>
    </row>
    <row r="1909" spans="1:8" x14ac:dyDescent="0.25">
      <c r="A1909" s="1" t="s">
        <v>1922</v>
      </c>
      <c r="B1909" s="5">
        <v>45737.458333333336</v>
      </c>
      <c r="C1909" s="1" t="s">
        <v>13</v>
      </c>
      <c r="D1909" s="1" t="s">
        <v>16</v>
      </c>
      <c r="E1909" s="1">
        <v>5</v>
      </c>
      <c r="F1909" s="1">
        <v>199.48</v>
      </c>
      <c r="G1909" s="1">
        <v>26.01</v>
      </c>
      <c r="H1909">
        <f t="shared" si="29"/>
        <v>997.4</v>
      </c>
    </row>
    <row r="1910" spans="1:8" x14ac:dyDescent="0.25">
      <c r="A1910" s="1" t="s">
        <v>1923</v>
      </c>
      <c r="B1910" s="5">
        <v>45737.5</v>
      </c>
      <c r="C1910" s="1" t="s">
        <v>23</v>
      </c>
      <c r="D1910" s="1" t="s">
        <v>9</v>
      </c>
      <c r="E1910" s="1">
        <v>13</v>
      </c>
      <c r="F1910" s="1">
        <v>90.43</v>
      </c>
      <c r="G1910" s="1">
        <v>26.13</v>
      </c>
      <c r="H1910">
        <f t="shared" si="29"/>
        <v>1175.5900000000001</v>
      </c>
    </row>
    <row r="1911" spans="1:8" x14ac:dyDescent="0.25">
      <c r="A1911" s="1" t="s">
        <v>1924</v>
      </c>
      <c r="B1911" s="5">
        <v>45737.541666666664</v>
      </c>
      <c r="C1911" s="1" t="s">
        <v>13</v>
      </c>
      <c r="D1911" s="1" t="s">
        <v>9</v>
      </c>
      <c r="E1911" s="1">
        <v>14</v>
      </c>
      <c r="F1911" s="1">
        <v>369.93</v>
      </c>
      <c r="G1911" s="1">
        <v>22.06</v>
      </c>
      <c r="H1911">
        <f t="shared" si="29"/>
        <v>5179.0200000000004</v>
      </c>
    </row>
    <row r="1912" spans="1:8" x14ac:dyDescent="0.25">
      <c r="A1912" s="1" t="s">
        <v>1925</v>
      </c>
      <c r="B1912" s="5">
        <v>45737.583333333336</v>
      </c>
      <c r="C1912" s="1" t="s">
        <v>11</v>
      </c>
      <c r="D1912" s="1" t="s">
        <v>19</v>
      </c>
      <c r="E1912" s="1">
        <v>3</v>
      </c>
      <c r="F1912" s="1">
        <v>190.72</v>
      </c>
      <c r="G1912" s="1">
        <v>46.81</v>
      </c>
      <c r="H1912">
        <f t="shared" si="29"/>
        <v>572.16</v>
      </c>
    </row>
    <row r="1913" spans="1:8" x14ac:dyDescent="0.25">
      <c r="A1913" s="1" t="s">
        <v>1926</v>
      </c>
      <c r="B1913" s="5">
        <v>45737.625</v>
      </c>
      <c r="C1913" s="1" t="s">
        <v>23</v>
      </c>
      <c r="D1913" s="1" t="s">
        <v>16</v>
      </c>
      <c r="E1913" s="1">
        <v>15</v>
      </c>
      <c r="F1913" s="1">
        <v>421.99</v>
      </c>
      <c r="G1913" s="1">
        <v>16.23</v>
      </c>
      <c r="H1913">
        <f t="shared" si="29"/>
        <v>6329.85</v>
      </c>
    </row>
    <row r="1914" spans="1:8" x14ac:dyDescent="0.25">
      <c r="A1914" s="1" t="s">
        <v>1927</v>
      </c>
      <c r="B1914" s="5">
        <v>45737.666666666664</v>
      </c>
      <c r="C1914" s="1" t="s">
        <v>23</v>
      </c>
      <c r="D1914" s="1" t="s">
        <v>19</v>
      </c>
      <c r="E1914" s="1">
        <v>19</v>
      </c>
      <c r="F1914" s="1">
        <v>428.23</v>
      </c>
      <c r="G1914" s="1">
        <v>19.25</v>
      </c>
      <c r="H1914">
        <f t="shared" si="29"/>
        <v>8136.3700000000008</v>
      </c>
    </row>
    <row r="1915" spans="1:8" x14ac:dyDescent="0.25">
      <c r="A1915" s="1" t="s">
        <v>1928</v>
      </c>
      <c r="B1915" s="5">
        <v>45737.708333333336</v>
      </c>
      <c r="C1915" s="1" t="s">
        <v>23</v>
      </c>
      <c r="D1915" s="1" t="s">
        <v>9</v>
      </c>
      <c r="E1915" s="1">
        <v>17</v>
      </c>
      <c r="F1915" s="1">
        <v>65.39</v>
      </c>
      <c r="G1915" s="1">
        <v>48.34</v>
      </c>
      <c r="H1915">
        <f t="shared" si="29"/>
        <v>1111.6300000000001</v>
      </c>
    </row>
    <row r="1916" spans="1:8" x14ac:dyDescent="0.25">
      <c r="A1916" s="1" t="s">
        <v>1929</v>
      </c>
      <c r="B1916" s="5">
        <v>45737.75</v>
      </c>
      <c r="C1916" s="1" t="s">
        <v>11</v>
      </c>
      <c r="D1916" s="1" t="s">
        <v>19</v>
      </c>
      <c r="E1916" s="1">
        <v>3</v>
      </c>
      <c r="F1916" s="1">
        <v>431.12</v>
      </c>
      <c r="G1916" s="1">
        <v>41.46</v>
      </c>
      <c r="H1916">
        <f t="shared" si="29"/>
        <v>1293.3600000000001</v>
      </c>
    </row>
    <row r="1917" spans="1:8" x14ac:dyDescent="0.25">
      <c r="A1917" s="1" t="s">
        <v>1930</v>
      </c>
      <c r="B1917" s="5">
        <v>45737.791666666664</v>
      </c>
      <c r="C1917" s="1" t="s">
        <v>23</v>
      </c>
      <c r="D1917" s="1" t="s">
        <v>9</v>
      </c>
      <c r="E1917" s="1">
        <v>16</v>
      </c>
      <c r="F1917" s="1">
        <v>175.51</v>
      </c>
      <c r="G1917" s="1">
        <v>5.63</v>
      </c>
      <c r="H1917">
        <f t="shared" si="29"/>
        <v>2808.16</v>
      </c>
    </row>
    <row r="1918" spans="1:8" x14ac:dyDescent="0.25">
      <c r="A1918" s="1" t="s">
        <v>1931</v>
      </c>
      <c r="B1918" s="5">
        <v>45737.833333333336</v>
      </c>
      <c r="C1918" s="1" t="s">
        <v>11</v>
      </c>
      <c r="D1918" s="1" t="s">
        <v>9</v>
      </c>
      <c r="E1918" s="1">
        <v>14</v>
      </c>
      <c r="F1918" s="1">
        <v>296.3</v>
      </c>
      <c r="G1918" s="1">
        <v>45.77</v>
      </c>
      <c r="H1918">
        <f t="shared" si="29"/>
        <v>4148.2</v>
      </c>
    </row>
    <row r="1919" spans="1:8" x14ac:dyDescent="0.25">
      <c r="A1919" s="1" t="s">
        <v>1932</v>
      </c>
      <c r="B1919" s="5">
        <v>45737.875</v>
      </c>
      <c r="C1919" s="1" t="s">
        <v>23</v>
      </c>
      <c r="D1919" s="1" t="s">
        <v>19</v>
      </c>
      <c r="E1919" s="1">
        <v>12</v>
      </c>
      <c r="F1919" s="1">
        <v>30.6</v>
      </c>
      <c r="G1919" s="1">
        <v>15.2</v>
      </c>
      <c r="H1919">
        <f t="shared" si="29"/>
        <v>367.20000000000005</v>
      </c>
    </row>
    <row r="1920" spans="1:8" x14ac:dyDescent="0.25">
      <c r="A1920" s="1" t="s">
        <v>1933</v>
      </c>
      <c r="B1920" s="5">
        <v>45737.916666666664</v>
      </c>
      <c r="C1920" s="1" t="s">
        <v>8</v>
      </c>
      <c r="D1920" s="1" t="s">
        <v>19</v>
      </c>
      <c r="E1920" s="1">
        <v>12</v>
      </c>
      <c r="F1920" s="1">
        <v>401.72</v>
      </c>
      <c r="G1920" s="1">
        <v>36.770000000000003</v>
      </c>
      <c r="H1920">
        <f t="shared" si="29"/>
        <v>4820.6400000000003</v>
      </c>
    </row>
    <row r="1921" spans="1:8" x14ac:dyDescent="0.25">
      <c r="A1921" s="1" t="s">
        <v>1934</v>
      </c>
      <c r="B1921" s="5">
        <v>45737.958333333336</v>
      </c>
      <c r="C1921" s="1" t="s">
        <v>13</v>
      </c>
      <c r="D1921" s="1" t="s">
        <v>37</v>
      </c>
      <c r="E1921" s="1">
        <v>11</v>
      </c>
      <c r="F1921" s="1">
        <v>294.27</v>
      </c>
      <c r="G1921" s="1">
        <v>29.89</v>
      </c>
      <c r="H1921">
        <f t="shared" si="29"/>
        <v>3236.97</v>
      </c>
    </row>
    <row r="1922" spans="1:8" x14ac:dyDescent="0.25">
      <c r="A1922" s="1" t="s">
        <v>1935</v>
      </c>
      <c r="B1922" s="5">
        <v>45738</v>
      </c>
      <c r="C1922" s="1" t="s">
        <v>8</v>
      </c>
      <c r="D1922" s="1" t="s">
        <v>37</v>
      </c>
      <c r="E1922" s="1">
        <v>17</v>
      </c>
      <c r="F1922" s="1">
        <v>295.12</v>
      </c>
      <c r="G1922" s="1">
        <v>29.16</v>
      </c>
      <c r="H1922">
        <f t="shared" ref="H1922:H1985" si="30">E1922*F1922</f>
        <v>5017.04</v>
      </c>
    </row>
    <row r="1923" spans="1:8" x14ac:dyDescent="0.25">
      <c r="A1923" s="1" t="s">
        <v>1936</v>
      </c>
      <c r="B1923" s="5">
        <v>45738.041666666664</v>
      </c>
      <c r="C1923" s="1" t="s">
        <v>13</v>
      </c>
      <c r="D1923" s="1" t="s">
        <v>37</v>
      </c>
      <c r="E1923" s="1">
        <v>8</v>
      </c>
      <c r="F1923" s="1">
        <v>407.5</v>
      </c>
      <c r="G1923" s="1">
        <v>37.31</v>
      </c>
      <c r="H1923">
        <f t="shared" si="30"/>
        <v>3260</v>
      </c>
    </row>
    <row r="1924" spans="1:8" x14ac:dyDescent="0.25">
      <c r="A1924" s="1" t="s">
        <v>1937</v>
      </c>
      <c r="B1924" s="5">
        <v>45738.083333333336</v>
      </c>
      <c r="C1924" s="1" t="s">
        <v>11</v>
      </c>
      <c r="D1924" s="1" t="s">
        <v>9</v>
      </c>
      <c r="E1924" s="1">
        <v>17</v>
      </c>
      <c r="F1924" s="1">
        <v>236.38</v>
      </c>
      <c r="G1924" s="1">
        <v>14.32</v>
      </c>
      <c r="H1924">
        <f t="shared" si="30"/>
        <v>4018.46</v>
      </c>
    </row>
    <row r="1925" spans="1:8" x14ac:dyDescent="0.25">
      <c r="A1925" s="1" t="s">
        <v>1938</v>
      </c>
      <c r="B1925" s="5">
        <v>45738.125</v>
      </c>
      <c r="C1925" s="1" t="s">
        <v>8</v>
      </c>
      <c r="D1925" s="1" t="s">
        <v>19</v>
      </c>
      <c r="E1925" s="1">
        <v>11</v>
      </c>
      <c r="F1925" s="1">
        <v>193.87</v>
      </c>
      <c r="G1925" s="1">
        <v>12.16</v>
      </c>
      <c r="H1925">
        <f t="shared" si="30"/>
        <v>2132.5700000000002</v>
      </c>
    </row>
    <row r="1926" spans="1:8" x14ac:dyDescent="0.25">
      <c r="A1926" s="1" t="s">
        <v>1939</v>
      </c>
      <c r="B1926" s="5">
        <v>45738.166666666664</v>
      </c>
      <c r="C1926" s="1" t="s">
        <v>23</v>
      </c>
      <c r="D1926" s="1" t="s">
        <v>16</v>
      </c>
      <c r="E1926" s="1">
        <v>2</v>
      </c>
      <c r="F1926" s="1">
        <v>391.83</v>
      </c>
      <c r="G1926" s="1">
        <v>34.340000000000003</v>
      </c>
      <c r="H1926">
        <f t="shared" si="30"/>
        <v>783.66</v>
      </c>
    </row>
    <row r="1927" spans="1:8" x14ac:dyDescent="0.25">
      <c r="A1927" s="1" t="s">
        <v>1940</v>
      </c>
      <c r="B1927" s="5">
        <v>45738.208333333336</v>
      </c>
      <c r="C1927" s="1" t="s">
        <v>13</v>
      </c>
      <c r="D1927" s="1" t="s">
        <v>9</v>
      </c>
      <c r="E1927" s="1">
        <v>10</v>
      </c>
      <c r="F1927" s="1">
        <v>338.08</v>
      </c>
      <c r="G1927" s="1">
        <v>18.079999999999998</v>
      </c>
      <c r="H1927">
        <f t="shared" si="30"/>
        <v>3380.7999999999997</v>
      </c>
    </row>
    <row r="1928" spans="1:8" x14ac:dyDescent="0.25">
      <c r="A1928" s="1" t="s">
        <v>1941</v>
      </c>
      <c r="B1928" s="5">
        <v>45738.25</v>
      </c>
      <c r="C1928" s="1" t="s">
        <v>13</v>
      </c>
      <c r="D1928" s="1" t="s">
        <v>16</v>
      </c>
      <c r="E1928" s="1">
        <v>10</v>
      </c>
      <c r="F1928" s="1">
        <v>427.83</v>
      </c>
      <c r="G1928" s="1">
        <v>48.83</v>
      </c>
      <c r="H1928">
        <f t="shared" si="30"/>
        <v>4278.3</v>
      </c>
    </row>
    <row r="1929" spans="1:8" x14ac:dyDescent="0.25">
      <c r="A1929" s="1" t="s">
        <v>1942</v>
      </c>
      <c r="B1929" s="5">
        <v>45738.291666666664</v>
      </c>
      <c r="C1929" s="1" t="s">
        <v>8</v>
      </c>
      <c r="D1929" s="1" t="s">
        <v>19</v>
      </c>
      <c r="E1929" s="1">
        <v>11</v>
      </c>
      <c r="F1929" s="1">
        <v>423.98</v>
      </c>
      <c r="G1929" s="1">
        <v>25.32</v>
      </c>
      <c r="H1929">
        <f t="shared" si="30"/>
        <v>4663.7800000000007</v>
      </c>
    </row>
    <row r="1930" spans="1:8" x14ac:dyDescent="0.25">
      <c r="A1930" s="1" t="s">
        <v>1943</v>
      </c>
      <c r="B1930" s="5">
        <v>45738.333333333336</v>
      </c>
      <c r="C1930" s="1" t="s">
        <v>11</v>
      </c>
      <c r="D1930" s="1" t="s">
        <v>9</v>
      </c>
      <c r="E1930" s="1">
        <v>6</v>
      </c>
      <c r="F1930" s="1">
        <v>181.62</v>
      </c>
      <c r="G1930" s="1">
        <v>10.02</v>
      </c>
      <c r="H1930">
        <f t="shared" si="30"/>
        <v>1089.72</v>
      </c>
    </row>
    <row r="1931" spans="1:8" x14ac:dyDescent="0.25">
      <c r="A1931" s="1" t="s">
        <v>1944</v>
      </c>
      <c r="B1931" s="5">
        <v>45738.375</v>
      </c>
      <c r="C1931" s="1" t="s">
        <v>8</v>
      </c>
      <c r="D1931" s="1" t="s">
        <v>16</v>
      </c>
      <c r="E1931" s="1">
        <v>4</v>
      </c>
      <c r="F1931" s="1">
        <v>209.72</v>
      </c>
      <c r="G1931" s="1">
        <v>35.86</v>
      </c>
      <c r="H1931">
        <f t="shared" si="30"/>
        <v>838.88</v>
      </c>
    </row>
    <row r="1932" spans="1:8" x14ac:dyDescent="0.25">
      <c r="A1932" s="1" t="s">
        <v>1945</v>
      </c>
      <c r="B1932" s="5">
        <v>45738.416666666664</v>
      </c>
      <c r="C1932" s="1" t="s">
        <v>11</v>
      </c>
      <c r="D1932" s="1" t="s">
        <v>16</v>
      </c>
      <c r="E1932" s="1">
        <v>12</v>
      </c>
      <c r="F1932" s="1">
        <v>126.73</v>
      </c>
      <c r="G1932" s="1">
        <v>18.78</v>
      </c>
      <c r="H1932">
        <f t="shared" si="30"/>
        <v>1520.76</v>
      </c>
    </row>
    <row r="1933" spans="1:8" x14ac:dyDescent="0.25">
      <c r="A1933" s="1" t="s">
        <v>1946</v>
      </c>
      <c r="B1933" s="5">
        <v>45738.458333333336</v>
      </c>
      <c r="C1933" s="1" t="s">
        <v>11</v>
      </c>
      <c r="D1933" s="1" t="s">
        <v>37</v>
      </c>
      <c r="E1933" s="1">
        <v>11</v>
      </c>
      <c r="F1933" s="1">
        <v>302.55</v>
      </c>
      <c r="G1933" s="1">
        <v>11.69</v>
      </c>
      <c r="H1933">
        <f t="shared" si="30"/>
        <v>3328.05</v>
      </c>
    </row>
    <row r="1934" spans="1:8" x14ac:dyDescent="0.25">
      <c r="A1934" s="1" t="s">
        <v>1947</v>
      </c>
      <c r="B1934" s="5">
        <v>45738.5</v>
      </c>
      <c r="C1934" s="1" t="s">
        <v>13</v>
      </c>
      <c r="D1934" s="1" t="s">
        <v>37</v>
      </c>
      <c r="E1934" s="1">
        <v>13</v>
      </c>
      <c r="F1934" s="1">
        <v>173.89</v>
      </c>
      <c r="G1934" s="1">
        <v>24.03</v>
      </c>
      <c r="H1934">
        <f t="shared" si="30"/>
        <v>2260.5699999999997</v>
      </c>
    </row>
    <row r="1935" spans="1:8" x14ac:dyDescent="0.25">
      <c r="A1935" s="1" t="s">
        <v>1948</v>
      </c>
      <c r="B1935" s="5">
        <v>45738.541666666664</v>
      </c>
      <c r="C1935" s="1" t="s">
        <v>8</v>
      </c>
      <c r="D1935" s="1" t="s">
        <v>37</v>
      </c>
      <c r="E1935" s="1">
        <v>5</v>
      </c>
      <c r="F1935" s="1">
        <v>357.06</v>
      </c>
      <c r="G1935" s="1">
        <v>48.39</v>
      </c>
      <c r="H1935">
        <f t="shared" si="30"/>
        <v>1785.3</v>
      </c>
    </row>
    <row r="1936" spans="1:8" x14ac:dyDescent="0.25">
      <c r="A1936" s="1" t="s">
        <v>1949</v>
      </c>
      <c r="B1936" s="5">
        <v>45738.583333333336</v>
      </c>
      <c r="C1936" s="1" t="s">
        <v>8</v>
      </c>
      <c r="D1936" s="1" t="s">
        <v>9</v>
      </c>
      <c r="E1936" s="1">
        <v>6</v>
      </c>
      <c r="F1936" s="1">
        <v>68.31</v>
      </c>
      <c r="G1936" s="1">
        <v>23.51</v>
      </c>
      <c r="H1936">
        <f t="shared" si="30"/>
        <v>409.86</v>
      </c>
    </row>
    <row r="1937" spans="1:8" x14ac:dyDescent="0.25">
      <c r="A1937" s="1" t="s">
        <v>1950</v>
      </c>
      <c r="B1937" s="5">
        <v>45738.625</v>
      </c>
      <c r="C1937" s="1" t="s">
        <v>11</v>
      </c>
      <c r="D1937" s="1" t="s">
        <v>19</v>
      </c>
      <c r="E1937" s="1">
        <v>1</v>
      </c>
      <c r="F1937" s="1">
        <v>66.08</v>
      </c>
      <c r="G1937" s="1">
        <v>20.63</v>
      </c>
      <c r="H1937">
        <f t="shared" si="30"/>
        <v>66.08</v>
      </c>
    </row>
    <row r="1938" spans="1:8" x14ac:dyDescent="0.25">
      <c r="A1938" s="1" t="s">
        <v>1951</v>
      </c>
      <c r="B1938" s="5">
        <v>45738.666666666664</v>
      </c>
      <c r="C1938" s="1" t="s">
        <v>8</v>
      </c>
      <c r="D1938" s="1" t="s">
        <v>19</v>
      </c>
      <c r="E1938" s="1">
        <v>6</v>
      </c>
      <c r="F1938" s="1">
        <v>104.34</v>
      </c>
      <c r="G1938" s="1">
        <v>25</v>
      </c>
      <c r="H1938">
        <f t="shared" si="30"/>
        <v>626.04</v>
      </c>
    </row>
    <row r="1939" spans="1:8" x14ac:dyDescent="0.25">
      <c r="A1939" s="1" t="s">
        <v>1952</v>
      </c>
      <c r="B1939" s="5">
        <v>45738.708333333336</v>
      </c>
      <c r="C1939" s="1" t="s">
        <v>23</v>
      </c>
      <c r="D1939" s="1" t="s">
        <v>37</v>
      </c>
      <c r="E1939" s="1">
        <v>18</v>
      </c>
      <c r="F1939" s="1">
        <v>52.12</v>
      </c>
      <c r="G1939" s="1">
        <v>5.55</v>
      </c>
      <c r="H1939">
        <f t="shared" si="30"/>
        <v>938.16</v>
      </c>
    </row>
    <row r="1940" spans="1:8" x14ac:dyDescent="0.25">
      <c r="A1940" s="1" t="s">
        <v>1953</v>
      </c>
      <c r="B1940" s="5">
        <v>45738.75</v>
      </c>
      <c r="C1940" s="1" t="s">
        <v>23</v>
      </c>
      <c r="D1940" s="1" t="s">
        <v>37</v>
      </c>
      <c r="E1940" s="1">
        <v>9</v>
      </c>
      <c r="F1940" s="1">
        <v>284.89999999999998</v>
      </c>
      <c r="G1940" s="1">
        <v>10.99</v>
      </c>
      <c r="H1940">
        <f t="shared" si="30"/>
        <v>2564.1</v>
      </c>
    </row>
    <row r="1941" spans="1:8" x14ac:dyDescent="0.25">
      <c r="A1941" s="1" t="s">
        <v>1954</v>
      </c>
      <c r="B1941" s="5">
        <v>45738.791666666664</v>
      </c>
      <c r="C1941" s="1" t="s">
        <v>8</v>
      </c>
      <c r="D1941" s="1" t="s">
        <v>37</v>
      </c>
      <c r="E1941" s="1">
        <v>15</v>
      </c>
      <c r="F1941" s="1">
        <v>79.52</v>
      </c>
      <c r="G1941" s="1">
        <v>43.24</v>
      </c>
      <c r="H1941">
        <f t="shared" si="30"/>
        <v>1192.8</v>
      </c>
    </row>
    <row r="1942" spans="1:8" x14ac:dyDescent="0.25">
      <c r="A1942" s="1" t="s">
        <v>1955</v>
      </c>
      <c r="B1942" s="5">
        <v>45738.833333333336</v>
      </c>
      <c r="C1942" s="1" t="s">
        <v>8</v>
      </c>
      <c r="D1942" s="1" t="s">
        <v>16</v>
      </c>
      <c r="E1942" s="1">
        <v>8</v>
      </c>
      <c r="F1942" s="1">
        <v>85</v>
      </c>
      <c r="G1942" s="1">
        <v>49.01</v>
      </c>
      <c r="H1942">
        <f t="shared" si="30"/>
        <v>680</v>
      </c>
    </row>
    <row r="1943" spans="1:8" x14ac:dyDescent="0.25">
      <c r="A1943" s="1" t="s">
        <v>1956</v>
      </c>
      <c r="B1943" s="5">
        <v>45738.875</v>
      </c>
      <c r="C1943" s="1" t="s">
        <v>11</v>
      </c>
      <c r="D1943" s="1" t="s">
        <v>37</v>
      </c>
      <c r="E1943" s="1">
        <v>19</v>
      </c>
      <c r="F1943" s="1">
        <v>21.68</v>
      </c>
      <c r="G1943" s="1">
        <v>12.11</v>
      </c>
      <c r="H1943">
        <f t="shared" si="30"/>
        <v>411.92</v>
      </c>
    </row>
    <row r="1944" spans="1:8" x14ac:dyDescent="0.25">
      <c r="A1944" s="1" t="s">
        <v>1957</v>
      </c>
      <c r="B1944" s="5">
        <v>45738.916666666664</v>
      </c>
      <c r="C1944" s="1" t="s">
        <v>23</v>
      </c>
      <c r="D1944" s="1" t="s">
        <v>16</v>
      </c>
      <c r="E1944" s="1">
        <v>16</v>
      </c>
      <c r="F1944" s="1">
        <v>355.32</v>
      </c>
      <c r="G1944" s="1">
        <v>29.1</v>
      </c>
      <c r="H1944">
        <f t="shared" si="30"/>
        <v>5685.12</v>
      </c>
    </row>
    <row r="1945" spans="1:8" x14ac:dyDescent="0.25">
      <c r="A1945" s="1" t="s">
        <v>1958</v>
      </c>
      <c r="B1945" s="5">
        <v>45738.958333333336</v>
      </c>
      <c r="C1945" s="1" t="s">
        <v>23</v>
      </c>
      <c r="D1945" s="1" t="s">
        <v>19</v>
      </c>
      <c r="E1945" s="1">
        <v>6</v>
      </c>
      <c r="F1945" s="1">
        <v>368.44</v>
      </c>
      <c r="G1945" s="1">
        <v>48.49</v>
      </c>
      <c r="H1945">
        <f t="shared" si="30"/>
        <v>2210.64</v>
      </c>
    </row>
    <row r="1946" spans="1:8" x14ac:dyDescent="0.25">
      <c r="A1946" s="1" t="s">
        <v>1959</v>
      </c>
      <c r="B1946" s="5">
        <v>45739</v>
      </c>
      <c r="C1946" s="1" t="s">
        <v>13</v>
      </c>
      <c r="D1946" s="1" t="s">
        <v>9</v>
      </c>
      <c r="E1946" s="1">
        <v>6</v>
      </c>
      <c r="F1946" s="1">
        <v>85.9</v>
      </c>
      <c r="G1946" s="1">
        <v>12.05</v>
      </c>
      <c r="H1946">
        <f t="shared" si="30"/>
        <v>515.40000000000009</v>
      </c>
    </row>
    <row r="1947" spans="1:8" x14ac:dyDescent="0.25">
      <c r="A1947" s="1" t="s">
        <v>1960</v>
      </c>
      <c r="B1947" s="5">
        <v>45739.041666666664</v>
      </c>
      <c r="C1947" s="1" t="s">
        <v>11</v>
      </c>
      <c r="D1947" s="1" t="s">
        <v>9</v>
      </c>
      <c r="E1947" s="1">
        <v>3</v>
      </c>
      <c r="F1947" s="1">
        <v>336.82</v>
      </c>
      <c r="G1947" s="1">
        <v>13.38</v>
      </c>
      <c r="H1947">
        <f t="shared" si="30"/>
        <v>1010.46</v>
      </c>
    </row>
    <row r="1948" spans="1:8" x14ac:dyDescent="0.25">
      <c r="A1948" s="1" t="s">
        <v>1961</v>
      </c>
      <c r="B1948" s="5">
        <v>45739.083333333336</v>
      </c>
      <c r="C1948" s="1" t="s">
        <v>13</v>
      </c>
      <c r="D1948" s="1" t="s">
        <v>9</v>
      </c>
      <c r="E1948" s="1">
        <v>10</v>
      </c>
      <c r="F1948" s="1">
        <v>203.88</v>
      </c>
      <c r="G1948" s="1">
        <v>46.71</v>
      </c>
      <c r="H1948">
        <f t="shared" si="30"/>
        <v>2038.8</v>
      </c>
    </row>
    <row r="1949" spans="1:8" x14ac:dyDescent="0.25">
      <c r="A1949" s="1" t="s">
        <v>1962</v>
      </c>
      <c r="B1949" s="5">
        <v>45739.125</v>
      </c>
      <c r="C1949" s="1" t="s">
        <v>23</v>
      </c>
      <c r="D1949" s="1" t="s">
        <v>9</v>
      </c>
      <c r="E1949" s="1">
        <v>1</v>
      </c>
      <c r="F1949" s="1">
        <v>119.6</v>
      </c>
      <c r="G1949" s="1">
        <v>36.76</v>
      </c>
      <c r="H1949">
        <f t="shared" si="30"/>
        <v>119.6</v>
      </c>
    </row>
    <row r="1950" spans="1:8" x14ac:dyDescent="0.25">
      <c r="A1950" s="1" t="s">
        <v>1963</v>
      </c>
      <c r="B1950" s="5">
        <v>45739.166666666664</v>
      </c>
      <c r="C1950" s="1" t="s">
        <v>11</v>
      </c>
      <c r="D1950" s="1" t="s">
        <v>16</v>
      </c>
      <c r="E1950" s="1">
        <v>14</v>
      </c>
      <c r="F1950" s="1">
        <v>285.49</v>
      </c>
      <c r="G1950" s="1">
        <v>11.84</v>
      </c>
      <c r="H1950">
        <f t="shared" si="30"/>
        <v>3996.86</v>
      </c>
    </row>
    <row r="1951" spans="1:8" x14ac:dyDescent="0.25">
      <c r="A1951" s="1" t="s">
        <v>1964</v>
      </c>
      <c r="B1951" s="5">
        <v>45739.208333333336</v>
      </c>
      <c r="C1951" s="1" t="s">
        <v>8</v>
      </c>
      <c r="D1951" s="1" t="s">
        <v>16</v>
      </c>
      <c r="E1951" s="1">
        <v>4</v>
      </c>
      <c r="F1951" s="1">
        <v>93.05</v>
      </c>
      <c r="G1951" s="1">
        <v>22.71</v>
      </c>
      <c r="H1951">
        <f t="shared" si="30"/>
        <v>372.2</v>
      </c>
    </row>
    <row r="1952" spans="1:8" x14ac:dyDescent="0.25">
      <c r="A1952" s="1" t="s">
        <v>1965</v>
      </c>
      <c r="B1952" s="5">
        <v>45739.25</v>
      </c>
      <c r="C1952" s="1" t="s">
        <v>11</v>
      </c>
      <c r="D1952" s="1" t="s">
        <v>37</v>
      </c>
      <c r="E1952" s="1">
        <v>12</v>
      </c>
      <c r="F1952" s="1">
        <v>344.37</v>
      </c>
      <c r="G1952" s="1">
        <v>7.53</v>
      </c>
      <c r="H1952">
        <f t="shared" si="30"/>
        <v>4132.4400000000005</v>
      </c>
    </row>
    <row r="1953" spans="1:8" x14ac:dyDescent="0.25">
      <c r="A1953" s="1" t="s">
        <v>1966</v>
      </c>
      <c r="B1953" s="5">
        <v>45739.291666666664</v>
      </c>
      <c r="C1953" s="1" t="s">
        <v>8</v>
      </c>
      <c r="D1953" s="1" t="s">
        <v>16</v>
      </c>
      <c r="E1953" s="1">
        <v>6</v>
      </c>
      <c r="F1953" s="1">
        <v>36.19</v>
      </c>
      <c r="G1953" s="1">
        <v>24.47</v>
      </c>
      <c r="H1953">
        <f t="shared" si="30"/>
        <v>217.14</v>
      </c>
    </row>
    <row r="1954" spans="1:8" x14ac:dyDescent="0.25">
      <c r="A1954" s="1" t="s">
        <v>1967</v>
      </c>
      <c r="B1954" s="5">
        <v>45739.333333333336</v>
      </c>
      <c r="C1954" s="1" t="s">
        <v>8</v>
      </c>
      <c r="D1954" s="1" t="s">
        <v>37</v>
      </c>
      <c r="E1954" s="1">
        <v>11</v>
      </c>
      <c r="F1954" s="1">
        <v>432.24</v>
      </c>
      <c r="G1954" s="1">
        <v>40.01</v>
      </c>
      <c r="H1954">
        <f t="shared" si="30"/>
        <v>4754.6400000000003</v>
      </c>
    </row>
    <row r="1955" spans="1:8" x14ac:dyDescent="0.25">
      <c r="A1955" s="1" t="s">
        <v>1968</v>
      </c>
      <c r="B1955" s="5">
        <v>45739.375</v>
      </c>
      <c r="C1955" s="1" t="s">
        <v>11</v>
      </c>
      <c r="D1955" s="1" t="s">
        <v>37</v>
      </c>
      <c r="E1955" s="1">
        <v>12</v>
      </c>
      <c r="F1955" s="1">
        <v>46.73</v>
      </c>
      <c r="G1955" s="1">
        <v>29.93</v>
      </c>
      <c r="H1955">
        <f t="shared" si="30"/>
        <v>560.76</v>
      </c>
    </row>
    <row r="1956" spans="1:8" x14ac:dyDescent="0.25">
      <c r="A1956" s="1" t="s">
        <v>1969</v>
      </c>
      <c r="B1956" s="5">
        <v>45739.416666666664</v>
      </c>
      <c r="C1956" s="1" t="s">
        <v>8</v>
      </c>
      <c r="D1956" s="1" t="s">
        <v>9</v>
      </c>
      <c r="E1956" s="1">
        <v>10</v>
      </c>
      <c r="F1956" s="1">
        <v>267.27</v>
      </c>
      <c r="G1956" s="1">
        <v>34.130000000000003</v>
      </c>
      <c r="H1956">
        <f t="shared" si="30"/>
        <v>2672.7</v>
      </c>
    </row>
    <row r="1957" spans="1:8" x14ac:dyDescent="0.25">
      <c r="A1957" s="1" t="s">
        <v>1970</v>
      </c>
      <c r="B1957" s="5">
        <v>45739.458333333336</v>
      </c>
      <c r="C1957" s="1" t="s">
        <v>13</v>
      </c>
      <c r="D1957" s="1" t="s">
        <v>16</v>
      </c>
      <c r="E1957" s="1">
        <v>18</v>
      </c>
      <c r="F1957" s="1">
        <v>407.5</v>
      </c>
      <c r="G1957" s="1">
        <v>19.71</v>
      </c>
      <c r="H1957">
        <f t="shared" si="30"/>
        <v>7335</v>
      </c>
    </row>
    <row r="1958" spans="1:8" x14ac:dyDescent="0.25">
      <c r="A1958" s="1" t="s">
        <v>1971</v>
      </c>
      <c r="B1958" s="5">
        <v>45739.5</v>
      </c>
      <c r="C1958" s="1" t="s">
        <v>23</v>
      </c>
      <c r="D1958" s="1" t="s">
        <v>16</v>
      </c>
      <c r="E1958" s="1">
        <v>7</v>
      </c>
      <c r="F1958" s="1">
        <v>20.67</v>
      </c>
      <c r="G1958" s="1">
        <v>12.26</v>
      </c>
      <c r="H1958">
        <f t="shared" si="30"/>
        <v>144.69</v>
      </c>
    </row>
    <row r="1959" spans="1:8" x14ac:dyDescent="0.25">
      <c r="A1959" s="1" t="s">
        <v>1972</v>
      </c>
      <c r="B1959" s="5">
        <v>45739.541666666664</v>
      </c>
      <c r="C1959" s="1" t="s">
        <v>8</v>
      </c>
      <c r="D1959" s="1" t="s">
        <v>37</v>
      </c>
      <c r="E1959" s="1">
        <v>7</v>
      </c>
      <c r="F1959" s="1">
        <v>232.1</v>
      </c>
      <c r="G1959" s="1">
        <v>5.59</v>
      </c>
      <c r="H1959">
        <f t="shared" si="30"/>
        <v>1624.7</v>
      </c>
    </row>
    <row r="1960" spans="1:8" x14ac:dyDescent="0.25">
      <c r="A1960" s="1" t="s">
        <v>1973</v>
      </c>
      <c r="B1960" s="5">
        <v>45739.583333333336</v>
      </c>
      <c r="C1960" s="1" t="s">
        <v>13</v>
      </c>
      <c r="D1960" s="1" t="s">
        <v>37</v>
      </c>
      <c r="E1960" s="1">
        <v>11</v>
      </c>
      <c r="F1960" s="1">
        <v>167.58</v>
      </c>
      <c r="G1960" s="1">
        <v>41.96</v>
      </c>
      <c r="H1960">
        <f t="shared" si="30"/>
        <v>1843.38</v>
      </c>
    </row>
    <row r="1961" spans="1:8" x14ac:dyDescent="0.25">
      <c r="A1961" s="1" t="s">
        <v>1974</v>
      </c>
      <c r="B1961" s="5">
        <v>45739.625</v>
      </c>
      <c r="C1961" s="1" t="s">
        <v>8</v>
      </c>
      <c r="D1961" s="1" t="s">
        <v>19</v>
      </c>
      <c r="E1961" s="1">
        <v>4</v>
      </c>
      <c r="F1961" s="1">
        <v>267.64999999999998</v>
      </c>
      <c r="G1961" s="1">
        <v>33.65</v>
      </c>
      <c r="H1961">
        <f t="shared" si="30"/>
        <v>1070.5999999999999</v>
      </c>
    </row>
    <row r="1962" spans="1:8" x14ac:dyDescent="0.25">
      <c r="A1962" s="1" t="s">
        <v>1975</v>
      </c>
      <c r="B1962" s="5">
        <v>45739.666666666664</v>
      </c>
      <c r="C1962" s="1" t="s">
        <v>23</v>
      </c>
      <c r="D1962" s="1" t="s">
        <v>19</v>
      </c>
      <c r="E1962" s="1">
        <v>1</v>
      </c>
      <c r="F1962" s="1">
        <v>113.46</v>
      </c>
      <c r="G1962" s="1">
        <v>15.32</v>
      </c>
      <c r="H1962">
        <f t="shared" si="30"/>
        <v>113.46</v>
      </c>
    </row>
    <row r="1963" spans="1:8" x14ac:dyDescent="0.25">
      <c r="A1963" s="1" t="s">
        <v>1976</v>
      </c>
      <c r="B1963" s="5">
        <v>45739.708333333336</v>
      </c>
      <c r="C1963" s="1" t="s">
        <v>13</v>
      </c>
      <c r="D1963" s="1" t="s">
        <v>37</v>
      </c>
      <c r="E1963" s="1">
        <v>13</v>
      </c>
      <c r="F1963" s="1">
        <v>43.7</v>
      </c>
      <c r="G1963" s="1">
        <v>23.83</v>
      </c>
      <c r="H1963">
        <f t="shared" si="30"/>
        <v>568.1</v>
      </c>
    </row>
    <row r="1964" spans="1:8" x14ac:dyDescent="0.25">
      <c r="A1964" s="1" t="s">
        <v>1977</v>
      </c>
      <c r="B1964" s="5">
        <v>45739.75</v>
      </c>
      <c r="C1964" s="1" t="s">
        <v>23</v>
      </c>
      <c r="D1964" s="1" t="s">
        <v>19</v>
      </c>
      <c r="E1964" s="1">
        <v>18</v>
      </c>
      <c r="F1964" s="1">
        <v>287.47000000000003</v>
      </c>
      <c r="G1964" s="1">
        <v>41.06</v>
      </c>
      <c r="H1964">
        <f t="shared" si="30"/>
        <v>5174.4600000000009</v>
      </c>
    </row>
    <row r="1965" spans="1:8" x14ac:dyDescent="0.25">
      <c r="A1965" s="1" t="s">
        <v>1978</v>
      </c>
      <c r="B1965" s="5">
        <v>45739.791666666664</v>
      </c>
      <c r="C1965" s="1" t="s">
        <v>23</v>
      </c>
      <c r="D1965" s="1" t="s">
        <v>19</v>
      </c>
      <c r="E1965" s="1">
        <v>9</v>
      </c>
      <c r="F1965" s="1">
        <v>196.62</v>
      </c>
      <c r="G1965" s="1">
        <v>29.24</v>
      </c>
      <c r="H1965">
        <f t="shared" si="30"/>
        <v>1769.58</v>
      </c>
    </row>
    <row r="1966" spans="1:8" x14ac:dyDescent="0.25">
      <c r="A1966" s="1" t="s">
        <v>1979</v>
      </c>
      <c r="B1966" s="5">
        <v>45739.833333333336</v>
      </c>
      <c r="C1966" s="1" t="s">
        <v>13</v>
      </c>
      <c r="D1966" s="1" t="s">
        <v>37</v>
      </c>
      <c r="E1966" s="1">
        <v>9</v>
      </c>
      <c r="F1966" s="1">
        <v>285.97000000000003</v>
      </c>
      <c r="G1966" s="1">
        <v>18.510000000000002</v>
      </c>
      <c r="H1966">
        <f t="shared" si="30"/>
        <v>2573.7300000000005</v>
      </c>
    </row>
    <row r="1967" spans="1:8" x14ac:dyDescent="0.25">
      <c r="A1967" s="1" t="s">
        <v>1980</v>
      </c>
      <c r="B1967" s="5">
        <v>45739.875</v>
      </c>
      <c r="C1967" s="1" t="s">
        <v>13</v>
      </c>
      <c r="D1967" s="1" t="s">
        <v>37</v>
      </c>
      <c r="E1967" s="1">
        <v>9</v>
      </c>
      <c r="F1967" s="1">
        <v>106.98</v>
      </c>
      <c r="G1967" s="1">
        <v>17.02</v>
      </c>
      <c r="H1967">
        <f t="shared" si="30"/>
        <v>962.82</v>
      </c>
    </row>
    <row r="1968" spans="1:8" x14ac:dyDescent="0.25">
      <c r="A1968" s="1" t="s">
        <v>1981</v>
      </c>
      <c r="B1968" s="5">
        <v>45739.916666666664</v>
      </c>
      <c r="C1968" s="1" t="s">
        <v>13</v>
      </c>
      <c r="D1968" s="1" t="s">
        <v>16</v>
      </c>
      <c r="E1968" s="1">
        <v>10</v>
      </c>
      <c r="F1968" s="1">
        <v>162.68</v>
      </c>
      <c r="G1968" s="1">
        <v>14.79</v>
      </c>
      <c r="H1968">
        <f t="shared" si="30"/>
        <v>1626.8000000000002</v>
      </c>
    </row>
    <row r="1969" spans="1:8" x14ac:dyDescent="0.25">
      <c r="A1969" s="1" t="s">
        <v>1982</v>
      </c>
      <c r="B1969" s="5">
        <v>45739.958333333336</v>
      </c>
      <c r="C1969" s="1" t="s">
        <v>11</v>
      </c>
      <c r="D1969" s="1" t="s">
        <v>37</v>
      </c>
      <c r="E1969" s="1">
        <v>2</v>
      </c>
      <c r="F1969" s="1">
        <v>259.55</v>
      </c>
      <c r="G1969" s="1">
        <v>42.07</v>
      </c>
      <c r="H1969">
        <f t="shared" si="30"/>
        <v>519.1</v>
      </c>
    </row>
    <row r="1970" spans="1:8" x14ac:dyDescent="0.25">
      <c r="A1970" s="1" t="s">
        <v>1983</v>
      </c>
      <c r="B1970" s="5">
        <v>45740</v>
      </c>
      <c r="C1970" s="1" t="s">
        <v>13</v>
      </c>
      <c r="D1970" s="1" t="s">
        <v>37</v>
      </c>
      <c r="E1970" s="1">
        <v>6</v>
      </c>
      <c r="F1970" s="1">
        <v>273.20999999999998</v>
      </c>
      <c r="G1970" s="1">
        <v>31.18</v>
      </c>
      <c r="H1970">
        <f t="shared" si="30"/>
        <v>1639.2599999999998</v>
      </c>
    </row>
    <row r="1971" spans="1:8" x14ac:dyDescent="0.25">
      <c r="A1971" s="1" t="s">
        <v>1984</v>
      </c>
      <c r="B1971" s="5">
        <v>45740.041666666664</v>
      </c>
      <c r="C1971" s="1" t="s">
        <v>13</v>
      </c>
      <c r="D1971" s="1" t="s">
        <v>9</v>
      </c>
      <c r="E1971" s="1">
        <v>15</v>
      </c>
      <c r="F1971" s="1">
        <v>177.27</v>
      </c>
      <c r="G1971" s="1">
        <v>36.909999999999997</v>
      </c>
      <c r="H1971">
        <f t="shared" si="30"/>
        <v>2659.05</v>
      </c>
    </row>
    <row r="1972" spans="1:8" x14ac:dyDescent="0.25">
      <c r="A1972" s="1" t="s">
        <v>1985</v>
      </c>
      <c r="B1972" s="5">
        <v>45740.083333333336</v>
      </c>
      <c r="C1972" s="1" t="s">
        <v>13</v>
      </c>
      <c r="D1972" s="1" t="s">
        <v>16</v>
      </c>
      <c r="E1972" s="1">
        <v>3</v>
      </c>
      <c r="F1972" s="1">
        <v>137.18</v>
      </c>
      <c r="G1972" s="1">
        <v>43.71</v>
      </c>
      <c r="H1972">
        <f t="shared" si="30"/>
        <v>411.54</v>
      </c>
    </row>
    <row r="1973" spans="1:8" x14ac:dyDescent="0.25">
      <c r="A1973" s="1" t="s">
        <v>1986</v>
      </c>
      <c r="B1973" s="5">
        <v>45740.125</v>
      </c>
      <c r="C1973" s="1" t="s">
        <v>13</v>
      </c>
      <c r="D1973" s="1" t="s">
        <v>16</v>
      </c>
      <c r="E1973" s="1">
        <v>11</v>
      </c>
      <c r="F1973" s="1">
        <v>134.41999999999999</v>
      </c>
      <c r="G1973" s="1">
        <v>49.41</v>
      </c>
      <c r="H1973">
        <f t="shared" si="30"/>
        <v>1478.62</v>
      </c>
    </row>
    <row r="1974" spans="1:8" x14ac:dyDescent="0.25">
      <c r="A1974" s="1" t="s">
        <v>1987</v>
      </c>
      <c r="B1974" s="5">
        <v>45740.166666666664</v>
      </c>
      <c r="C1974" s="1" t="s">
        <v>8</v>
      </c>
      <c r="D1974" s="1" t="s">
        <v>16</v>
      </c>
      <c r="E1974" s="1">
        <v>6</v>
      </c>
      <c r="F1974" s="1">
        <v>91.41</v>
      </c>
      <c r="G1974" s="1">
        <v>16.23</v>
      </c>
      <c r="H1974">
        <f t="shared" si="30"/>
        <v>548.46</v>
      </c>
    </row>
    <row r="1975" spans="1:8" x14ac:dyDescent="0.25">
      <c r="A1975" s="1" t="s">
        <v>1988</v>
      </c>
      <c r="B1975" s="5">
        <v>45740.208333333336</v>
      </c>
      <c r="C1975" s="1" t="s">
        <v>11</v>
      </c>
      <c r="D1975" s="1" t="s">
        <v>9</v>
      </c>
      <c r="E1975" s="1">
        <v>3</v>
      </c>
      <c r="F1975" s="1">
        <v>156.88999999999999</v>
      </c>
      <c r="G1975" s="1">
        <v>13.14</v>
      </c>
      <c r="H1975">
        <f t="shared" si="30"/>
        <v>470.66999999999996</v>
      </c>
    </row>
    <row r="1976" spans="1:8" x14ac:dyDescent="0.25">
      <c r="A1976" s="1" t="s">
        <v>1989</v>
      </c>
      <c r="B1976" s="5">
        <v>45740.25</v>
      </c>
      <c r="C1976" s="1" t="s">
        <v>23</v>
      </c>
      <c r="D1976" s="1" t="s">
        <v>37</v>
      </c>
      <c r="E1976" s="1">
        <v>11</v>
      </c>
      <c r="F1976" s="1">
        <v>102.16</v>
      </c>
      <c r="G1976" s="1">
        <v>25.79</v>
      </c>
      <c r="H1976">
        <f t="shared" si="30"/>
        <v>1123.76</v>
      </c>
    </row>
    <row r="1977" spans="1:8" x14ac:dyDescent="0.25">
      <c r="A1977" s="1" t="s">
        <v>1990</v>
      </c>
      <c r="B1977" s="5">
        <v>45740.291666666664</v>
      </c>
      <c r="C1977" s="1" t="s">
        <v>13</v>
      </c>
      <c r="D1977" s="1" t="s">
        <v>16</v>
      </c>
      <c r="E1977" s="1">
        <v>15</v>
      </c>
      <c r="F1977" s="1">
        <v>290.89</v>
      </c>
      <c r="G1977" s="1">
        <v>6.58</v>
      </c>
      <c r="H1977">
        <f t="shared" si="30"/>
        <v>4363.3499999999995</v>
      </c>
    </row>
    <row r="1978" spans="1:8" x14ac:dyDescent="0.25">
      <c r="A1978" s="1" t="s">
        <v>1991</v>
      </c>
      <c r="B1978" s="5">
        <v>45740.333333333336</v>
      </c>
      <c r="C1978" s="1" t="s">
        <v>8</v>
      </c>
      <c r="D1978" s="1" t="s">
        <v>16</v>
      </c>
      <c r="E1978" s="1">
        <v>13</v>
      </c>
      <c r="F1978" s="1">
        <v>262.76</v>
      </c>
      <c r="G1978" s="1">
        <v>40.630000000000003</v>
      </c>
      <c r="H1978">
        <f t="shared" si="30"/>
        <v>3415.88</v>
      </c>
    </row>
    <row r="1979" spans="1:8" x14ac:dyDescent="0.25">
      <c r="A1979" s="1" t="s">
        <v>1992</v>
      </c>
      <c r="B1979" s="5">
        <v>45740.375</v>
      </c>
      <c r="C1979" s="1" t="s">
        <v>8</v>
      </c>
      <c r="D1979" s="1" t="s">
        <v>19</v>
      </c>
      <c r="E1979" s="1">
        <v>10</v>
      </c>
      <c r="F1979" s="1">
        <v>181.73</v>
      </c>
      <c r="G1979" s="1">
        <v>44.77</v>
      </c>
      <c r="H1979">
        <f t="shared" si="30"/>
        <v>1817.3</v>
      </c>
    </row>
    <row r="1980" spans="1:8" x14ac:dyDescent="0.25">
      <c r="A1980" s="1" t="s">
        <v>1993</v>
      </c>
      <c r="B1980" s="5">
        <v>45740.416666666664</v>
      </c>
      <c r="C1980" s="1" t="s">
        <v>8</v>
      </c>
      <c r="D1980" s="1" t="s">
        <v>16</v>
      </c>
      <c r="E1980" s="1">
        <v>6</v>
      </c>
      <c r="F1980" s="1">
        <v>157.07</v>
      </c>
      <c r="G1980" s="1">
        <v>35.869999999999997</v>
      </c>
      <c r="H1980">
        <f t="shared" si="30"/>
        <v>942.42</v>
      </c>
    </row>
    <row r="1981" spans="1:8" x14ac:dyDescent="0.25">
      <c r="A1981" s="1" t="s">
        <v>1994</v>
      </c>
      <c r="B1981" s="5">
        <v>45740.458333333336</v>
      </c>
      <c r="C1981" s="1" t="s">
        <v>23</v>
      </c>
      <c r="D1981" s="1" t="s">
        <v>37</v>
      </c>
      <c r="E1981" s="1">
        <v>15</v>
      </c>
      <c r="F1981" s="1">
        <v>118.74</v>
      </c>
      <c r="G1981" s="1">
        <v>17.059999999999999</v>
      </c>
      <c r="H1981">
        <f t="shared" si="30"/>
        <v>1781.1</v>
      </c>
    </row>
    <row r="1982" spans="1:8" x14ac:dyDescent="0.25">
      <c r="A1982" s="1" t="s">
        <v>1995</v>
      </c>
      <c r="B1982" s="5">
        <v>45740.5</v>
      </c>
      <c r="C1982" s="1" t="s">
        <v>13</v>
      </c>
      <c r="D1982" s="1" t="s">
        <v>37</v>
      </c>
      <c r="E1982" s="1">
        <v>18</v>
      </c>
      <c r="F1982" s="1">
        <v>248.16</v>
      </c>
      <c r="G1982" s="1">
        <v>10.54</v>
      </c>
      <c r="H1982">
        <f t="shared" si="30"/>
        <v>4466.88</v>
      </c>
    </row>
    <row r="1983" spans="1:8" x14ac:dyDescent="0.25">
      <c r="A1983" s="1" t="s">
        <v>1996</v>
      </c>
      <c r="B1983" s="5">
        <v>45740.541666666664</v>
      </c>
      <c r="C1983" s="1" t="s">
        <v>11</v>
      </c>
      <c r="D1983" s="1" t="s">
        <v>19</v>
      </c>
      <c r="E1983" s="1">
        <v>18</v>
      </c>
      <c r="F1983" s="1">
        <v>414.76</v>
      </c>
      <c r="G1983" s="1">
        <v>22.2</v>
      </c>
      <c r="H1983">
        <f t="shared" si="30"/>
        <v>7465.68</v>
      </c>
    </row>
    <row r="1984" spans="1:8" x14ac:dyDescent="0.25">
      <c r="A1984" s="1" t="s">
        <v>1997</v>
      </c>
      <c r="B1984" s="5">
        <v>45740.583333333336</v>
      </c>
      <c r="C1984" s="1" t="s">
        <v>11</v>
      </c>
      <c r="D1984" s="1" t="s">
        <v>16</v>
      </c>
      <c r="E1984" s="1">
        <v>7</v>
      </c>
      <c r="F1984" s="1">
        <v>313.44</v>
      </c>
      <c r="G1984" s="1">
        <v>42.5</v>
      </c>
      <c r="H1984">
        <f t="shared" si="30"/>
        <v>2194.08</v>
      </c>
    </row>
    <row r="1985" spans="1:8" x14ac:dyDescent="0.25">
      <c r="A1985" s="1" t="s">
        <v>1998</v>
      </c>
      <c r="B1985" s="5">
        <v>45740.625</v>
      </c>
      <c r="C1985" s="1" t="s">
        <v>8</v>
      </c>
      <c r="D1985" s="1" t="s">
        <v>16</v>
      </c>
      <c r="E1985" s="1">
        <v>15</v>
      </c>
      <c r="F1985" s="1">
        <v>338.95</v>
      </c>
      <c r="G1985" s="1">
        <v>20.65</v>
      </c>
      <c r="H1985">
        <f t="shared" si="30"/>
        <v>5084.25</v>
      </c>
    </row>
    <row r="1986" spans="1:8" x14ac:dyDescent="0.25">
      <c r="A1986" s="1" t="s">
        <v>1999</v>
      </c>
      <c r="B1986" s="5">
        <v>45740.666666666664</v>
      </c>
      <c r="C1986" s="1" t="s">
        <v>23</v>
      </c>
      <c r="D1986" s="1" t="s">
        <v>16</v>
      </c>
      <c r="E1986" s="1">
        <v>18</v>
      </c>
      <c r="F1986" s="1">
        <v>378.04</v>
      </c>
      <c r="G1986" s="1">
        <v>6.54</v>
      </c>
      <c r="H1986">
        <f t="shared" ref="H1986:H2049" si="31">E1986*F1986</f>
        <v>6804.72</v>
      </c>
    </row>
    <row r="1987" spans="1:8" x14ac:dyDescent="0.25">
      <c r="A1987" s="1" t="s">
        <v>2000</v>
      </c>
      <c r="B1987" s="5">
        <v>45740.708333333336</v>
      </c>
      <c r="C1987" s="1" t="s">
        <v>23</v>
      </c>
      <c r="D1987" s="1" t="s">
        <v>9</v>
      </c>
      <c r="E1987" s="1">
        <v>18</v>
      </c>
      <c r="F1987" s="1">
        <v>168.29</v>
      </c>
      <c r="G1987" s="1">
        <v>17.34</v>
      </c>
      <c r="H1987">
        <f t="shared" si="31"/>
        <v>3029.22</v>
      </c>
    </row>
    <row r="1988" spans="1:8" x14ac:dyDescent="0.25">
      <c r="A1988" s="1" t="s">
        <v>2001</v>
      </c>
      <c r="B1988" s="5">
        <v>45740.75</v>
      </c>
      <c r="C1988" s="1" t="s">
        <v>23</v>
      </c>
      <c r="D1988" s="1" t="s">
        <v>16</v>
      </c>
      <c r="E1988" s="1">
        <v>9</v>
      </c>
      <c r="F1988" s="1">
        <v>42.82</v>
      </c>
      <c r="G1988" s="1">
        <v>49.55</v>
      </c>
      <c r="H1988">
        <f t="shared" si="31"/>
        <v>385.38</v>
      </c>
    </row>
    <row r="1989" spans="1:8" x14ac:dyDescent="0.25">
      <c r="A1989" s="1" t="s">
        <v>2002</v>
      </c>
      <c r="B1989" s="5">
        <v>45740.791666666664</v>
      </c>
      <c r="C1989" s="1" t="s">
        <v>11</v>
      </c>
      <c r="D1989" s="1" t="s">
        <v>37</v>
      </c>
      <c r="E1989" s="1">
        <v>2</v>
      </c>
      <c r="F1989" s="1">
        <v>286</v>
      </c>
      <c r="G1989" s="1">
        <v>35.450000000000003</v>
      </c>
      <c r="H1989">
        <f t="shared" si="31"/>
        <v>572</v>
      </c>
    </row>
    <row r="1990" spans="1:8" x14ac:dyDescent="0.25">
      <c r="A1990" s="1" t="s">
        <v>2003</v>
      </c>
      <c r="B1990" s="5">
        <v>45740.833333333336</v>
      </c>
      <c r="C1990" s="1" t="s">
        <v>8</v>
      </c>
      <c r="D1990" s="1" t="s">
        <v>37</v>
      </c>
      <c r="E1990" s="1">
        <v>8</v>
      </c>
      <c r="F1990" s="1">
        <v>97.48</v>
      </c>
      <c r="G1990" s="1">
        <v>45.54</v>
      </c>
      <c r="H1990">
        <f t="shared" si="31"/>
        <v>779.84</v>
      </c>
    </row>
    <row r="1991" spans="1:8" x14ac:dyDescent="0.25">
      <c r="A1991" s="1" t="s">
        <v>2004</v>
      </c>
      <c r="B1991" s="5">
        <v>45740.875</v>
      </c>
      <c r="C1991" s="1" t="s">
        <v>13</v>
      </c>
      <c r="D1991" s="1" t="s">
        <v>9</v>
      </c>
      <c r="E1991" s="1">
        <v>2</v>
      </c>
      <c r="F1991" s="1">
        <v>262.75</v>
      </c>
      <c r="G1991" s="1">
        <v>39.869999999999997</v>
      </c>
      <c r="H1991">
        <f t="shared" si="31"/>
        <v>525.5</v>
      </c>
    </row>
    <row r="1992" spans="1:8" x14ac:dyDescent="0.25">
      <c r="A1992" s="1" t="s">
        <v>2005</v>
      </c>
      <c r="B1992" s="5">
        <v>45740.916666666664</v>
      </c>
      <c r="C1992" s="1" t="s">
        <v>11</v>
      </c>
      <c r="D1992" s="1" t="s">
        <v>9</v>
      </c>
      <c r="E1992" s="1">
        <v>11</v>
      </c>
      <c r="F1992" s="1">
        <v>336.82</v>
      </c>
      <c r="G1992" s="1">
        <v>29.29</v>
      </c>
      <c r="H1992">
        <f t="shared" si="31"/>
        <v>3705.02</v>
      </c>
    </row>
    <row r="1993" spans="1:8" x14ac:dyDescent="0.25">
      <c r="A1993" s="1" t="s">
        <v>2006</v>
      </c>
      <c r="B1993" s="5">
        <v>45740.958333333336</v>
      </c>
      <c r="C1993" s="1" t="s">
        <v>8</v>
      </c>
      <c r="D1993" s="1" t="s">
        <v>16</v>
      </c>
      <c r="E1993" s="1">
        <v>7</v>
      </c>
      <c r="F1993" s="1">
        <v>355.99</v>
      </c>
      <c r="G1993" s="1">
        <v>11.69</v>
      </c>
      <c r="H1993">
        <f t="shared" si="31"/>
        <v>2491.9300000000003</v>
      </c>
    </row>
    <row r="1994" spans="1:8" x14ac:dyDescent="0.25">
      <c r="A1994" s="1" t="s">
        <v>2007</v>
      </c>
      <c r="B1994" s="5">
        <v>45741</v>
      </c>
      <c r="C1994" s="1" t="s">
        <v>8</v>
      </c>
      <c r="D1994" s="1" t="s">
        <v>19</v>
      </c>
      <c r="E1994" s="1">
        <v>6</v>
      </c>
      <c r="F1994" s="1">
        <v>146.65</v>
      </c>
      <c r="G1994" s="1">
        <v>20.69</v>
      </c>
      <c r="H1994">
        <f t="shared" si="31"/>
        <v>879.90000000000009</v>
      </c>
    </row>
    <row r="1995" spans="1:8" x14ac:dyDescent="0.25">
      <c r="A1995" s="1" t="s">
        <v>2008</v>
      </c>
      <c r="B1995" s="5">
        <v>45741.041666666664</v>
      </c>
      <c r="C1995" s="1" t="s">
        <v>13</v>
      </c>
      <c r="D1995" s="1" t="s">
        <v>9</v>
      </c>
      <c r="E1995" s="1">
        <v>10</v>
      </c>
      <c r="F1995" s="1">
        <v>238.15</v>
      </c>
      <c r="G1995" s="1">
        <v>31.27</v>
      </c>
      <c r="H1995">
        <f t="shared" si="31"/>
        <v>2381.5</v>
      </c>
    </row>
    <row r="1996" spans="1:8" x14ac:dyDescent="0.25">
      <c r="A1996" s="1" t="s">
        <v>2009</v>
      </c>
      <c r="B1996" s="5">
        <v>45741.083333333336</v>
      </c>
      <c r="C1996" s="1" t="s">
        <v>13</v>
      </c>
      <c r="D1996" s="1" t="s">
        <v>9</v>
      </c>
      <c r="E1996" s="1">
        <v>5</v>
      </c>
      <c r="F1996" s="1">
        <v>285.31</v>
      </c>
      <c r="G1996" s="1">
        <v>44.18</v>
      </c>
      <c r="H1996">
        <f t="shared" si="31"/>
        <v>1426.55</v>
      </c>
    </row>
    <row r="1997" spans="1:8" x14ac:dyDescent="0.25">
      <c r="A1997" s="1" t="s">
        <v>2010</v>
      </c>
      <c r="B1997" s="5">
        <v>45741.125</v>
      </c>
      <c r="C1997" s="1" t="s">
        <v>13</v>
      </c>
      <c r="D1997" s="1" t="s">
        <v>16</v>
      </c>
      <c r="E1997" s="1">
        <v>11</v>
      </c>
      <c r="F1997" s="1">
        <v>371.56</v>
      </c>
      <c r="G1997" s="1">
        <v>17.09</v>
      </c>
      <c r="H1997">
        <f t="shared" si="31"/>
        <v>4087.16</v>
      </c>
    </row>
    <row r="1998" spans="1:8" x14ac:dyDescent="0.25">
      <c r="A1998" s="1" t="s">
        <v>2011</v>
      </c>
      <c r="B1998" s="5">
        <v>45741.166666666664</v>
      </c>
      <c r="C1998" s="1" t="s">
        <v>23</v>
      </c>
      <c r="D1998" s="1" t="s">
        <v>16</v>
      </c>
      <c r="E1998" s="1">
        <v>1</v>
      </c>
      <c r="F1998" s="1">
        <v>346.32</v>
      </c>
      <c r="G1998" s="1">
        <v>10.46</v>
      </c>
      <c r="H1998">
        <f t="shared" si="31"/>
        <v>346.32</v>
      </c>
    </row>
    <row r="1999" spans="1:8" x14ac:dyDescent="0.25">
      <c r="A1999" s="1" t="s">
        <v>2012</v>
      </c>
      <c r="B1999" s="5">
        <v>45741.208333333336</v>
      </c>
      <c r="C1999" s="1" t="s">
        <v>13</v>
      </c>
      <c r="D1999" s="1" t="s">
        <v>9</v>
      </c>
      <c r="E1999" s="1">
        <v>2</v>
      </c>
      <c r="F1999" s="1">
        <v>444.78</v>
      </c>
      <c r="G1999" s="1">
        <v>30.15</v>
      </c>
      <c r="H1999">
        <f t="shared" si="31"/>
        <v>889.56</v>
      </c>
    </row>
    <row r="2000" spans="1:8" x14ac:dyDescent="0.25">
      <c r="A2000" s="1" t="s">
        <v>2013</v>
      </c>
      <c r="B2000" s="5">
        <v>45741.25</v>
      </c>
      <c r="C2000" s="1" t="s">
        <v>8</v>
      </c>
      <c r="D2000" s="1" t="s">
        <v>19</v>
      </c>
      <c r="E2000" s="1">
        <v>1</v>
      </c>
      <c r="F2000" s="1">
        <v>19.010000000000002</v>
      </c>
      <c r="G2000" s="1">
        <v>12.94</v>
      </c>
      <c r="H2000">
        <f t="shared" si="31"/>
        <v>19.010000000000002</v>
      </c>
    </row>
    <row r="2001" spans="1:8" x14ac:dyDescent="0.25">
      <c r="A2001" s="1" t="s">
        <v>2014</v>
      </c>
      <c r="B2001" s="5">
        <v>45741.291666666664</v>
      </c>
      <c r="C2001" s="1" t="s">
        <v>13</v>
      </c>
      <c r="D2001" s="1" t="s">
        <v>9</v>
      </c>
      <c r="E2001" s="1">
        <v>19</v>
      </c>
      <c r="F2001" s="1">
        <v>205.59</v>
      </c>
      <c r="G2001" s="1">
        <v>32.47</v>
      </c>
      <c r="H2001">
        <f t="shared" si="31"/>
        <v>3906.21</v>
      </c>
    </row>
    <row r="2002" spans="1:8" x14ac:dyDescent="0.25">
      <c r="A2002" s="1" t="s">
        <v>2015</v>
      </c>
      <c r="B2002" s="5">
        <v>45741.333333333336</v>
      </c>
      <c r="C2002" s="1" t="s">
        <v>8</v>
      </c>
      <c r="D2002" s="1" t="s">
        <v>16</v>
      </c>
      <c r="E2002" s="1">
        <v>2</v>
      </c>
      <c r="F2002" s="1">
        <v>126.75</v>
      </c>
      <c r="G2002" s="1">
        <v>16.86</v>
      </c>
      <c r="H2002">
        <f t="shared" si="31"/>
        <v>253.5</v>
      </c>
    </row>
    <row r="2003" spans="1:8" x14ac:dyDescent="0.25">
      <c r="A2003" s="1" t="s">
        <v>2016</v>
      </c>
      <c r="B2003" s="5">
        <v>45741.375</v>
      </c>
      <c r="C2003" s="1" t="s">
        <v>11</v>
      </c>
      <c r="D2003" s="1" t="s">
        <v>16</v>
      </c>
      <c r="E2003" s="1">
        <v>4</v>
      </c>
      <c r="F2003" s="1">
        <v>67.59</v>
      </c>
      <c r="G2003" s="1">
        <v>15.39</v>
      </c>
      <c r="H2003">
        <f t="shared" si="31"/>
        <v>270.36</v>
      </c>
    </row>
    <row r="2004" spans="1:8" x14ac:dyDescent="0.25">
      <c r="A2004" s="1" t="s">
        <v>2017</v>
      </c>
      <c r="B2004" s="5">
        <v>45741.416666666664</v>
      </c>
      <c r="C2004" s="1" t="s">
        <v>23</v>
      </c>
      <c r="D2004" s="1" t="s">
        <v>9</v>
      </c>
      <c r="E2004" s="1">
        <v>12</v>
      </c>
      <c r="F2004" s="1">
        <v>411.55</v>
      </c>
      <c r="G2004" s="1">
        <v>22.96</v>
      </c>
      <c r="H2004">
        <f t="shared" si="31"/>
        <v>4938.6000000000004</v>
      </c>
    </row>
    <row r="2005" spans="1:8" x14ac:dyDescent="0.25">
      <c r="A2005" s="1" t="s">
        <v>2018</v>
      </c>
      <c r="B2005" s="5">
        <v>45741.458333333336</v>
      </c>
      <c r="C2005" s="1" t="s">
        <v>11</v>
      </c>
      <c r="D2005" s="1" t="s">
        <v>19</v>
      </c>
      <c r="E2005" s="1">
        <v>18</v>
      </c>
      <c r="F2005" s="1">
        <v>449.11</v>
      </c>
      <c r="G2005" s="1">
        <v>31.69</v>
      </c>
      <c r="H2005">
        <f t="shared" si="31"/>
        <v>8083.9800000000005</v>
      </c>
    </row>
    <row r="2006" spans="1:8" x14ac:dyDescent="0.25">
      <c r="A2006" s="1" t="s">
        <v>2019</v>
      </c>
      <c r="B2006" s="5">
        <v>45741.5</v>
      </c>
      <c r="C2006" s="1" t="s">
        <v>11</v>
      </c>
      <c r="D2006" s="1" t="s">
        <v>9</v>
      </c>
      <c r="E2006" s="1">
        <v>1</v>
      </c>
      <c r="F2006" s="1">
        <v>93.97</v>
      </c>
      <c r="G2006" s="1">
        <v>29.54</v>
      </c>
      <c r="H2006">
        <f t="shared" si="31"/>
        <v>93.97</v>
      </c>
    </row>
    <row r="2007" spans="1:8" x14ac:dyDescent="0.25">
      <c r="A2007" s="1" t="s">
        <v>2020</v>
      </c>
      <c r="B2007" s="5">
        <v>45741.541666666664</v>
      </c>
      <c r="C2007" s="1" t="s">
        <v>8</v>
      </c>
      <c r="D2007" s="1" t="s">
        <v>9</v>
      </c>
      <c r="E2007" s="1">
        <v>1</v>
      </c>
      <c r="F2007" s="1">
        <v>32.200000000000003</v>
      </c>
      <c r="G2007" s="1">
        <v>16.010000000000002</v>
      </c>
      <c r="H2007">
        <f t="shared" si="31"/>
        <v>32.200000000000003</v>
      </c>
    </row>
    <row r="2008" spans="1:8" x14ac:dyDescent="0.25">
      <c r="A2008" s="1" t="s">
        <v>2021</v>
      </c>
      <c r="B2008" s="5">
        <v>45741.583333333336</v>
      </c>
      <c r="C2008" s="1" t="s">
        <v>11</v>
      </c>
      <c r="D2008" s="1" t="s">
        <v>16</v>
      </c>
      <c r="E2008" s="1">
        <v>14</v>
      </c>
      <c r="F2008" s="1">
        <v>135.01</v>
      </c>
      <c r="G2008" s="1">
        <v>45.1</v>
      </c>
      <c r="H2008">
        <f t="shared" si="31"/>
        <v>1890.1399999999999</v>
      </c>
    </row>
    <row r="2009" spans="1:8" x14ac:dyDescent="0.25">
      <c r="A2009" s="1" t="s">
        <v>2022</v>
      </c>
      <c r="B2009" s="5">
        <v>45741.625</v>
      </c>
      <c r="C2009" s="1" t="s">
        <v>8</v>
      </c>
      <c r="D2009" s="1" t="s">
        <v>19</v>
      </c>
      <c r="E2009" s="1">
        <v>4</v>
      </c>
      <c r="F2009" s="1">
        <v>378.25</v>
      </c>
      <c r="G2009" s="1">
        <v>9.94</v>
      </c>
      <c r="H2009">
        <f t="shared" si="31"/>
        <v>1513</v>
      </c>
    </row>
    <row r="2010" spans="1:8" x14ac:dyDescent="0.25">
      <c r="A2010" s="1" t="s">
        <v>2023</v>
      </c>
      <c r="B2010" s="5">
        <v>45741.666666666664</v>
      </c>
      <c r="C2010" s="1" t="s">
        <v>13</v>
      </c>
      <c r="D2010" s="1" t="s">
        <v>37</v>
      </c>
      <c r="E2010" s="1">
        <v>5</v>
      </c>
      <c r="F2010" s="1">
        <v>143.19999999999999</v>
      </c>
      <c r="G2010" s="1">
        <v>6.78</v>
      </c>
      <c r="H2010">
        <f t="shared" si="31"/>
        <v>716</v>
      </c>
    </row>
    <row r="2011" spans="1:8" x14ac:dyDescent="0.25">
      <c r="A2011" s="1" t="s">
        <v>2024</v>
      </c>
      <c r="B2011" s="5">
        <v>45741.708333333336</v>
      </c>
      <c r="C2011" s="1" t="s">
        <v>13</v>
      </c>
      <c r="D2011" s="1" t="s">
        <v>19</v>
      </c>
      <c r="E2011" s="1">
        <v>11</v>
      </c>
      <c r="F2011" s="1">
        <v>40.22</v>
      </c>
      <c r="G2011" s="1">
        <v>32.119999999999997</v>
      </c>
      <c r="H2011">
        <f t="shared" si="31"/>
        <v>442.41999999999996</v>
      </c>
    </row>
    <row r="2012" spans="1:8" x14ac:dyDescent="0.25">
      <c r="A2012" s="1" t="s">
        <v>2025</v>
      </c>
      <c r="B2012" s="5">
        <v>45741.75</v>
      </c>
      <c r="C2012" s="1" t="s">
        <v>8</v>
      </c>
      <c r="D2012" s="1" t="s">
        <v>9</v>
      </c>
      <c r="E2012" s="1">
        <v>13</v>
      </c>
      <c r="F2012" s="1">
        <v>38.31</v>
      </c>
      <c r="G2012" s="1">
        <v>10.55</v>
      </c>
      <c r="H2012">
        <f t="shared" si="31"/>
        <v>498.03000000000003</v>
      </c>
    </row>
    <row r="2013" spans="1:8" x14ac:dyDescent="0.25">
      <c r="A2013" s="1" t="s">
        <v>2026</v>
      </c>
      <c r="B2013" s="5">
        <v>45741.791666666664</v>
      </c>
      <c r="C2013" s="1" t="s">
        <v>13</v>
      </c>
      <c r="D2013" s="1" t="s">
        <v>9</v>
      </c>
      <c r="E2013" s="1">
        <v>16</v>
      </c>
      <c r="F2013" s="1">
        <v>201.22</v>
      </c>
      <c r="G2013" s="1">
        <v>27.72</v>
      </c>
      <c r="H2013">
        <f t="shared" si="31"/>
        <v>3219.52</v>
      </c>
    </row>
    <row r="2014" spans="1:8" x14ac:dyDescent="0.25">
      <c r="A2014" s="1" t="s">
        <v>2027</v>
      </c>
      <c r="B2014" s="5">
        <v>45741.833333333336</v>
      </c>
      <c r="C2014" s="1" t="s">
        <v>23</v>
      </c>
      <c r="D2014" s="1" t="s">
        <v>9</v>
      </c>
      <c r="E2014" s="1">
        <v>13</v>
      </c>
      <c r="F2014" s="1">
        <v>420.38</v>
      </c>
      <c r="G2014" s="1">
        <v>47.83</v>
      </c>
      <c r="H2014">
        <f t="shared" si="31"/>
        <v>5464.94</v>
      </c>
    </row>
    <row r="2015" spans="1:8" x14ac:dyDescent="0.25">
      <c r="A2015" s="1" t="s">
        <v>2028</v>
      </c>
      <c r="B2015" s="5">
        <v>45741.875</v>
      </c>
      <c r="C2015" s="1" t="s">
        <v>11</v>
      </c>
      <c r="D2015" s="1" t="s">
        <v>19</v>
      </c>
      <c r="E2015" s="1">
        <v>2</v>
      </c>
      <c r="F2015" s="1">
        <v>139.72999999999999</v>
      </c>
      <c r="G2015" s="1">
        <v>36.44</v>
      </c>
      <c r="H2015">
        <f t="shared" si="31"/>
        <v>279.45999999999998</v>
      </c>
    </row>
    <row r="2016" spans="1:8" x14ac:dyDescent="0.25">
      <c r="A2016" s="1" t="s">
        <v>2029</v>
      </c>
      <c r="B2016" s="5">
        <v>45741.916666666664</v>
      </c>
      <c r="C2016" s="1" t="s">
        <v>23</v>
      </c>
      <c r="D2016" s="1" t="s">
        <v>16</v>
      </c>
      <c r="E2016" s="1">
        <v>16</v>
      </c>
      <c r="F2016" s="1">
        <v>201.1</v>
      </c>
      <c r="G2016" s="1">
        <v>32.79</v>
      </c>
      <c r="H2016">
        <f t="shared" si="31"/>
        <v>3217.6</v>
      </c>
    </row>
    <row r="2017" spans="1:8" x14ac:dyDescent="0.25">
      <c r="A2017" s="1" t="s">
        <v>2030</v>
      </c>
      <c r="B2017" s="5">
        <v>45741.958333333336</v>
      </c>
      <c r="C2017" s="1" t="s">
        <v>11</v>
      </c>
      <c r="D2017" s="1" t="s">
        <v>9</v>
      </c>
      <c r="E2017" s="1">
        <v>6</v>
      </c>
      <c r="F2017" s="1">
        <v>59.79</v>
      </c>
      <c r="G2017" s="1">
        <v>30.87</v>
      </c>
      <c r="H2017">
        <f t="shared" si="31"/>
        <v>358.74</v>
      </c>
    </row>
    <row r="2018" spans="1:8" x14ac:dyDescent="0.25">
      <c r="A2018" s="1" t="s">
        <v>2031</v>
      </c>
      <c r="B2018" s="5">
        <v>45742</v>
      </c>
      <c r="C2018" s="1" t="s">
        <v>13</v>
      </c>
      <c r="D2018" s="1" t="s">
        <v>9</v>
      </c>
      <c r="E2018" s="1">
        <v>14</v>
      </c>
      <c r="F2018" s="1">
        <v>229.96</v>
      </c>
      <c r="G2018" s="1">
        <v>13.08</v>
      </c>
      <c r="H2018">
        <f t="shared" si="31"/>
        <v>3219.44</v>
      </c>
    </row>
    <row r="2019" spans="1:8" x14ac:dyDescent="0.25">
      <c r="A2019" s="1" t="s">
        <v>2032</v>
      </c>
      <c r="B2019" s="5">
        <v>45742.041666666664</v>
      </c>
      <c r="C2019" s="1" t="s">
        <v>23</v>
      </c>
      <c r="D2019" s="1" t="s">
        <v>19</v>
      </c>
      <c r="E2019" s="1">
        <v>1</v>
      </c>
      <c r="F2019" s="1">
        <v>318.14999999999998</v>
      </c>
      <c r="G2019" s="1">
        <v>24.47</v>
      </c>
      <c r="H2019">
        <f t="shared" si="31"/>
        <v>318.14999999999998</v>
      </c>
    </row>
    <row r="2020" spans="1:8" x14ac:dyDescent="0.25">
      <c r="A2020" s="1" t="s">
        <v>2033</v>
      </c>
      <c r="B2020" s="5">
        <v>45742.083333333336</v>
      </c>
      <c r="C2020" s="1" t="s">
        <v>13</v>
      </c>
      <c r="D2020" s="1" t="s">
        <v>37</v>
      </c>
      <c r="E2020" s="1">
        <v>17</v>
      </c>
      <c r="F2020" s="1">
        <v>133.31</v>
      </c>
      <c r="G2020" s="1">
        <v>20.41</v>
      </c>
      <c r="H2020">
        <f t="shared" si="31"/>
        <v>2266.27</v>
      </c>
    </row>
    <row r="2021" spans="1:8" x14ac:dyDescent="0.25">
      <c r="A2021" s="1" t="s">
        <v>2034</v>
      </c>
      <c r="B2021" s="5">
        <v>45742.125</v>
      </c>
      <c r="C2021" s="1" t="s">
        <v>11</v>
      </c>
      <c r="D2021" s="1" t="s">
        <v>37</v>
      </c>
      <c r="E2021" s="1">
        <v>11</v>
      </c>
      <c r="F2021" s="1">
        <v>144.41999999999999</v>
      </c>
      <c r="G2021" s="1">
        <v>47.89</v>
      </c>
      <c r="H2021">
        <f t="shared" si="31"/>
        <v>1588.62</v>
      </c>
    </row>
    <row r="2022" spans="1:8" x14ac:dyDescent="0.25">
      <c r="A2022" s="1" t="s">
        <v>2035</v>
      </c>
      <c r="B2022" s="5">
        <v>45742.166666666664</v>
      </c>
      <c r="C2022" s="1" t="s">
        <v>8</v>
      </c>
      <c r="D2022" s="1" t="s">
        <v>16</v>
      </c>
      <c r="E2022" s="1">
        <v>19</v>
      </c>
      <c r="F2022" s="1">
        <v>381.34</v>
      </c>
      <c r="G2022" s="1">
        <v>15.9</v>
      </c>
      <c r="H2022">
        <f t="shared" si="31"/>
        <v>7245.4599999999991</v>
      </c>
    </row>
    <row r="2023" spans="1:8" x14ac:dyDescent="0.25">
      <c r="A2023" s="1" t="s">
        <v>2036</v>
      </c>
      <c r="B2023" s="5">
        <v>45742.208333333336</v>
      </c>
      <c r="C2023" s="1" t="s">
        <v>8</v>
      </c>
      <c r="D2023" s="1" t="s">
        <v>16</v>
      </c>
      <c r="E2023" s="1">
        <v>3</v>
      </c>
      <c r="F2023" s="1">
        <v>20</v>
      </c>
      <c r="G2023" s="1">
        <v>26.22</v>
      </c>
      <c r="H2023">
        <f t="shared" si="31"/>
        <v>60</v>
      </c>
    </row>
    <row r="2024" spans="1:8" x14ac:dyDescent="0.25">
      <c r="A2024" s="1" t="s">
        <v>2037</v>
      </c>
      <c r="B2024" s="5">
        <v>45742.25</v>
      </c>
      <c r="C2024" s="1" t="s">
        <v>23</v>
      </c>
      <c r="D2024" s="1" t="s">
        <v>9</v>
      </c>
      <c r="E2024" s="1">
        <v>11</v>
      </c>
      <c r="F2024" s="1">
        <v>292.05</v>
      </c>
      <c r="G2024" s="1">
        <v>47.21</v>
      </c>
      <c r="H2024">
        <f t="shared" si="31"/>
        <v>3212.55</v>
      </c>
    </row>
    <row r="2025" spans="1:8" x14ac:dyDescent="0.25">
      <c r="A2025" s="1" t="s">
        <v>2038</v>
      </c>
      <c r="B2025" s="5">
        <v>45742.291666666664</v>
      </c>
      <c r="C2025" s="1" t="s">
        <v>13</v>
      </c>
      <c r="D2025" s="1" t="s">
        <v>19</v>
      </c>
      <c r="E2025" s="1">
        <v>5</v>
      </c>
      <c r="F2025" s="1">
        <v>186.64</v>
      </c>
      <c r="G2025" s="1">
        <v>40.51</v>
      </c>
      <c r="H2025">
        <f t="shared" si="31"/>
        <v>933.19999999999993</v>
      </c>
    </row>
    <row r="2026" spans="1:8" x14ac:dyDescent="0.25">
      <c r="A2026" s="1" t="s">
        <v>2039</v>
      </c>
      <c r="B2026" s="5">
        <v>45742.333333333336</v>
      </c>
      <c r="C2026" s="1" t="s">
        <v>13</v>
      </c>
      <c r="D2026" s="1" t="s">
        <v>9</v>
      </c>
      <c r="E2026" s="1">
        <v>17</v>
      </c>
      <c r="F2026" s="1">
        <v>145.15</v>
      </c>
      <c r="G2026" s="1">
        <v>48.4</v>
      </c>
      <c r="H2026">
        <f t="shared" si="31"/>
        <v>2467.5500000000002</v>
      </c>
    </row>
    <row r="2027" spans="1:8" x14ac:dyDescent="0.25">
      <c r="A2027" s="1" t="s">
        <v>2040</v>
      </c>
      <c r="B2027" s="5">
        <v>45742.375</v>
      </c>
      <c r="C2027" s="1" t="s">
        <v>23</v>
      </c>
      <c r="D2027" s="1" t="s">
        <v>16</v>
      </c>
      <c r="E2027" s="1">
        <v>7</v>
      </c>
      <c r="F2027" s="1">
        <v>301.22000000000003</v>
      </c>
      <c r="G2027" s="1">
        <v>32.369999999999997</v>
      </c>
      <c r="H2027">
        <f t="shared" si="31"/>
        <v>2108.54</v>
      </c>
    </row>
    <row r="2028" spans="1:8" x14ac:dyDescent="0.25">
      <c r="A2028" s="1" t="s">
        <v>2041</v>
      </c>
      <c r="B2028" s="5">
        <v>45742.416666666664</v>
      </c>
      <c r="C2028" s="1" t="s">
        <v>8</v>
      </c>
      <c r="D2028" s="1" t="s">
        <v>19</v>
      </c>
      <c r="E2028" s="1">
        <v>10</v>
      </c>
      <c r="F2028" s="1">
        <v>378.16</v>
      </c>
      <c r="G2028" s="1">
        <v>20.02</v>
      </c>
      <c r="H2028">
        <f t="shared" si="31"/>
        <v>3781.6000000000004</v>
      </c>
    </row>
    <row r="2029" spans="1:8" x14ac:dyDescent="0.25">
      <c r="A2029" s="1" t="s">
        <v>2042</v>
      </c>
      <c r="B2029" s="5">
        <v>45742.458333333336</v>
      </c>
      <c r="C2029" s="1" t="s">
        <v>11</v>
      </c>
      <c r="D2029" s="1" t="s">
        <v>19</v>
      </c>
      <c r="E2029" s="1">
        <v>11</v>
      </c>
      <c r="F2029" s="1">
        <v>258.12</v>
      </c>
      <c r="G2029" s="1">
        <v>42.2</v>
      </c>
      <c r="H2029">
        <f t="shared" si="31"/>
        <v>2839.32</v>
      </c>
    </row>
    <row r="2030" spans="1:8" x14ac:dyDescent="0.25">
      <c r="A2030" s="1" t="s">
        <v>2043</v>
      </c>
      <c r="B2030" s="5">
        <v>45742.5</v>
      </c>
      <c r="C2030" s="1" t="s">
        <v>23</v>
      </c>
      <c r="D2030" s="1" t="s">
        <v>16</v>
      </c>
      <c r="E2030" s="1">
        <v>3</v>
      </c>
      <c r="F2030" s="1">
        <v>29.01</v>
      </c>
      <c r="G2030" s="1">
        <v>18.12</v>
      </c>
      <c r="H2030">
        <f t="shared" si="31"/>
        <v>87.03</v>
      </c>
    </row>
    <row r="2031" spans="1:8" x14ac:dyDescent="0.25">
      <c r="A2031" s="1" t="s">
        <v>2044</v>
      </c>
      <c r="B2031" s="5">
        <v>45742.541666666664</v>
      </c>
      <c r="C2031" s="1" t="s">
        <v>11</v>
      </c>
      <c r="D2031" s="1" t="s">
        <v>37</v>
      </c>
      <c r="E2031" s="1">
        <v>10</v>
      </c>
      <c r="F2031" s="1">
        <v>215.98</v>
      </c>
      <c r="G2031" s="1">
        <v>12.41</v>
      </c>
      <c r="H2031">
        <f t="shared" si="31"/>
        <v>2159.7999999999997</v>
      </c>
    </row>
    <row r="2032" spans="1:8" x14ac:dyDescent="0.25">
      <c r="A2032" s="1" t="s">
        <v>2045</v>
      </c>
      <c r="B2032" s="5">
        <v>45742.583333333336</v>
      </c>
      <c r="C2032" s="1" t="s">
        <v>8</v>
      </c>
      <c r="D2032" s="1" t="s">
        <v>37</v>
      </c>
      <c r="E2032" s="1">
        <v>10</v>
      </c>
      <c r="F2032" s="1">
        <v>216.57</v>
      </c>
      <c r="G2032" s="1">
        <v>36.78</v>
      </c>
      <c r="H2032">
        <f t="shared" si="31"/>
        <v>2165.6999999999998</v>
      </c>
    </row>
    <row r="2033" spans="1:8" x14ac:dyDescent="0.25">
      <c r="A2033" s="1" t="s">
        <v>2046</v>
      </c>
      <c r="B2033" s="5">
        <v>45742.625</v>
      </c>
      <c r="C2033" s="1" t="s">
        <v>13</v>
      </c>
      <c r="D2033" s="1" t="s">
        <v>19</v>
      </c>
      <c r="E2033" s="1">
        <v>14</v>
      </c>
      <c r="F2033" s="1">
        <v>251.78</v>
      </c>
      <c r="G2033" s="1">
        <v>33.75</v>
      </c>
      <c r="H2033">
        <f t="shared" si="31"/>
        <v>3524.92</v>
      </c>
    </row>
    <row r="2034" spans="1:8" x14ac:dyDescent="0.25">
      <c r="A2034" s="1" t="s">
        <v>2047</v>
      </c>
      <c r="B2034" s="5">
        <v>45742.666666666664</v>
      </c>
      <c r="C2034" s="1" t="s">
        <v>8</v>
      </c>
      <c r="D2034" s="1" t="s">
        <v>9</v>
      </c>
      <c r="E2034" s="1">
        <v>12</v>
      </c>
      <c r="F2034" s="1">
        <v>307.02999999999997</v>
      </c>
      <c r="G2034" s="1">
        <v>44.55</v>
      </c>
      <c r="H2034">
        <f t="shared" si="31"/>
        <v>3684.3599999999997</v>
      </c>
    </row>
    <row r="2035" spans="1:8" x14ac:dyDescent="0.25">
      <c r="A2035" s="1" t="s">
        <v>2048</v>
      </c>
      <c r="B2035" s="5">
        <v>45742.708333333336</v>
      </c>
      <c r="C2035" s="1" t="s">
        <v>23</v>
      </c>
      <c r="D2035" s="1" t="s">
        <v>37</v>
      </c>
      <c r="E2035" s="1">
        <v>15</v>
      </c>
      <c r="F2035" s="1">
        <v>23.89</v>
      </c>
      <c r="G2035" s="1">
        <v>48.29</v>
      </c>
      <c r="H2035">
        <f t="shared" si="31"/>
        <v>358.35</v>
      </c>
    </row>
    <row r="2036" spans="1:8" x14ac:dyDescent="0.25">
      <c r="A2036" s="1" t="s">
        <v>2049</v>
      </c>
      <c r="B2036" s="5">
        <v>45742.75</v>
      </c>
      <c r="C2036" s="1" t="s">
        <v>13</v>
      </c>
      <c r="D2036" s="1" t="s">
        <v>9</v>
      </c>
      <c r="E2036" s="1">
        <v>10</v>
      </c>
      <c r="F2036" s="1">
        <v>233.62</v>
      </c>
      <c r="G2036" s="1">
        <v>43.57</v>
      </c>
      <c r="H2036">
        <f t="shared" si="31"/>
        <v>2336.1999999999998</v>
      </c>
    </row>
    <row r="2037" spans="1:8" x14ac:dyDescent="0.25">
      <c r="A2037" s="1" t="s">
        <v>2050</v>
      </c>
      <c r="B2037" s="5">
        <v>45742.791666666664</v>
      </c>
      <c r="C2037" s="1" t="s">
        <v>23</v>
      </c>
      <c r="D2037" s="1" t="s">
        <v>37</v>
      </c>
      <c r="E2037" s="1">
        <v>10</v>
      </c>
      <c r="F2037" s="1">
        <v>271.12</v>
      </c>
      <c r="G2037" s="1">
        <v>7.7</v>
      </c>
      <c r="H2037">
        <f t="shared" si="31"/>
        <v>2711.2</v>
      </c>
    </row>
    <row r="2038" spans="1:8" x14ac:dyDescent="0.25">
      <c r="A2038" s="1" t="s">
        <v>2051</v>
      </c>
      <c r="B2038" s="5">
        <v>45742.833333333336</v>
      </c>
      <c r="C2038" s="1" t="s">
        <v>23</v>
      </c>
      <c r="D2038" s="1" t="s">
        <v>37</v>
      </c>
      <c r="E2038" s="1">
        <v>19</v>
      </c>
      <c r="F2038" s="1">
        <v>164.69</v>
      </c>
      <c r="G2038" s="1">
        <v>34.9</v>
      </c>
      <c r="H2038">
        <f t="shared" si="31"/>
        <v>3129.11</v>
      </c>
    </row>
    <row r="2039" spans="1:8" x14ac:dyDescent="0.25">
      <c r="A2039" s="1" t="s">
        <v>2052</v>
      </c>
      <c r="B2039" s="5">
        <v>45742.875</v>
      </c>
      <c r="C2039" s="1" t="s">
        <v>8</v>
      </c>
      <c r="D2039" s="1" t="s">
        <v>9</v>
      </c>
      <c r="E2039" s="1">
        <v>1</v>
      </c>
      <c r="F2039" s="1">
        <v>305.89999999999998</v>
      </c>
      <c r="G2039" s="1">
        <v>40.31</v>
      </c>
      <c r="H2039">
        <f t="shared" si="31"/>
        <v>305.89999999999998</v>
      </c>
    </row>
    <row r="2040" spans="1:8" x14ac:dyDescent="0.25">
      <c r="A2040" s="1" t="s">
        <v>2053</v>
      </c>
      <c r="B2040" s="5">
        <v>45742.916666666664</v>
      </c>
      <c r="C2040" s="1" t="s">
        <v>23</v>
      </c>
      <c r="D2040" s="1" t="s">
        <v>16</v>
      </c>
      <c r="E2040" s="1">
        <v>10</v>
      </c>
      <c r="F2040" s="1">
        <v>114.64</v>
      </c>
      <c r="G2040" s="1">
        <v>49.19</v>
      </c>
      <c r="H2040">
        <f t="shared" si="31"/>
        <v>1146.4000000000001</v>
      </c>
    </row>
    <row r="2041" spans="1:8" x14ac:dyDescent="0.25">
      <c r="A2041" s="1" t="s">
        <v>2054</v>
      </c>
      <c r="B2041" s="5">
        <v>45742.958333333336</v>
      </c>
      <c r="C2041" s="1" t="s">
        <v>8</v>
      </c>
      <c r="D2041" s="1" t="s">
        <v>37</v>
      </c>
      <c r="E2041" s="1">
        <v>2</v>
      </c>
      <c r="F2041" s="1">
        <v>153.4</v>
      </c>
      <c r="G2041" s="1">
        <v>21.86</v>
      </c>
      <c r="H2041">
        <f t="shared" si="31"/>
        <v>306.8</v>
      </c>
    </row>
    <row r="2042" spans="1:8" x14ac:dyDescent="0.25">
      <c r="A2042" s="1" t="s">
        <v>2055</v>
      </c>
      <c r="B2042" s="5">
        <v>45743</v>
      </c>
      <c r="C2042" s="1" t="s">
        <v>13</v>
      </c>
      <c r="D2042" s="1" t="s">
        <v>37</v>
      </c>
      <c r="E2042" s="1">
        <v>17</v>
      </c>
      <c r="F2042" s="1">
        <v>433.82</v>
      </c>
      <c r="G2042" s="1">
        <v>12.64</v>
      </c>
      <c r="H2042">
        <f t="shared" si="31"/>
        <v>7374.94</v>
      </c>
    </row>
    <row r="2043" spans="1:8" x14ac:dyDescent="0.25">
      <c r="A2043" s="1" t="s">
        <v>2056</v>
      </c>
      <c r="B2043" s="5">
        <v>45743.041666666664</v>
      </c>
      <c r="C2043" s="1" t="s">
        <v>8</v>
      </c>
      <c r="D2043" s="1" t="s">
        <v>9</v>
      </c>
      <c r="E2043" s="1">
        <v>7</v>
      </c>
      <c r="F2043" s="1">
        <v>166.74</v>
      </c>
      <c r="G2043" s="1">
        <v>43.38</v>
      </c>
      <c r="H2043">
        <f t="shared" si="31"/>
        <v>1167.18</v>
      </c>
    </row>
    <row r="2044" spans="1:8" x14ac:dyDescent="0.25">
      <c r="A2044" s="1" t="s">
        <v>2057</v>
      </c>
      <c r="B2044" s="5">
        <v>45743.083333333336</v>
      </c>
      <c r="C2044" s="1" t="s">
        <v>13</v>
      </c>
      <c r="D2044" s="1" t="s">
        <v>16</v>
      </c>
      <c r="E2044" s="1">
        <v>7</v>
      </c>
      <c r="F2044" s="1">
        <v>166.05</v>
      </c>
      <c r="G2044" s="1">
        <v>19.29</v>
      </c>
      <c r="H2044">
        <f t="shared" si="31"/>
        <v>1162.3500000000001</v>
      </c>
    </row>
    <row r="2045" spans="1:8" x14ac:dyDescent="0.25">
      <c r="A2045" s="1" t="s">
        <v>2058</v>
      </c>
      <c r="B2045" s="5">
        <v>45743.125</v>
      </c>
      <c r="C2045" s="1" t="s">
        <v>8</v>
      </c>
      <c r="D2045" s="1" t="s">
        <v>37</v>
      </c>
      <c r="E2045" s="1">
        <v>9</v>
      </c>
      <c r="F2045" s="1">
        <v>274.32</v>
      </c>
      <c r="G2045" s="1">
        <v>31.92</v>
      </c>
      <c r="H2045">
        <f t="shared" si="31"/>
        <v>2468.88</v>
      </c>
    </row>
    <row r="2046" spans="1:8" x14ac:dyDescent="0.25">
      <c r="A2046" s="1" t="s">
        <v>2059</v>
      </c>
      <c r="B2046" s="5">
        <v>45743.166666666664</v>
      </c>
      <c r="C2046" s="1" t="s">
        <v>11</v>
      </c>
      <c r="D2046" s="1" t="s">
        <v>37</v>
      </c>
      <c r="E2046" s="1">
        <v>2</v>
      </c>
      <c r="F2046" s="1">
        <v>437.39</v>
      </c>
      <c r="G2046" s="1">
        <v>22.55</v>
      </c>
      <c r="H2046">
        <f t="shared" si="31"/>
        <v>874.78</v>
      </c>
    </row>
    <row r="2047" spans="1:8" x14ac:dyDescent="0.25">
      <c r="A2047" s="1" t="s">
        <v>2060</v>
      </c>
      <c r="B2047" s="5">
        <v>45743.208333333336</v>
      </c>
      <c r="C2047" s="1" t="s">
        <v>11</v>
      </c>
      <c r="D2047" s="1" t="s">
        <v>16</v>
      </c>
      <c r="E2047" s="1">
        <v>14</v>
      </c>
      <c r="F2047" s="1">
        <v>442.65</v>
      </c>
      <c r="G2047" s="1">
        <v>23.1</v>
      </c>
      <c r="H2047">
        <f t="shared" si="31"/>
        <v>6197.0999999999995</v>
      </c>
    </row>
    <row r="2048" spans="1:8" x14ac:dyDescent="0.25">
      <c r="A2048" s="1" t="s">
        <v>2061</v>
      </c>
      <c r="B2048" s="5">
        <v>45743.25</v>
      </c>
      <c r="C2048" s="1" t="s">
        <v>23</v>
      </c>
      <c r="D2048" s="1" t="s">
        <v>37</v>
      </c>
      <c r="E2048" s="1">
        <v>17</v>
      </c>
      <c r="F2048" s="1">
        <v>267.36</v>
      </c>
      <c r="G2048" s="1">
        <v>37.96</v>
      </c>
      <c r="H2048">
        <f t="shared" si="31"/>
        <v>4545.12</v>
      </c>
    </row>
    <row r="2049" spans="1:8" x14ac:dyDescent="0.25">
      <c r="A2049" s="1" t="s">
        <v>2062</v>
      </c>
      <c r="B2049" s="5">
        <v>45743.291666666664</v>
      </c>
      <c r="C2049" s="1" t="s">
        <v>8</v>
      </c>
      <c r="D2049" s="1" t="s">
        <v>16</v>
      </c>
      <c r="E2049" s="1">
        <v>1</v>
      </c>
      <c r="F2049" s="1">
        <v>15.97</v>
      </c>
      <c r="G2049" s="1">
        <v>21.27</v>
      </c>
      <c r="H2049">
        <f t="shared" si="31"/>
        <v>15.97</v>
      </c>
    </row>
    <row r="2050" spans="1:8" x14ac:dyDescent="0.25">
      <c r="A2050" s="1" t="s">
        <v>2063</v>
      </c>
      <c r="B2050" s="5">
        <v>45743.333333333336</v>
      </c>
      <c r="C2050" s="1" t="s">
        <v>8</v>
      </c>
      <c r="D2050" s="1" t="s">
        <v>16</v>
      </c>
      <c r="E2050" s="1">
        <v>9</v>
      </c>
      <c r="F2050" s="1">
        <v>406.84</v>
      </c>
      <c r="G2050" s="1">
        <v>36.19</v>
      </c>
      <c r="H2050">
        <f t="shared" ref="H2050:H2113" si="32">E2050*F2050</f>
        <v>3661.56</v>
      </c>
    </row>
    <row r="2051" spans="1:8" x14ac:dyDescent="0.25">
      <c r="A2051" s="1" t="s">
        <v>2064</v>
      </c>
      <c r="B2051" s="5">
        <v>45743.375</v>
      </c>
      <c r="C2051" s="1" t="s">
        <v>13</v>
      </c>
      <c r="D2051" s="1" t="s">
        <v>9</v>
      </c>
      <c r="E2051" s="1">
        <v>19</v>
      </c>
      <c r="F2051" s="1">
        <v>263.27</v>
      </c>
      <c r="G2051" s="1">
        <v>5.64</v>
      </c>
      <c r="H2051">
        <f t="shared" si="32"/>
        <v>5002.1299999999992</v>
      </c>
    </row>
    <row r="2052" spans="1:8" x14ac:dyDescent="0.25">
      <c r="A2052" s="1" t="s">
        <v>2065</v>
      </c>
      <c r="B2052" s="5">
        <v>45743.416666666664</v>
      </c>
      <c r="C2052" s="1" t="s">
        <v>23</v>
      </c>
      <c r="D2052" s="1" t="s">
        <v>19</v>
      </c>
      <c r="E2052" s="1">
        <v>4</v>
      </c>
      <c r="F2052" s="1">
        <v>174.53</v>
      </c>
      <c r="G2052" s="1">
        <v>19.61</v>
      </c>
      <c r="H2052">
        <f t="shared" si="32"/>
        <v>698.12</v>
      </c>
    </row>
    <row r="2053" spans="1:8" x14ac:dyDescent="0.25">
      <c r="A2053" s="1" t="s">
        <v>2066</v>
      </c>
      <c r="B2053" s="5">
        <v>45743.458333333336</v>
      </c>
      <c r="C2053" s="1" t="s">
        <v>8</v>
      </c>
      <c r="D2053" s="1" t="s">
        <v>16</v>
      </c>
      <c r="E2053" s="1">
        <v>8</v>
      </c>
      <c r="F2053" s="1">
        <v>375.79</v>
      </c>
      <c r="G2053" s="1">
        <v>19.36</v>
      </c>
      <c r="H2053">
        <f t="shared" si="32"/>
        <v>3006.32</v>
      </c>
    </row>
    <row r="2054" spans="1:8" x14ac:dyDescent="0.25">
      <c r="A2054" s="1" t="s">
        <v>2067</v>
      </c>
      <c r="B2054" s="5">
        <v>45743.5</v>
      </c>
      <c r="C2054" s="1" t="s">
        <v>23</v>
      </c>
      <c r="D2054" s="1" t="s">
        <v>9</v>
      </c>
      <c r="E2054" s="1">
        <v>13</v>
      </c>
      <c r="F2054" s="1">
        <v>189.23</v>
      </c>
      <c r="G2054" s="1">
        <v>38.700000000000003</v>
      </c>
      <c r="H2054">
        <f t="shared" si="32"/>
        <v>2459.9899999999998</v>
      </c>
    </row>
    <row r="2055" spans="1:8" x14ac:dyDescent="0.25">
      <c r="A2055" s="1" t="s">
        <v>2068</v>
      </c>
      <c r="B2055" s="5">
        <v>45743.541666666664</v>
      </c>
      <c r="C2055" s="1" t="s">
        <v>11</v>
      </c>
      <c r="D2055" s="1" t="s">
        <v>19</v>
      </c>
      <c r="E2055" s="1">
        <v>4</v>
      </c>
      <c r="F2055" s="1">
        <v>30.29</v>
      </c>
      <c r="G2055" s="1">
        <v>19.16</v>
      </c>
      <c r="H2055">
        <f t="shared" si="32"/>
        <v>121.16</v>
      </c>
    </row>
    <row r="2056" spans="1:8" x14ac:dyDescent="0.25">
      <c r="A2056" s="1" t="s">
        <v>2069</v>
      </c>
      <c r="B2056" s="5">
        <v>45743.583333333336</v>
      </c>
      <c r="C2056" s="1" t="s">
        <v>8</v>
      </c>
      <c r="D2056" s="1" t="s">
        <v>37</v>
      </c>
      <c r="E2056" s="1">
        <v>9</v>
      </c>
      <c r="F2056" s="1">
        <v>372.26</v>
      </c>
      <c r="G2056" s="1">
        <v>33.5</v>
      </c>
      <c r="H2056">
        <f t="shared" si="32"/>
        <v>3350.34</v>
      </c>
    </row>
    <row r="2057" spans="1:8" x14ac:dyDescent="0.25">
      <c r="A2057" s="1" t="s">
        <v>2070</v>
      </c>
      <c r="B2057" s="5">
        <v>45743.625</v>
      </c>
      <c r="C2057" s="1" t="s">
        <v>8</v>
      </c>
      <c r="D2057" s="1" t="s">
        <v>19</v>
      </c>
      <c r="E2057" s="1">
        <v>9</v>
      </c>
      <c r="F2057" s="1">
        <v>252.68</v>
      </c>
      <c r="G2057" s="1">
        <v>35.979999999999997</v>
      </c>
      <c r="H2057">
        <f t="shared" si="32"/>
        <v>2274.12</v>
      </c>
    </row>
    <row r="2058" spans="1:8" x14ac:dyDescent="0.25">
      <c r="A2058" s="1" t="s">
        <v>2071</v>
      </c>
      <c r="B2058" s="5">
        <v>45743.666666666664</v>
      </c>
      <c r="C2058" s="1" t="s">
        <v>23</v>
      </c>
      <c r="D2058" s="1" t="s">
        <v>16</v>
      </c>
      <c r="E2058" s="1">
        <v>18</v>
      </c>
      <c r="F2058" s="1">
        <v>162.41999999999999</v>
      </c>
      <c r="G2058" s="1">
        <v>34.630000000000003</v>
      </c>
      <c r="H2058">
        <f t="shared" si="32"/>
        <v>2923.56</v>
      </c>
    </row>
    <row r="2059" spans="1:8" x14ac:dyDescent="0.25">
      <c r="A2059" s="1" t="s">
        <v>2072</v>
      </c>
      <c r="B2059" s="5">
        <v>45743.708333333336</v>
      </c>
      <c r="C2059" s="1" t="s">
        <v>8</v>
      </c>
      <c r="D2059" s="1" t="s">
        <v>16</v>
      </c>
      <c r="E2059" s="1">
        <v>12</v>
      </c>
      <c r="F2059" s="1">
        <v>124.51</v>
      </c>
      <c r="G2059" s="1">
        <v>32.15</v>
      </c>
      <c r="H2059">
        <f t="shared" si="32"/>
        <v>1494.1200000000001</v>
      </c>
    </row>
    <row r="2060" spans="1:8" x14ac:dyDescent="0.25">
      <c r="A2060" s="1" t="s">
        <v>2073</v>
      </c>
      <c r="B2060" s="5">
        <v>45743.75</v>
      </c>
      <c r="C2060" s="1" t="s">
        <v>23</v>
      </c>
      <c r="D2060" s="1" t="s">
        <v>16</v>
      </c>
      <c r="E2060" s="1">
        <v>10</v>
      </c>
      <c r="F2060" s="1">
        <v>273.5</v>
      </c>
      <c r="G2060" s="1">
        <v>23.61</v>
      </c>
      <c r="H2060">
        <f t="shared" si="32"/>
        <v>2735</v>
      </c>
    </row>
    <row r="2061" spans="1:8" x14ac:dyDescent="0.25">
      <c r="A2061" s="1" t="s">
        <v>2074</v>
      </c>
      <c r="B2061" s="5">
        <v>45743.791666666664</v>
      </c>
      <c r="C2061" s="1" t="s">
        <v>8</v>
      </c>
      <c r="D2061" s="1" t="s">
        <v>16</v>
      </c>
      <c r="E2061" s="1">
        <v>11</v>
      </c>
      <c r="F2061" s="1">
        <v>105.9</v>
      </c>
      <c r="G2061" s="1">
        <v>21.8</v>
      </c>
      <c r="H2061">
        <f t="shared" si="32"/>
        <v>1164.9000000000001</v>
      </c>
    </row>
    <row r="2062" spans="1:8" x14ac:dyDescent="0.25">
      <c r="A2062" s="1" t="s">
        <v>2075</v>
      </c>
      <c r="B2062" s="5">
        <v>45743.833333333336</v>
      </c>
      <c r="C2062" s="1" t="s">
        <v>13</v>
      </c>
      <c r="D2062" s="1" t="s">
        <v>16</v>
      </c>
      <c r="E2062" s="1">
        <v>7</v>
      </c>
      <c r="F2062" s="1">
        <v>156.21</v>
      </c>
      <c r="G2062" s="1">
        <v>30.41</v>
      </c>
      <c r="H2062">
        <f t="shared" si="32"/>
        <v>1093.47</v>
      </c>
    </row>
    <row r="2063" spans="1:8" x14ac:dyDescent="0.25">
      <c r="A2063" s="1" t="s">
        <v>2076</v>
      </c>
      <c r="B2063" s="5">
        <v>45743.875</v>
      </c>
      <c r="C2063" s="1" t="s">
        <v>23</v>
      </c>
      <c r="D2063" s="1" t="s">
        <v>9</v>
      </c>
      <c r="E2063" s="1">
        <v>9</v>
      </c>
      <c r="F2063" s="1">
        <v>292.07</v>
      </c>
      <c r="G2063" s="1">
        <v>7.87</v>
      </c>
      <c r="H2063">
        <f t="shared" si="32"/>
        <v>2628.63</v>
      </c>
    </row>
    <row r="2064" spans="1:8" x14ac:dyDescent="0.25">
      <c r="A2064" s="1" t="s">
        <v>2077</v>
      </c>
      <c r="B2064" s="5">
        <v>45743.916666666664</v>
      </c>
      <c r="C2064" s="1" t="s">
        <v>8</v>
      </c>
      <c r="D2064" s="1" t="s">
        <v>16</v>
      </c>
      <c r="E2064" s="1">
        <v>6</v>
      </c>
      <c r="F2064" s="1">
        <v>398.53</v>
      </c>
      <c r="G2064" s="1">
        <v>44.41</v>
      </c>
      <c r="H2064">
        <f t="shared" si="32"/>
        <v>2391.1799999999998</v>
      </c>
    </row>
    <row r="2065" spans="1:8" x14ac:dyDescent="0.25">
      <c r="A2065" s="1" t="s">
        <v>2078</v>
      </c>
      <c r="B2065" s="5">
        <v>45743.958333333336</v>
      </c>
      <c r="C2065" s="1" t="s">
        <v>11</v>
      </c>
      <c r="D2065" s="1" t="s">
        <v>9</v>
      </c>
      <c r="E2065" s="1">
        <v>19</v>
      </c>
      <c r="F2065" s="1">
        <v>247.04</v>
      </c>
      <c r="G2065" s="1">
        <v>42.14</v>
      </c>
      <c r="H2065">
        <f t="shared" si="32"/>
        <v>4693.76</v>
      </c>
    </row>
    <row r="2066" spans="1:8" x14ac:dyDescent="0.25">
      <c r="A2066" s="1" t="s">
        <v>2079</v>
      </c>
      <c r="B2066" s="5">
        <v>45744</v>
      </c>
      <c r="C2066" s="1" t="s">
        <v>8</v>
      </c>
      <c r="D2066" s="1" t="s">
        <v>37</v>
      </c>
      <c r="E2066" s="1">
        <v>16</v>
      </c>
      <c r="F2066" s="1">
        <v>345.33</v>
      </c>
      <c r="G2066" s="1">
        <v>20.59</v>
      </c>
      <c r="H2066">
        <f t="shared" si="32"/>
        <v>5525.28</v>
      </c>
    </row>
    <row r="2067" spans="1:8" x14ac:dyDescent="0.25">
      <c r="A2067" s="1" t="s">
        <v>2080</v>
      </c>
      <c r="B2067" s="5">
        <v>45744.041666666664</v>
      </c>
      <c r="C2067" s="1" t="s">
        <v>11</v>
      </c>
      <c r="D2067" s="1" t="s">
        <v>16</v>
      </c>
      <c r="E2067" s="1">
        <v>15</v>
      </c>
      <c r="F2067" s="1">
        <v>347.05</v>
      </c>
      <c r="G2067" s="1">
        <v>30.51</v>
      </c>
      <c r="H2067">
        <f t="shared" si="32"/>
        <v>5205.75</v>
      </c>
    </row>
    <row r="2068" spans="1:8" x14ac:dyDescent="0.25">
      <c r="A2068" s="1" t="s">
        <v>2081</v>
      </c>
      <c r="B2068" s="5">
        <v>45744.083333333336</v>
      </c>
      <c r="C2068" s="1" t="s">
        <v>11</v>
      </c>
      <c r="D2068" s="1" t="s">
        <v>16</v>
      </c>
      <c r="E2068" s="1">
        <v>7</v>
      </c>
      <c r="F2068" s="1">
        <v>304.16000000000003</v>
      </c>
      <c r="G2068" s="1">
        <v>46.95</v>
      </c>
      <c r="H2068">
        <f t="shared" si="32"/>
        <v>2129.1200000000003</v>
      </c>
    </row>
    <row r="2069" spans="1:8" x14ac:dyDescent="0.25">
      <c r="A2069" s="1" t="s">
        <v>2082</v>
      </c>
      <c r="B2069" s="5">
        <v>45744.125</v>
      </c>
      <c r="C2069" s="1" t="s">
        <v>13</v>
      </c>
      <c r="D2069" s="1" t="s">
        <v>19</v>
      </c>
      <c r="E2069" s="1">
        <v>16</v>
      </c>
      <c r="F2069" s="1">
        <v>122.32</v>
      </c>
      <c r="G2069" s="1">
        <v>17.22</v>
      </c>
      <c r="H2069">
        <f t="shared" si="32"/>
        <v>1957.12</v>
      </c>
    </row>
    <row r="2070" spans="1:8" x14ac:dyDescent="0.25">
      <c r="A2070" s="1" t="s">
        <v>2083</v>
      </c>
      <c r="B2070" s="5">
        <v>45744.166666666664</v>
      </c>
      <c r="C2070" s="1" t="s">
        <v>23</v>
      </c>
      <c r="D2070" s="1" t="s">
        <v>37</v>
      </c>
      <c r="E2070" s="1">
        <v>5</v>
      </c>
      <c r="F2070" s="1">
        <v>392.12</v>
      </c>
      <c r="G2070" s="1">
        <v>38.409999999999997</v>
      </c>
      <c r="H2070">
        <f t="shared" si="32"/>
        <v>1960.6</v>
      </c>
    </row>
    <row r="2071" spans="1:8" x14ac:dyDescent="0.25">
      <c r="A2071" s="1" t="s">
        <v>2084</v>
      </c>
      <c r="B2071" s="5">
        <v>45744.208333333336</v>
      </c>
      <c r="C2071" s="1" t="s">
        <v>8</v>
      </c>
      <c r="D2071" s="1" t="s">
        <v>16</v>
      </c>
      <c r="E2071" s="1">
        <v>16</v>
      </c>
      <c r="F2071" s="1">
        <v>205.06</v>
      </c>
      <c r="G2071" s="1">
        <v>8.7200000000000006</v>
      </c>
      <c r="H2071">
        <f t="shared" si="32"/>
        <v>3280.96</v>
      </c>
    </row>
    <row r="2072" spans="1:8" x14ac:dyDescent="0.25">
      <c r="A2072" s="1" t="s">
        <v>2085</v>
      </c>
      <c r="B2072" s="5">
        <v>45744.25</v>
      </c>
      <c r="C2072" s="1" t="s">
        <v>13</v>
      </c>
      <c r="D2072" s="1" t="s">
        <v>16</v>
      </c>
      <c r="E2072" s="1">
        <v>1</v>
      </c>
      <c r="F2072" s="1">
        <v>34.71</v>
      </c>
      <c r="G2072" s="1">
        <v>28.55</v>
      </c>
      <c r="H2072">
        <f t="shared" si="32"/>
        <v>34.71</v>
      </c>
    </row>
    <row r="2073" spans="1:8" x14ac:dyDescent="0.25">
      <c r="A2073" s="1" t="s">
        <v>2086</v>
      </c>
      <c r="B2073" s="5">
        <v>45744.291666666664</v>
      </c>
      <c r="C2073" s="1" t="s">
        <v>8</v>
      </c>
      <c r="D2073" s="1" t="s">
        <v>37</v>
      </c>
      <c r="E2073" s="1">
        <v>19</v>
      </c>
      <c r="F2073" s="1">
        <v>121.78</v>
      </c>
      <c r="G2073" s="1">
        <v>44.78</v>
      </c>
      <c r="H2073">
        <f t="shared" si="32"/>
        <v>2313.8200000000002</v>
      </c>
    </row>
    <row r="2074" spans="1:8" x14ac:dyDescent="0.25">
      <c r="A2074" s="1" t="s">
        <v>2087</v>
      </c>
      <c r="B2074" s="5">
        <v>45744.333333333336</v>
      </c>
      <c r="C2074" s="1" t="s">
        <v>11</v>
      </c>
      <c r="D2074" s="1" t="s">
        <v>9</v>
      </c>
      <c r="E2074" s="1">
        <v>5</v>
      </c>
      <c r="F2074" s="1">
        <v>348.13</v>
      </c>
      <c r="G2074" s="1">
        <v>29.83</v>
      </c>
      <c r="H2074">
        <f t="shared" si="32"/>
        <v>1740.65</v>
      </c>
    </row>
    <row r="2075" spans="1:8" x14ac:dyDescent="0.25">
      <c r="A2075" s="1" t="s">
        <v>2088</v>
      </c>
      <c r="B2075" s="5">
        <v>45744.375</v>
      </c>
      <c r="C2075" s="1" t="s">
        <v>23</v>
      </c>
      <c r="D2075" s="1" t="s">
        <v>16</v>
      </c>
      <c r="E2075" s="1">
        <v>7</v>
      </c>
      <c r="F2075" s="1">
        <v>45.54</v>
      </c>
      <c r="G2075" s="1">
        <v>32.729999999999997</v>
      </c>
      <c r="H2075">
        <f t="shared" si="32"/>
        <v>318.77999999999997</v>
      </c>
    </row>
    <row r="2076" spans="1:8" x14ac:dyDescent="0.25">
      <c r="A2076" s="1" t="s">
        <v>2089</v>
      </c>
      <c r="B2076" s="5">
        <v>45744.416666666664</v>
      </c>
      <c r="C2076" s="1" t="s">
        <v>8</v>
      </c>
      <c r="D2076" s="1" t="s">
        <v>19</v>
      </c>
      <c r="E2076" s="1">
        <v>19</v>
      </c>
      <c r="F2076" s="1">
        <v>79.53</v>
      </c>
      <c r="G2076" s="1">
        <v>45.84</v>
      </c>
      <c r="H2076">
        <f t="shared" si="32"/>
        <v>1511.07</v>
      </c>
    </row>
    <row r="2077" spans="1:8" x14ac:dyDescent="0.25">
      <c r="A2077" s="1" t="s">
        <v>2090</v>
      </c>
      <c r="B2077" s="5">
        <v>45744.458333333336</v>
      </c>
      <c r="C2077" s="1" t="s">
        <v>8</v>
      </c>
      <c r="D2077" s="1" t="s">
        <v>16</v>
      </c>
      <c r="E2077" s="1">
        <v>5</v>
      </c>
      <c r="F2077" s="1">
        <v>317.14</v>
      </c>
      <c r="G2077" s="1">
        <v>37.19</v>
      </c>
      <c r="H2077">
        <f t="shared" si="32"/>
        <v>1585.6999999999998</v>
      </c>
    </row>
    <row r="2078" spans="1:8" x14ac:dyDescent="0.25">
      <c r="A2078" s="1" t="s">
        <v>2091</v>
      </c>
      <c r="B2078" s="5">
        <v>45744.5</v>
      </c>
      <c r="C2078" s="1" t="s">
        <v>11</v>
      </c>
      <c r="D2078" s="1" t="s">
        <v>19</v>
      </c>
      <c r="E2078" s="1">
        <v>17</v>
      </c>
      <c r="F2078" s="1">
        <v>403.34</v>
      </c>
      <c r="G2078" s="1">
        <v>36.31</v>
      </c>
      <c r="H2078">
        <f t="shared" si="32"/>
        <v>6856.78</v>
      </c>
    </row>
    <row r="2079" spans="1:8" x14ac:dyDescent="0.25">
      <c r="A2079" s="1" t="s">
        <v>2092</v>
      </c>
      <c r="B2079" s="5">
        <v>45744.541666666664</v>
      </c>
      <c r="C2079" s="1" t="s">
        <v>8</v>
      </c>
      <c r="D2079" s="1" t="s">
        <v>19</v>
      </c>
      <c r="E2079" s="1">
        <v>8</v>
      </c>
      <c r="F2079" s="1">
        <v>290.86</v>
      </c>
      <c r="G2079" s="1">
        <v>31.39</v>
      </c>
      <c r="H2079">
        <f t="shared" si="32"/>
        <v>2326.88</v>
      </c>
    </row>
    <row r="2080" spans="1:8" x14ac:dyDescent="0.25">
      <c r="A2080" s="1" t="s">
        <v>2093</v>
      </c>
      <c r="B2080" s="5">
        <v>45744.583333333336</v>
      </c>
      <c r="C2080" s="1" t="s">
        <v>8</v>
      </c>
      <c r="D2080" s="1" t="s">
        <v>16</v>
      </c>
      <c r="E2080" s="1">
        <v>1</v>
      </c>
      <c r="F2080" s="1">
        <v>112.09</v>
      </c>
      <c r="G2080" s="1">
        <v>33.479999999999997</v>
      </c>
      <c r="H2080">
        <f t="shared" si="32"/>
        <v>112.09</v>
      </c>
    </row>
    <row r="2081" spans="1:8" x14ac:dyDescent="0.25">
      <c r="A2081" s="1" t="s">
        <v>2094</v>
      </c>
      <c r="B2081" s="5">
        <v>45744.625</v>
      </c>
      <c r="C2081" s="1" t="s">
        <v>11</v>
      </c>
      <c r="D2081" s="1" t="s">
        <v>16</v>
      </c>
      <c r="E2081" s="1">
        <v>2</v>
      </c>
      <c r="F2081" s="1">
        <v>38.71</v>
      </c>
      <c r="G2081" s="1">
        <v>41.17</v>
      </c>
      <c r="H2081">
        <f t="shared" si="32"/>
        <v>77.42</v>
      </c>
    </row>
    <row r="2082" spans="1:8" x14ac:dyDescent="0.25">
      <c r="A2082" s="1" t="s">
        <v>2095</v>
      </c>
      <c r="B2082" s="5">
        <v>45744.666666666664</v>
      </c>
      <c r="C2082" s="1" t="s">
        <v>13</v>
      </c>
      <c r="D2082" s="1" t="s">
        <v>19</v>
      </c>
      <c r="E2082" s="1">
        <v>15</v>
      </c>
      <c r="F2082" s="1">
        <v>282.77</v>
      </c>
      <c r="G2082" s="1">
        <v>49.07</v>
      </c>
      <c r="H2082">
        <f t="shared" si="32"/>
        <v>4241.5499999999993</v>
      </c>
    </row>
    <row r="2083" spans="1:8" x14ac:dyDescent="0.25">
      <c r="A2083" s="1" t="s">
        <v>2096</v>
      </c>
      <c r="B2083" s="5">
        <v>45744.708333333336</v>
      </c>
      <c r="C2083" s="1" t="s">
        <v>11</v>
      </c>
      <c r="D2083" s="1" t="s">
        <v>37</v>
      </c>
      <c r="E2083" s="1">
        <v>18</v>
      </c>
      <c r="F2083" s="1">
        <v>36.090000000000003</v>
      </c>
      <c r="G2083" s="1">
        <v>40.79</v>
      </c>
      <c r="H2083">
        <f t="shared" si="32"/>
        <v>649.62000000000012</v>
      </c>
    </row>
    <row r="2084" spans="1:8" x14ac:dyDescent="0.25">
      <c r="A2084" s="1" t="s">
        <v>2097</v>
      </c>
      <c r="B2084" s="5">
        <v>45744.75</v>
      </c>
      <c r="C2084" s="1" t="s">
        <v>13</v>
      </c>
      <c r="D2084" s="1" t="s">
        <v>37</v>
      </c>
      <c r="E2084" s="1">
        <v>11</v>
      </c>
      <c r="F2084" s="1">
        <v>281.73</v>
      </c>
      <c r="G2084" s="1">
        <v>36.840000000000003</v>
      </c>
      <c r="H2084">
        <f t="shared" si="32"/>
        <v>3099.03</v>
      </c>
    </row>
    <row r="2085" spans="1:8" x14ac:dyDescent="0.25">
      <c r="A2085" s="1" t="s">
        <v>2098</v>
      </c>
      <c r="B2085" s="5">
        <v>45744.791666666664</v>
      </c>
      <c r="C2085" s="1" t="s">
        <v>23</v>
      </c>
      <c r="D2085" s="1" t="s">
        <v>16</v>
      </c>
      <c r="E2085" s="1">
        <v>10</v>
      </c>
      <c r="F2085" s="1">
        <v>113.51</v>
      </c>
      <c r="G2085" s="1">
        <v>11.1</v>
      </c>
      <c r="H2085">
        <f t="shared" si="32"/>
        <v>1135.1000000000001</v>
      </c>
    </row>
    <row r="2086" spans="1:8" x14ac:dyDescent="0.25">
      <c r="A2086" s="1" t="s">
        <v>2099</v>
      </c>
      <c r="B2086" s="5">
        <v>45744.833333333336</v>
      </c>
      <c r="C2086" s="1" t="s">
        <v>13</v>
      </c>
      <c r="D2086" s="1" t="s">
        <v>9</v>
      </c>
      <c r="E2086" s="1">
        <v>4</v>
      </c>
      <c r="F2086" s="1">
        <v>408.57</v>
      </c>
      <c r="G2086" s="1">
        <v>41.77</v>
      </c>
      <c r="H2086">
        <f t="shared" si="32"/>
        <v>1634.28</v>
      </c>
    </row>
    <row r="2087" spans="1:8" x14ac:dyDescent="0.25">
      <c r="A2087" s="1" t="s">
        <v>2100</v>
      </c>
      <c r="B2087" s="5">
        <v>45744.875</v>
      </c>
      <c r="C2087" s="1" t="s">
        <v>13</v>
      </c>
      <c r="D2087" s="1" t="s">
        <v>37</v>
      </c>
      <c r="E2087" s="1">
        <v>5</v>
      </c>
      <c r="F2087" s="1">
        <v>221.93</v>
      </c>
      <c r="G2087" s="1">
        <v>38.119999999999997</v>
      </c>
      <c r="H2087">
        <f t="shared" si="32"/>
        <v>1109.6500000000001</v>
      </c>
    </row>
    <row r="2088" spans="1:8" x14ac:dyDescent="0.25">
      <c r="A2088" s="1" t="s">
        <v>2101</v>
      </c>
      <c r="B2088" s="5">
        <v>45744.916666666664</v>
      </c>
      <c r="C2088" s="1" t="s">
        <v>23</v>
      </c>
      <c r="D2088" s="1" t="s">
        <v>16</v>
      </c>
      <c r="E2088" s="1">
        <v>4</v>
      </c>
      <c r="F2088" s="1">
        <v>112.8</v>
      </c>
      <c r="G2088" s="1">
        <v>39.67</v>
      </c>
      <c r="H2088">
        <f t="shared" si="32"/>
        <v>451.2</v>
      </c>
    </row>
    <row r="2089" spans="1:8" x14ac:dyDescent="0.25">
      <c r="A2089" s="1" t="s">
        <v>2102</v>
      </c>
      <c r="B2089" s="5">
        <v>45744.958333333336</v>
      </c>
      <c r="C2089" s="1" t="s">
        <v>13</v>
      </c>
      <c r="D2089" s="1" t="s">
        <v>37</v>
      </c>
      <c r="E2089" s="1">
        <v>13</v>
      </c>
      <c r="F2089" s="1">
        <v>386.19</v>
      </c>
      <c r="G2089" s="1">
        <v>15.4</v>
      </c>
      <c r="H2089">
        <f t="shared" si="32"/>
        <v>5020.47</v>
      </c>
    </row>
    <row r="2090" spans="1:8" x14ac:dyDescent="0.25">
      <c r="A2090" s="1" t="s">
        <v>2103</v>
      </c>
      <c r="B2090" s="5">
        <v>45745</v>
      </c>
      <c r="C2090" s="1" t="s">
        <v>11</v>
      </c>
      <c r="D2090" s="1" t="s">
        <v>9</v>
      </c>
      <c r="E2090" s="1">
        <v>13</v>
      </c>
      <c r="F2090" s="1">
        <v>125.88</v>
      </c>
      <c r="G2090" s="1">
        <v>45.65</v>
      </c>
      <c r="H2090">
        <f t="shared" si="32"/>
        <v>1636.44</v>
      </c>
    </row>
    <row r="2091" spans="1:8" x14ac:dyDescent="0.25">
      <c r="A2091" s="1" t="s">
        <v>2104</v>
      </c>
      <c r="B2091" s="5">
        <v>45745.041666666664</v>
      </c>
      <c r="C2091" s="1" t="s">
        <v>13</v>
      </c>
      <c r="D2091" s="1" t="s">
        <v>16</v>
      </c>
      <c r="E2091" s="1">
        <v>18</v>
      </c>
      <c r="F2091" s="1">
        <v>148.72</v>
      </c>
      <c r="G2091" s="1">
        <v>9.3800000000000008</v>
      </c>
      <c r="H2091">
        <f t="shared" si="32"/>
        <v>2676.96</v>
      </c>
    </row>
    <row r="2092" spans="1:8" x14ac:dyDescent="0.25">
      <c r="A2092" s="1" t="s">
        <v>2105</v>
      </c>
      <c r="B2092" s="5">
        <v>45745.083333333336</v>
      </c>
      <c r="C2092" s="1" t="s">
        <v>23</v>
      </c>
      <c r="D2092" s="1" t="s">
        <v>9</v>
      </c>
      <c r="E2092" s="1">
        <v>2</v>
      </c>
      <c r="F2092" s="1">
        <v>377.99</v>
      </c>
      <c r="G2092" s="1">
        <v>16.41</v>
      </c>
      <c r="H2092">
        <f t="shared" si="32"/>
        <v>755.98</v>
      </c>
    </row>
    <row r="2093" spans="1:8" x14ac:dyDescent="0.25">
      <c r="A2093" s="1" t="s">
        <v>2106</v>
      </c>
      <c r="B2093" s="5">
        <v>45745.125</v>
      </c>
      <c r="C2093" s="1" t="s">
        <v>11</v>
      </c>
      <c r="D2093" s="1" t="s">
        <v>16</v>
      </c>
      <c r="E2093" s="1">
        <v>16</v>
      </c>
      <c r="F2093" s="1">
        <v>149.66999999999999</v>
      </c>
      <c r="G2093" s="1">
        <v>34.840000000000003</v>
      </c>
      <c r="H2093">
        <f t="shared" si="32"/>
        <v>2394.7199999999998</v>
      </c>
    </row>
    <row r="2094" spans="1:8" x14ac:dyDescent="0.25">
      <c r="A2094" s="1" t="s">
        <v>2107</v>
      </c>
      <c r="B2094" s="5">
        <v>45745.166666666664</v>
      </c>
      <c r="C2094" s="1" t="s">
        <v>23</v>
      </c>
      <c r="D2094" s="1" t="s">
        <v>9</v>
      </c>
      <c r="E2094" s="1">
        <v>1</v>
      </c>
      <c r="F2094" s="1">
        <v>193.72</v>
      </c>
      <c r="G2094" s="1">
        <v>35.32</v>
      </c>
      <c r="H2094">
        <f t="shared" si="32"/>
        <v>193.72</v>
      </c>
    </row>
    <row r="2095" spans="1:8" x14ac:dyDescent="0.25">
      <c r="A2095" s="1" t="s">
        <v>2108</v>
      </c>
      <c r="B2095" s="5">
        <v>45745.208333333336</v>
      </c>
      <c r="C2095" s="1" t="s">
        <v>23</v>
      </c>
      <c r="D2095" s="1" t="s">
        <v>37</v>
      </c>
      <c r="E2095" s="1">
        <v>19</v>
      </c>
      <c r="F2095" s="1">
        <v>166.56</v>
      </c>
      <c r="G2095" s="1">
        <v>19.100000000000001</v>
      </c>
      <c r="H2095">
        <f t="shared" si="32"/>
        <v>3164.64</v>
      </c>
    </row>
    <row r="2096" spans="1:8" x14ac:dyDescent="0.25">
      <c r="A2096" s="1" t="s">
        <v>2109</v>
      </c>
      <c r="B2096" s="5">
        <v>45745.25</v>
      </c>
      <c r="C2096" s="1" t="s">
        <v>8</v>
      </c>
      <c r="D2096" s="1" t="s">
        <v>37</v>
      </c>
      <c r="E2096" s="1">
        <v>9</v>
      </c>
      <c r="F2096" s="1">
        <v>66.08</v>
      </c>
      <c r="G2096" s="1">
        <v>36.57</v>
      </c>
      <c r="H2096">
        <f t="shared" si="32"/>
        <v>594.72</v>
      </c>
    </row>
    <row r="2097" spans="1:8" x14ac:dyDescent="0.25">
      <c r="A2097" s="1" t="s">
        <v>2110</v>
      </c>
      <c r="B2097" s="5">
        <v>45745.291666666664</v>
      </c>
      <c r="C2097" s="1" t="s">
        <v>8</v>
      </c>
      <c r="D2097" s="1" t="s">
        <v>9</v>
      </c>
      <c r="E2097" s="1">
        <v>3</v>
      </c>
      <c r="F2097" s="1">
        <v>32.4</v>
      </c>
      <c r="G2097" s="1">
        <v>22.46</v>
      </c>
      <c r="H2097">
        <f t="shared" si="32"/>
        <v>97.199999999999989</v>
      </c>
    </row>
    <row r="2098" spans="1:8" x14ac:dyDescent="0.25">
      <c r="A2098" s="1" t="s">
        <v>2111</v>
      </c>
      <c r="B2098" s="5">
        <v>45745.333333333336</v>
      </c>
      <c r="C2098" s="1" t="s">
        <v>23</v>
      </c>
      <c r="D2098" s="1" t="s">
        <v>9</v>
      </c>
      <c r="E2098" s="1">
        <v>7</v>
      </c>
      <c r="F2098" s="1">
        <v>330.31</v>
      </c>
      <c r="G2098" s="1">
        <v>5.01</v>
      </c>
      <c r="H2098">
        <f t="shared" si="32"/>
        <v>2312.17</v>
      </c>
    </row>
    <row r="2099" spans="1:8" x14ac:dyDescent="0.25">
      <c r="A2099" s="1" t="s">
        <v>2112</v>
      </c>
      <c r="B2099" s="5">
        <v>45745.375</v>
      </c>
      <c r="C2099" s="1" t="s">
        <v>23</v>
      </c>
      <c r="D2099" s="1" t="s">
        <v>9</v>
      </c>
      <c r="E2099" s="1">
        <v>10</v>
      </c>
      <c r="F2099" s="1">
        <v>295.81</v>
      </c>
      <c r="G2099" s="1">
        <v>12.32</v>
      </c>
      <c r="H2099">
        <f t="shared" si="32"/>
        <v>2958.1</v>
      </c>
    </row>
    <row r="2100" spans="1:8" x14ac:dyDescent="0.25">
      <c r="A2100" s="1" t="s">
        <v>2113</v>
      </c>
      <c r="B2100" s="5">
        <v>45745.416666666664</v>
      </c>
      <c r="C2100" s="1" t="s">
        <v>23</v>
      </c>
      <c r="D2100" s="1" t="s">
        <v>16</v>
      </c>
      <c r="E2100" s="1">
        <v>1</v>
      </c>
      <c r="F2100" s="1">
        <v>138.19</v>
      </c>
      <c r="G2100" s="1">
        <v>44.72</v>
      </c>
      <c r="H2100">
        <f t="shared" si="32"/>
        <v>138.19</v>
      </c>
    </row>
    <row r="2101" spans="1:8" x14ac:dyDescent="0.25">
      <c r="A2101" s="1" t="s">
        <v>2114</v>
      </c>
      <c r="B2101" s="5">
        <v>45745.458333333336</v>
      </c>
      <c r="C2101" s="1" t="s">
        <v>8</v>
      </c>
      <c r="D2101" s="1" t="s">
        <v>37</v>
      </c>
      <c r="E2101" s="1">
        <v>10</v>
      </c>
      <c r="F2101" s="1">
        <v>143.94</v>
      </c>
      <c r="G2101" s="1">
        <v>15.02</v>
      </c>
      <c r="H2101">
        <f t="shared" si="32"/>
        <v>1439.4</v>
      </c>
    </row>
    <row r="2102" spans="1:8" x14ac:dyDescent="0.25">
      <c r="A2102" s="1" t="s">
        <v>2115</v>
      </c>
      <c r="B2102" s="5">
        <v>45745.5</v>
      </c>
      <c r="C2102" s="1" t="s">
        <v>8</v>
      </c>
      <c r="D2102" s="1" t="s">
        <v>16</v>
      </c>
      <c r="E2102" s="1">
        <v>9</v>
      </c>
      <c r="F2102" s="1">
        <v>426.11</v>
      </c>
      <c r="G2102" s="1">
        <v>10.08</v>
      </c>
      <c r="H2102">
        <f t="shared" si="32"/>
        <v>3834.9900000000002</v>
      </c>
    </row>
    <row r="2103" spans="1:8" x14ac:dyDescent="0.25">
      <c r="A2103" s="1" t="s">
        <v>2116</v>
      </c>
      <c r="B2103" s="5">
        <v>45745.541666666664</v>
      </c>
      <c r="C2103" s="1" t="s">
        <v>13</v>
      </c>
      <c r="D2103" s="1" t="s">
        <v>37</v>
      </c>
      <c r="E2103" s="1">
        <v>15</v>
      </c>
      <c r="F2103" s="1">
        <v>444.64</v>
      </c>
      <c r="G2103" s="1">
        <v>35.700000000000003</v>
      </c>
      <c r="H2103">
        <f t="shared" si="32"/>
        <v>6669.5999999999995</v>
      </c>
    </row>
    <row r="2104" spans="1:8" x14ac:dyDescent="0.25">
      <c r="A2104" s="1" t="s">
        <v>2117</v>
      </c>
      <c r="B2104" s="5">
        <v>45745.583333333336</v>
      </c>
      <c r="C2104" s="1" t="s">
        <v>13</v>
      </c>
      <c r="D2104" s="1" t="s">
        <v>19</v>
      </c>
      <c r="E2104" s="1">
        <v>15</v>
      </c>
      <c r="F2104" s="1">
        <v>221.21</v>
      </c>
      <c r="G2104" s="1">
        <v>24.83</v>
      </c>
      <c r="H2104">
        <f t="shared" si="32"/>
        <v>3318.15</v>
      </c>
    </row>
    <row r="2105" spans="1:8" x14ac:dyDescent="0.25">
      <c r="A2105" s="1" t="s">
        <v>2118</v>
      </c>
      <c r="B2105" s="5">
        <v>45745.625</v>
      </c>
      <c r="C2105" s="1" t="s">
        <v>23</v>
      </c>
      <c r="D2105" s="1" t="s">
        <v>16</v>
      </c>
      <c r="E2105" s="1">
        <v>3</v>
      </c>
      <c r="F2105" s="1">
        <v>364.17</v>
      </c>
      <c r="G2105" s="1">
        <v>40.85</v>
      </c>
      <c r="H2105">
        <f t="shared" si="32"/>
        <v>1092.51</v>
      </c>
    </row>
    <row r="2106" spans="1:8" x14ac:dyDescent="0.25">
      <c r="A2106" s="1" t="s">
        <v>2119</v>
      </c>
      <c r="B2106" s="5">
        <v>45745.666666666664</v>
      </c>
      <c r="C2106" s="1" t="s">
        <v>11</v>
      </c>
      <c r="D2106" s="1" t="s">
        <v>37</v>
      </c>
      <c r="E2106" s="1">
        <v>5</v>
      </c>
      <c r="F2106" s="1">
        <v>335.59</v>
      </c>
      <c r="G2106" s="1">
        <v>43.77</v>
      </c>
      <c r="H2106">
        <f t="shared" si="32"/>
        <v>1677.9499999999998</v>
      </c>
    </row>
    <row r="2107" spans="1:8" x14ac:dyDescent="0.25">
      <c r="A2107" s="1" t="s">
        <v>2120</v>
      </c>
      <c r="B2107" s="5">
        <v>45745.708333333336</v>
      </c>
      <c r="C2107" s="1" t="s">
        <v>11</v>
      </c>
      <c r="D2107" s="1" t="s">
        <v>37</v>
      </c>
      <c r="E2107" s="1">
        <v>9</v>
      </c>
      <c r="F2107" s="1">
        <v>144.68</v>
      </c>
      <c r="G2107" s="1">
        <v>43.07</v>
      </c>
      <c r="H2107">
        <f t="shared" si="32"/>
        <v>1302.1200000000001</v>
      </c>
    </row>
    <row r="2108" spans="1:8" x14ac:dyDescent="0.25">
      <c r="A2108" s="1" t="s">
        <v>2121</v>
      </c>
      <c r="B2108" s="5">
        <v>45745.75</v>
      </c>
      <c r="C2108" s="1" t="s">
        <v>8</v>
      </c>
      <c r="D2108" s="1" t="s">
        <v>16</v>
      </c>
      <c r="E2108" s="1">
        <v>9</v>
      </c>
      <c r="F2108" s="1">
        <v>40.950000000000003</v>
      </c>
      <c r="G2108" s="1">
        <v>19.09</v>
      </c>
      <c r="H2108">
        <f t="shared" si="32"/>
        <v>368.55</v>
      </c>
    </row>
    <row r="2109" spans="1:8" x14ac:dyDescent="0.25">
      <c r="A2109" s="1" t="s">
        <v>2122</v>
      </c>
      <c r="B2109" s="5">
        <v>45745.791666666664</v>
      </c>
      <c r="C2109" s="1" t="s">
        <v>8</v>
      </c>
      <c r="D2109" s="1" t="s">
        <v>16</v>
      </c>
      <c r="E2109" s="1">
        <v>7</v>
      </c>
      <c r="F2109" s="1">
        <v>77.44</v>
      </c>
      <c r="G2109" s="1">
        <v>27.75</v>
      </c>
      <c r="H2109">
        <f t="shared" si="32"/>
        <v>542.07999999999993</v>
      </c>
    </row>
    <row r="2110" spans="1:8" x14ac:dyDescent="0.25">
      <c r="A2110" s="1" t="s">
        <v>2123</v>
      </c>
      <c r="B2110" s="5">
        <v>45745.833333333336</v>
      </c>
      <c r="C2110" s="1" t="s">
        <v>8</v>
      </c>
      <c r="D2110" s="1" t="s">
        <v>37</v>
      </c>
      <c r="E2110" s="1">
        <v>12</v>
      </c>
      <c r="F2110" s="1">
        <v>379.74</v>
      </c>
      <c r="G2110" s="1">
        <v>34.26</v>
      </c>
      <c r="H2110">
        <f t="shared" si="32"/>
        <v>4556.88</v>
      </c>
    </row>
    <row r="2111" spans="1:8" x14ac:dyDescent="0.25">
      <c r="A2111" s="1" t="s">
        <v>2124</v>
      </c>
      <c r="B2111" s="5">
        <v>45745.875</v>
      </c>
      <c r="C2111" s="1" t="s">
        <v>23</v>
      </c>
      <c r="D2111" s="1" t="s">
        <v>16</v>
      </c>
      <c r="E2111" s="1">
        <v>9</v>
      </c>
      <c r="F2111" s="1">
        <v>333.21</v>
      </c>
      <c r="G2111" s="1">
        <v>19.489999999999998</v>
      </c>
      <c r="H2111">
        <f t="shared" si="32"/>
        <v>2998.89</v>
      </c>
    </row>
    <row r="2112" spans="1:8" x14ac:dyDescent="0.25">
      <c r="A2112" s="1" t="s">
        <v>2125</v>
      </c>
      <c r="B2112" s="5">
        <v>45745.916666666664</v>
      </c>
      <c r="C2112" s="1" t="s">
        <v>11</v>
      </c>
      <c r="D2112" s="1" t="s">
        <v>9</v>
      </c>
      <c r="E2112" s="1">
        <v>6</v>
      </c>
      <c r="F2112" s="1">
        <v>304.14999999999998</v>
      </c>
      <c r="G2112" s="1">
        <v>6.85</v>
      </c>
      <c r="H2112">
        <f t="shared" si="32"/>
        <v>1824.8999999999999</v>
      </c>
    </row>
    <row r="2113" spans="1:8" x14ac:dyDescent="0.25">
      <c r="A2113" s="1" t="s">
        <v>2126</v>
      </c>
      <c r="B2113" s="5">
        <v>45745.958333333336</v>
      </c>
      <c r="C2113" s="1" t="s">
        <v>13</v>
      </c>
      <c r="D2113" s="1" t="s">
        <v>16</v>
      </c>
      <c r="E2113" s="1">
        <v>2</v>
      </c>
      <c r="F2113" s="1">
        <v>72.27</v>
      </c>
      <c r="G2113" s="1">
        <v>27.3</v>
      </c>
      <c r="H2113">
        <f t="shared" si="32"/>
        <v>144.54</v>
      </c>
    </row>
    <row r="2114" spans="1:8" x14ac:dyDescent="0.25">
      <c r="A2114" s="1" t="s">
        <v>2127</v>
      </c>
      <c r="B2114" s="5">
        <v>45746</v>
      </c>
      <c r="C2114" s="1" t="s">
        <v>23</v>
      </c>
      <c r="D2114" s="1" t="s">
        <v>16</v>
      </c>
      <c r="E2114" s="1">
        <v>9</v>
      </c>
      <c r="F2114" s="1">
        <v>293.55</v>
      </c>
      <c r="G2114" s="1">
        <v>5.58</v>
      </c>
      <c r="H2114">
        <f t="shared" ref="H2114:H2177" si="33">E2114*F2114</f>
        <v>2641.9500000000003</v>
      </c>
    </row>
    <row r="2115" spans="1:8" x14ac:dyDescent="0.25">
      <c r="A2115" s="1" t="s">
        <v>2128</v>
      </c>
      <c r="B2115" s="5">
        <v>45746.041666666664</v>
      </c>
      <c r="C2115" s="1" t="s">
        <v>13</v>
      </c>
      <c r="D2115" s="1" t="s">
        <v>16</v>
      </c>
      <c r="E2115" s="1">
        <v>17</v>
      </c>
      <c r="F2115" s="1">
        <v>351</v>
      </c>
      <c r="G2115" s="1">
        <v>47.78</v>
      </c>
      <c r="H2115">
        <f t="shared" si="33"/>
        <v>5967</v>
      </c>
    </row>
    <row r="2116" spans="1:8" x14ac:dyDescent="0.25">
      <c r="A2116" s="1" t="s">
        <v>2129</v>
      </c>
      <c r="B2116" s="5">
        <v>45746.083333333336</v>
      </c>
      <c r="C2116" s="1" t="s">
        <v>13</v>
      </c>
      <c r="D2116" s="1" t="s">
        <v>37</v>
      </c>
      <c r="E2116" s="1">
        <v>1</v>
      </c>
      <c r="F2116" s="1">
        <v>389.43</v>
      </c>
      <c r="G2116" s="1">
        <v>40.85</v>
      </c>
      <c r="H2116">
        <f t="shared" si="33"/>
        <v>389.43</v>
      </c>
    </row>
    <row r="2117" spans="1:8" x14ac:dyDescent="0.25">
      <c r="A2117" s="1" t="s">
        <v>2130</v>
      </c>
      <c r="B2117" s="5">
        <v>45746.125</v>
      </c>
      <c r="C2117" s="1" t="s">
        <v>23</v>
      </c>
      <c r="D2117" s="1" t="s">
        <v>9</v>
      </c>
      <c r="E2117" s="1">
        <v>19</v>
      </c>
      <c r="F2117" s="1">
        <v>21.25</v>
      </c>
      <c r="G2117" s="1">
        <v>13.64</v>
      </c>
      <c r="H2117">
        <f t="shared" si="33"/>
        <v>403.75</v>
      </c>
    </row>
    <row r="2118" spans="1:8" x14ac:dyDescent="0.25">
      <c r="A2118" s="1" t="s">
        <v>2131</v>
      </c>
      <c r="B2118" s="5">
        <v>45746.166666666664</v>
      </c>
      <c r="C2118" s="1" t="s">
        <v>13</v>
      </c>
      <c r="D2118" s="1" t="s">
        <v>19</v>
      </c>
      <c r="E2118" s="1">
        <v>6</v>
      </c>
      <c r="F2118" s="1">
        <v>312.89999999999998</v>
      </c>
      <c r="G2118" s="1">
        <v>17.940000000000001</v>
      </c>
      <c r="H2118">
        <f t="shared" si="33"/>
        <v>1877.3999999999999</v>
      </c>
    </row>
    <row r="2119" spans="1:8" x14ac:dyDescent="0.25">
      <c r="A2119" s="1" t="s">
        <v>2132</v>
      </c>
      <c r="B2119" s="5">
        <v>45746.208333333336</v>
      </c>
      <c r="C2119" s="1" t="s">
        <v>11</v>
      </c>
      <c r="D2119" s="1" t="s">
        <v>19</v>
      </c>
      <c r="E2119" s="1">
        <v>5</v>
      </c>
      <c r="F2119" s="1">
        <v>23.8</v>
      </c>
      <c r="G2119" s="1">
        <v>49.23</v>
      </c>
      <c r="H2119">
        <f t="shared" si="33"/>
        <v>119</v>
      </c>
    </row>
    <row r="2120" spans="1:8" x14ac:dyDescent="0.25">
      <c r="A2120" s="1" t="s">
        <v>2133</v>
      </c>
      <c r="B2120" s="5">
        <v>45746.25</v>
      </c>
      <c r="C2120" s="1" t="s">
        <v>13</v>
      </c>
      <c r="D2120" s="1" t="s">
        <v>9</v>
      </c>
      <c r="E2120" s="1">
        <v>2</v>
      </c>
      <c r="F2120" s="1">
        <v>322.64</v>
      </c>
      <c r="G2120" s="1">
        <v>21.81</v>
      </c>
      <c r="H2120">
        <f t="shared" si="33"/>
        <v>645.28</v>
      </c>
    </row>
    <row r="2121" spans="1:8" x14ac:dyDescent="0.25">
      <c r="A2121" s="1" t="s">
        <v>2134</v>
      </c>
      <c r="B2121" s="5">
        <v>45746.291666666664</v>
      </c>
      <c r="C2121" s="1" t="s">
        <v>11</v>
      </c>
      <c r="D2121" s="1" t="s">
        <v>9</v>
      </c>
      <c r="E2121" s="1">
        <v>9</v>
      </c>
      <c r="F2121" s="1">
        <v>291.68</v>
      </c>
      <c r="G2121" s="1">
        <v>40.270000000000003</v>
      </c>
      <c r="H2121">
        <f t="shared" si="33"/>
        <v>2625.12</v>
      </c>
    </row>
    <row r="2122" spans="1:8" x14ac:dyDescent="0.25">
      <c r="A2122" s="1" t="s">
        <v>2135</v>
      </c>
      <c r="B2122" s="5">
        <v>45746.333333333336</v>
      </c>
      <c r="C2122" s="1" t="s">
        <v>11</v>
      </c>
      <c r="D2122" s="1" t="s">
        <v>9</v>
      </c>
      <c r="E2122" s="1">
        <v>14</v>
      </c>
      <c r="F2122" s="1">
        <v>79.959999999999994</v>
      </c>
      <c r="G2122" s="1">
        <v>25.11</v>
      </c>
      <c r="H2122">
        <f t="shared" si="33"/>
        <v>1119.4399999999998</v>
      </c>
    </row>
    <row r="2123" spans="1:8" x14ac:dyDescent="0.25">
      <c r="A2123" s="1" t="s">
        <v>2136</v>
      </c>
      <c r="B2123" s="5">
        <v>45746.375</v>
      </c>
      <c r="C2123" s="1" t="s">
        <v>11</v>
      </c>
      <c r="D2123" s="1" t="s">
        <v>37</v>
      </c>
      <c r="E2123" s="1">
        <v>4</v>
      </c>
      <c r="F2123" s="1">
        <v>348.38</v>
      </c>
      <c r="G2123" s="1">
        <v>43.88</v>
      </c>
      <c r="H2123">
        <f t="shared" si="33"/>
        <v>1393.52</v>
      </c>
    </row>
    <row r="2124" spans="1:8" x14ac:dyDescent="0.25">
      <c r="A2124" s="1" t="s">
        <v>2137</v>
      </c>
      <c r="B2124" s="5">
        <v>45746.416666666664</v>
      </c>
      <c r="C2124" s="1" t="s">
        <v>8</v>
      </c>
      <c r="D2124" s="1" t="s">
        <v>19</v>
      </c>
      <c r="E2124" s="1">
        <v>4</v>
      </c>
      <c r="F2124" s="1">
        <v>45.2</v>
      </c>
      <c r="G2124" s="1">
        <v>36.67</v>
      </c>
      <c r="H2124">
        <f t="shared" si="33"/>
        <v>180.8</v>
      </c>
    </row>
    <row r="2125" spans="1:8" x14ac:dyDescent="0.25">
      <c r="A2125" s="1" t="s">
        <v>2138</v>
      </c>
      <c r="B2125" s="5">
        <v>45746.458333333336</v>
      </c>
      <c r="C2125" s="1" t="s">
        <v>13</v>
      </c>
      <c r="D2125" s="1" t="s">
        <v>9</v>
      </c>
      <c r="E2125" s="1">
        <v>15</v>
      </c>
      <c r="F2125" s="1">
        <v>374.57</v>
      </c>
      <c r="G2125" s="1">
        <v>6.03</v>
      </c>
      <c r="H2125">
        <f t="shared" si="33"/>
        <v>5618.55</v>
      </c>
    </row>
    <row r="2126" spans="1:8" x14ac:dyDescent="0.25">
      <c r="A2126" s="1" t="s">
        <v>2139</v>
      </c>
      <c r="B2126" s="5">
        <v>45746.5</v>
      </c>
      <c r="C2126" s="1" t="s">
        <v>23</v>
      </c>
      <c r="D2126" s="1" t="s">
        <v>37</v>
      </c>
      <c r="E2126" s="1">
        <v>8</v>
      </c>
      <c r="F2126" s="1">
        <v>129.31</v>
      </c>
      <c r="G2126" s="1">
        <v>18.25</v>
      </c>
      <c r="H2126">
        <f t="shared" si="33"/>
        <v>1034.48</v>
      </c>
    </row>
    <row r="2127" spans="1:8" x14ac:dyDescent="0.25">
      <c r="A2127" s="1" t="s">
        <v>2140</v>
      </c>
      <c r="B2127" s="5">
        <v>45746.541666666664</v>
      </c>
      <c r="C2127" s="1" t="s">
        <v>23</v>
      </c>
      <c r="D2127" s="1" t="s">
        <v>19</v>
      </c>
      <c r="E2127" s="1">
        <v>4</v>
      </c>
      <c r="F2127" s="1">
        <v>314.81</v>
      </c>
      <c r="G2127" s="1">
        <v>30.11</v>
      </c>
      <c r="H2127">
        <f t="shared" si="33"/>
        <v>1259.24</v>
      </c>
    </row>
    <row r="2128" spans="1:8" x14ac:dyDescent="0.25">
      <c r="A2128" s="1" t="s">
        <v>2141</v>
      </c>
      <c r="B2128" s="5">
        <v>45746.583333333336</v>
      </c>
      <c r="C2128" s="1" t="s">
        <v>13</v>
      </c>
      <c r="D2128" s="1" t="s">
        <v>16</v>
      </c>
      <c r="E2128" s="1">
        <v>16</v>
      </c>
      <c r="F2128" s="1">
        <v>416.84</v>
      </c>
      <c r="G2128" s="1">
        <v>46.68</v>
      </c>
      <c r="H2128">
        <f t="shared" si="33"/>
        <v>6669.44</v>
      </c>
    </row>
    <row r="2129" spans="1:8" x14ac:dyDescent="0.25">
      <c r="A2129" s="1" t="s">
        <v>2142</v>
      </c>
      <c r="B2129" s="5">
        <v>45746.625</v>
      </c>
      <c r="C2129" s="1" t="s">
        <v>8</v>
      </c>
      <c r="D2129" s="1" t="s">
        <v>37</v>
      </c>
      <c r="E2129" s="1">
        <v>4</v>
      </c>
      <c r="F2129" s="1">
        <v>163.15</v>
      </c>
      <c r="G2129" s="1">
        <v>9.59</v>
      </c>
      <c r="H2129">
        <f t="shared" si="33"/>
        <v>652.6</v>
      </c>
    </row>
    <row r="2130" spans="1:8" x14ac:dyDescent="0.25">
      <c r="A2130" s="1" t="s">
        <v>2143</v>
      </c>
      <c r="B2130" s="5">
        <v>45746.666666666664</v>
      </c>
      <c r="C2130" s="1" t="s">
        <v>8</v>
      </c>
      <c r="D2130" s="1" t="s">
        <v>19</v>
      </c>
      <c r="E2130" s="1">
        <v>16</v>
      </c>
      <c r="F2130" s="1">
        <v>234.01</v>
      </c>
      <c r="G2130" s="1">
        <v>32.049999999999997</v>
      </c>
      <c r="H2130">
        <f t="shared" si="33"/>
        <v>3744.16</v>
      </c>
    </row>
    <row r="2131" spans="1:8" x14ac:dyDescent="0.25">
      <c r="A2131" s="1" t="s">
        <v>2144</v>
      </c>
      <c r="B2131" s="5">
        <v>45746.708333333336</v>
      </c>
      <c r="C2131" s="1" t="s">
        <v>11</v>
      </c>
      <c r="D2131" s="1" t="s">
        <v>37</v>
      </c>
      <c r="E2131" s="1">
        <v>12</v>
      </c>
      <c r="F2131" s="1">
        <v>216.72</v>
      </c>
      <c r="G2131" s="1">
        <v>18.600000000000001</v>
      </c>
      <c r="H2131">
        <f t="shared" si="33"/>
        <v>2600.64</v>
      </c>
    </row>
    <row r="2132" spans="1:8" x14ac:dyDescent="0.25">
      <c r="A2132" s="1" t="s">
        <v>2145</v>
      </c>
      <c r="B2132" s="5">
        <v>45746.75</v>
      </c>
      <c r="C2132" s="1" t="s">
        <v>13</v>
      </c>
      <c r="D2132" s="1" t="s">
        <v>19</v>
      </c>
      <c r="E2132" s="1">
        <v>16</v>
      </c>
      <c r="F2132" s="1">
        <v>83.98</v>
      </c>
      <c r="G2132" s="1">
        <v>45.02</v>
      </c>
      <c r="H2132">
        <f t="shared" si="33"/>
        <v>1343.68</v>
      </c>
    </row>
    <row r="2133" spans="1:8" x14ac:dyDescent="0.25">
      <c r="A2133" s="1" t="s">
        <v>2146</v>
      </c>
      <c r="B2133" s="5">
        <v>45746.791666666664</v>
      </c>
      <c r="C2133" s="1" t="s">
        <v>13</v>
      </c>
      <c r="D2133" s="1" t="s">
        <v>19</v>
      </c>
      <c r="E2133" s="1">
        <v>19</v>
      </c>
      <c r="F2133" s="1">
        <v>271.99</v>
      </c>
      <c r="G2133" s="1">
        <v>39.43</v>
      </c>
      <c r="H2133">
        <f t="shared" si="33"/>
        <v>5167.8100000000004</v>
      </c>
    </row>
    <row r="2134" spans="1:8" x14ac:dyDescent="0.25">
      <c r="A2134" s="1" t="s">
        <v>2147</v>
      </c>
      <c r="B2134" s="5">
        <v>45746.833333333336</v>
      </c>
      <c r="C2134" s="1" t="s">
        <v>23</v>
      </c>
      <c r="D2134" s="1" t="s">
        <v>16</v>
      </c>
      <c r="E2134" s="1">
        <v>8</v>
      </c>
      <c r="F2134" s="1">
        <v>338.33</v>
      </c>
      <c r="G2134" s="1">
        <v>21.64</v>
      </c>
      <c r="H2134">
        <f t="shared" si="33"/>
        <v>2706.64</v>
      </c>
    </row>
    <row r="2135" spans="1:8" x14ac:dyDescent="0.25">
      <c r="A2135" s="1" t="s">
        <v>2148</v>
      </c>
      <c r="B2135" s="5">
        <v>45746.875</v>
      </c>
      <c r="C2135" s="1" t="s">
        <v>13</v>
      </c>
      <c r="D2135" s="1" t="s">
        <v>37</v>
      </c>
      <c r="E2135" s="1">
        <v>6</v>
      </c>
      <c r="F2135" s="1">
        <v>413.88</v>
      </c>
      <c r="G2135" s="1">
        <v>12.52</v>
      </c>
      <c r="H2135">
        <f t="shared" si="33"/>
        <v>2483.2799999999997</v>
      </c>
    </row>
    <row r="2136" spans="1:8" x14ac:dyDescent="0.25">
      <c r="A2136" s="1" t="s">
        <v>2149</v>
      </c>
      <c r="B2136" s="5">
        <v>45746.916666666664</v>
      </c>
      <c r="C2136" s="1" t="s">
        <v>8</v>
      </c>
      <c r="D2136" s="1" t="s">
        <v>9</v>
      </c>
      <c r="E2136" s="1">
        <v>10</v>
      </c>
      <c r="F2136" s="1">
        <v>385.17</v>
      </c>
      <c r="G2136" s="1">
        <v>5.52</v>
      </c>
      <c r="H2136">
        <f t="shared" si="33"/>
        <v>3851.7000000000003</v>
      </c>
    </row>
    <row r="2137" spans="1:8" x14ac:dyDescent="0.25">
      <c r="A2137" s="1" t="s">
        <v>2150</v>
      </c>
      <c r="B2137" s="5">
        <v>45746.958333333336</v>
      </c>
      <c r="C2137" s="1" t="s">
        <v>13</v>
      </c>
      <c r="D2137" s="1" t="s">
        <v>16</v>
      </c>
      <c r="E2137" s="1">
        <v>5</v>
      </c>
      <c r="F2137" s="1">
        <v>237.1</v>
      </c>
      <c r="G2137" s="1">
        <v>32.950000000000003</v>
      </c>
      <c r="H2137">
        <f t="shared" si="33"/>
        <v>1185.5</v>
      </c>
    </row>
    <row r="2138" spans="1:8" x14ac:dyDescent="0.25">
      <c r="A2138" s="1" t="s">
        <v>2151</v>
      </c>
      <c r="B2138" s="5">
        <v>45747</v>
      </c>
      <c r="C2138" s="1" t="s">
        <v>23</v>
      </c>
      <c r="D2138" s="1" t="s">
        <v>16</v>
      </c>
      <c r="E2138" s="1">
        <v>18</v>
      </c>
      <c r="F2138" s="1">
        <v>327.91</v>
      </c>
      <c r="G2138" s="1">
        <v>23.28</v>
      </c>
      <c r="H2138">
        <f t="shared" si="33"/>
        <v>5902.38</v>
      </c>
    </row>
    <row r="2139" spans="1:8" x14ac:dyDescent="0.25">
      <c r="A2139" s="1" t="s">
        <v>2152</v>
      </c>
      <c r="B2139" s="5">
        <v>45747.041666666664</v>
      </c>
      <c r="C2139" s="1" t="s">
        <v>11</v>
      </c>
      <c r="D2139" s="1" t="s">
        <v>19</v>
      </c>
      <c r="E2139" s="1">
        <v>10</v>
      </c>
      <c r="F2139" s="1">
        <v>363.44</v>
      </c>
      <c r="G2139" s="1">
        <v>19.16</v>
      </c>
      <c r="H2139">
        <f t="shared" si="33"/>
        <v>3634.4</v>
      </c>
    </row>
    <row r="2140" spans="1:8" x14ac:dyDescent="0.25">
      <c r="A2140" s="1" t="s">
        <v>2153</v>
      </c>
      <c r="B2140" s="5">
        <v>45747.083333333336</v>
      </c>
      <c r="C2140" s="1" t="s">
        <v>23</v>
      </c>
      <c r="D2140" s="1" t="s">
        <v>9</v>
      </c>
      <c r="E2140" s="1">
        <v>10</v>
      </c>
      <c r="F2140" s="1">
        <v>229.92</v>
      </c>
      <c r="G2140" s="1">
        <v>49.35</v>
      </c>
      <c r="H2140">
        <f t="shared" si="33"/>
        <v>2299.1999999999998</v>
      </c>
    </row>
    <row r="2141" spans="1:8" x14ac:dyDescent="0.25">
      <c r="A2141" s="1" t="s">
        <v>2154</v>
      </c>
      <c r="B2141" s="5">
        <v>45747.125</v>
      </c>
      <c r="C2141" s="1" t="s">
        <v>23</v>
      </c>
      <c r="D2141" s="1" t="s">
        <v>37</v>
      </c>
      <c r="E2141" s="1">
        <v>7</v>
      </c>
      <c r="F2141" s="1">
        <v>65.650000000000006</v>
      </c>
      <c r="G2141" s="1">
        <v>25.98</v>
      </c>
      <c r="H2141">
        <f t="shared" si="33"/>
        <v>459.55000000000007</v>
      </c>
    </row>
    <row r="2142" spans="1:8" x14ac:dyDescent="0.25">
      <c r="A2142" s="1" t="s">
        <v>2155</v>
      </c>
      <c r="B2142" s="5">
        <v>45747.166666666664</v>
      </c>
      <c r="C2142" s="1" t="s">
        <v>11</v>
      </c>
      <c r="D2142" s="1" t="s">
        <v>9</v>
      </c>
      <c r="E2142" s="1">
        <v>18</v>
      </c>
      <c r="F2142" s="1">
        <v>205.78</v>
      </c>
      <c r="G2142" s="1">
        <v>38.74</v>
      </c>
      <c r="H2142">
        <f t="shared" si="33"/>
        <v>3704.04</v>
      </c>
    </row>
    <row r="2143" spans="1:8" x14ac:dyDescent="0.25">
      <c r="A2143" s="1" t="s">
        <v>2156</v>
      </c>
      <c r="B2143" s="5">
        <v>45747.208333333336</v>
      </c>
      <c r="C2143" s="1" t="s">
        <v>23</v>
      </c>
      <c r="D2143" s="1" t="s">
        <v>9</v>
      </c>
      <c r="E2143" s="1">
        <v>1</v>
      </c>
      <c r="F2143" s="1">
        <v>381.56</v>
      </c>
      <c r="G2143" s="1">
        <v>12.98</v>
      </c>
      <c r="H2143">
        <f t="shared" si="33"/>
        <v>381.56</v>
      </c>
    </row>
    <row r="2144" spans="1:8" x14ac:dyDescent="0.25">
      <c r="A2144" s="1" t="s">
        <v>2157</v>
      </c>
      <c r="B2144" s="5">
        <v>45747.25</v>
      </c>
      <c r="C2144" s="1" t="s">
        <v>23</v>
      </c>
      <c r="D2144" s="1" t="s">
        <v>9</v>
      </c>
      <c r="E2144" s="1">
        <v>7</v>
      </c>
      <c r="F2144" s="1">
        <v>274.74</v>
      </c>
      <c r="G2144" s="1">
        <v>5.61</v>
      </c>
      <c r="H2144">
        <f t="shared" si="33"/>
        <v>1923.18</v>
      </c>
    </row>
    <row r="2145" spans="1:8" x14ac:dyDescent="0.25">
      <c r="A2145" s="1" t="s">
        <v>2158</v>
      </c>
      <c r="B2145" s="5">
        <v>45747.291666666664</v>
      </c>
      <c r="C2145" s="1" t="s">
        <v>13</v>
      </c>
      <c r="D2145" s="1" t="s">
        <v>9</v>
      </c>
      <c r="E2145" s="1">
        <v>1</v>
      </c>
      <c r="F2145" s="1">
        <v>330.28</v>
      </c>
      <c r="G2145" s="1">
        <v>23.79</v>
      </c>
      <c r="H2145">
        <f t="shared" si="33"/>
        <v>330.28</v>
      </c>
    </row>
    <row r="2146" spans="1:8" x14ac:dyDescent="0.25">
      <c r="A2146" s="1" t="s">
        <v>2159</v>
      </c>
      <c r="B2146" s="5">
        <v>45747.333333333336</v>
      </c>
      <c r="C2146" s="1" t="s">
        <v>13</v>
      </c>
      <c r="D2146" s="1" t="s">
        <v>9</v>
      </c>
      <c r="E2146" s="1">
        <v>15</v>
      </c>
      <c r="F2146" s="1">
        <v>96</v>
      </c>
      <c r="G2146" s="1">
        <v>34.950000000000003</v>
      </c>
      <c r="H2146">
        <f t="shared" si="33"/>
        <v>1440</v>
      </c>
    </row>
    <row r="2147" spans="1:8" x14ac:dyDescent="0.25">
      <c r="A2147" s="1" t="s">
        <v>2160</v>
      </c>
      <c r="B2147" s="5">
        <v>45747.375</v>
      </c>
      <c r="C2147" s="1" t="s">
        <v>11</v>
      </c>
      <c r="D2147" s="1" t="s">
        <v>19</v>
      </c>
      <c r="E2147" s="1">
        <v>4</v>
      </c>
      <c r="F2147" s="1">
        <v>434.5</v>
      </c>
      <c r="G2147" s="1">
        <v>27.8</v>
      </c>
      <c r="H2147">
        <f t="shared" si="33"/>
        <v>1738</v>
      </c>
    </row>
    <row r="2148" spans="1:8" x14ac:dyDescent="0.25">
      <c r="A2148" s="1" t="s">
        <v>2161</v>
      </c>
      <c r="B2148" s="5">
        <v>45747.416666666664</v>
      </c>
      <c r="C2148" s="1" t="s">
        <v>13</v>
      </c>
      <c r="D2148" s="1" t="s">
        <v>19</v>
      </c>
      <c r="E2148" s="1">
        <v>10</v>
      </c>
      <c r="F2148" s="1">
        <v>191.07</v>
      </c>
      <c r="G2148" s="1">
        <v>45.07</v>
      </c>
      <c r="H2148">
        <f t="shared" si="33"/>
        <v>1910.6999999999998</v>
      </c>
    </row>
    <row r="2149" spans="1:8" x14ac:dyDescent="0.25">
      <c r="A2149" s="1" t="s">
        <v>2162</v>
      </c>
      <c r="B2149" s="5">
        <v>45747.458333333336</v>
      </c>
      <c r="C2149" s="1" t="s">
        <v>13</v>
      </c>
      <c r="D2149" s="1" t="s">
        <v>16</v>
      </c>
      <c r="E2149" s="1">
        <v>9</v>
      </c>
      <c r="F2149" s="1">
        <v>299.5</v>
      </c>
      <c r="G2149" s="1">
        <v>24.53</v>
      </c>
      <c r="H2149">
        <f t="shared" si="33"/>
        <v>2695.5</v>
      </c>
    </row>
    <row r="2150" spans="1:8" x14ac:dyDescent="0.25">
      <c r="A2150" s="1" t="s">
        <v>2163</v>
      </c>
      <c r="B2150" s="5">
        <v>45747.5</v>
      </c>
      <c r="C2150" s="1" t="s">
        <v>23</v>
      </c>
      <c r="D2150" s="1" t="s">
        <v>19</v>
      </c>
      <c r="E2150" s="1">
        <v>2</v>
      </c>
      <c r="F2150" s="1">
        <v>23.7</v>
      </c>
      <c r="G2150" s="1">
        <v>19</v>
      </c>
      <c r="H2150">
        <f t="shared" si="33"/>
        <v>47.4</v>
      </c>
    </row>
    <row r="2151" spans="1:8" x14ac:dyDescent="0.25">
      <c r="A2151" s="1" t="s">
        <v>2164</v>
      </c>
      <c r="B2151" s="5">
        <v>45747.541666666664</v>
      </c>
      <c r="C2151" s="1" t="s">
        <v>8</v>
      </c>
      <c r="D2151" s="1" t="s">
        <v>16</v>
      </c>
      <c r="E2151" s="1">
        <v>14</v>
      </c>
      <c r="F2151" s="1">
        <v>70.819999999999993</v>
      </c>
      <c r="G2151" s="1">
        <v>46.22</v>
      </c>
      <c r="H2151">
        <f t="shared" si="33"/>
        <v>991.4799999999999</v>
      </c>
    </row>
    <row r="2152" spans="1:8" x14ac:dyDescent="0.25">
      <c r="A2152" s="1" t="s">
        <v>2165</v>
      </c>
      <c r="B2152" s="5">
        <v>45747.583333333336</v>
      </c>
      <c r="C2152" s="1" t="s">
        <v>13</v>
      </c>
      <c r="D2152" s="1" t="s">
        <v>16</v>
      </c>
      <c r="E2152" s="1">
        <v>16</v>
      </c>
      <c r="F2152" s="1">
        <v>355.29</v>
      </c>
      <c r="G2152" s="1">
        <v>23.31</v>
      </c>
      <c r="H2152">
        <f t="shared" si="33"/>
        <v>5684.64</v>
      </c>
    </row>
    <row r="2153" spans="1:8" x14ac:dyDescent="0.25">
      <c r="A2153" s="1" t="s">
        <v>2166</v>
      </c>
      <c r="B2153" s="5">
        <v>45747.625</v>
      </c>
      <c r="C2153" s="1" t="s">
        <v>8</v>
      </c>
      <c r="D2153" s="1" t="s">
        <v>37</v>
      </c>
      <c r="E2153" s="1">
        <v>1</v>
      </c>
      <c r="F2153" s="1">
        <v>436.08</v>
      </c>
      <c r="G2153" s="1">
        <v>17.13</v>
      </c>
      <c r="H2153">
        <f t="shared" si="33"/>
        <v>436.08</v>
      </c>
    </row>
    <row r="2154" spans="1:8" x14ac:dyDescent="0.25">
      <c r="A2154" s="1" t="s">
        <v>2167</v>
      </c>
      <c r="B2154" s="5">
        <v>45747.666666666664</v>
      </c>
      <c r="C2154" s="1" t="s">
        <v>13</v>
      </c>
      <c r="D2154" s="1" t="s">
        <v>9</v>
      </c>
      <c r="E2154" s="1">
        <v>2</v>
      </c>
      <c r="F2154" s="1">
        <v>154.56</v>
      </c>
      <c r="G2154" s="1">
        <v>9.39</v>
      </c>
      <c r="H2154">
        <f t="shared" si="33"/>
        <v>309.12</v>
      </c>
    </row>
    <row r="2155" spans="1:8" x14ac:dyDescent="0.25">
      <c r="A2155" s="1" t="s">
        <v>2168</v>
      </c>
      <c r="B2155" s="5">
        <v>45747.708333333336</v>
      </c>
      <c r="C2155" s="1" t="s">
        <v>13</v>
      </c>
      <c r="D2155" s="1" t="s">
        <v>19</v>
      </c>
      <c r="E2155" s="1">
        <v>7</v>
      </c>
      <c r="F2155" s="1">
        <v>31.66</v>
      </c>
      <c r="G2155" s="1">
        <v>40.700000000000003</v>
      </c>
      <c r="H2155">
        <f t="shared" si="33"/>
        <v>221.62</v>
      </c>
    </row>
    <row r="2156" spans="1:8" x14ac:dyDescent="0.25">
      <c r="A2156" s="1" t="s">
        <v>2169</v>
      </c>
      <c r="B2156" s="5">
        <v>45747.75</v>
      </c>
      <c r="C2156" s="1" t="s">
        <v>11</v>
      </c>
      <c r="D2156" s="1" t="s">
        <v>37</v>
      </c>
      <c r="E2156" s="1">
        <v>10</v>
      </c>
      <c r="F2156" s="1">
        <v>172.3</v>
      </c>
      <c r="G2156" s="1">
        <v>42.13</v>
      </c>
      <c r="H2156">
        <f t="shared" si="33"/>
        <v>1723</v>
      </c>
    </row>
    <row r="2157" spans="1:8" x14ac:dyDescent="0.25">
      <c r="A2157" s="1" t="s">
        <v>2170</v>
      </c>
      <c r="B2157" s="5">
        <v>45747.791666666664</v>
      </c>
      <c r="C2157" s="1" t="s">
        <v>11</v>
      </c>
      <c r="D2157" s="1" t="s">
        <v>19</v>
      </c>
      <c r="E2157" s="1">
        <v>1</v>
      </c>
      <c r="F2157" s="1">
        <v>23.09</v>
      </c>
      <c r="G2157" s="1">
        <v>6.5</v>
      </c>
      <c r="H2157">
        <f t="shared" si="33"/>
        <v>23.09</v>
      </c>
    </row>
    <row r="2158" spans="1:8" x14ac:dyDescent="0.25">
      <c r="A2158" s="1" t="s">
        <v>2171</v>
      </c>
      <c r="B2158" s="5">
        <v>45747.833333333336</v>
      </c>
      <c r="C2158" s="1" t="s">
        <v>11</v>
      </c>
      <c r="D2158" s="1" t="s">
        <v>16</v>
      </c>
      <c r="E2158" s="1">
        <v>13</v>
      </c>
      <c r="F2158" s="1">
        <v>99.09</v>
      </c>
      <c r="G2158" s="1">
        <v>21.14</v>
      </c>
      <c r="H2158">
        <f t="shared" si="33"/>
        <v>1288.17</v>
      </c>
    </row>
    <row r="2159" spans="1:8" x14ac:dyDescent="0.25">
      <c r="A2159" s="1" t="s">
        <v>2172</v>
      </c>
      <c r="B2159" s="5">
        <v>45747.875</v>
      </c>
      <c r="C2159" s="1" t="s">
        <v>8</v>
      </c>
      <c r="D2159" s="1" t="s">
        <v>19</v>
      </c>
      <c r="E2159" s="1">
        <v>1</v>
      </c>
      <c r="F2159" s="1">
        <v>342.45</v>
      </c>
      <c r="G2159" s="1">
        <v>38.74</v>
      </c>
      <c r="H2159">
        <f t="shared" si="33"/>
        <v>342.45</v>
      </c>
    </row>
    <row r="2160" spans="1:8" x14ac:dyDescent="0.25">
      <c r="A2160" s="1" t="s">
        <v>2173</v>
      </c>
      <c r="B2160" s="5">
        <v>45747.916666666664</v>
      </c>
      <c r="C2160" s="1" t="s">
        <v>23</v>
      </c>
      <c r="D2160" s="1" t="s">
        <v>9</v>
      </c>
      <c r="E2160" s="1">
        <v>5</v>
      </c>
      <c r="F2160" s="1">
        <v>422.66</v>
      </c>
      <c r="G2160" s="1">
        <v>47.59</v>
      </c>
      <c r="H2160">
        <f t="shared" si="33"/>
        <v>2113.3000000000002</v>
      </c>
    </row>
    <row r="2161" spans="1:8" x14ac:dyDescent="0.25">
      <c r="A2161" s="1" t="s">
        <v>2174</v>
      </c>
      <c r="B2161" s="5">
        <v>45747.958333333336</v>
      </c>
      <c r="C2161" s="1" t="s">
        <v>13</v>
      </c>
      <c r="D2161" s="1" t="s">
        <v>16</v>
      </c>
      <c r="E2161" s="1">
        <v>16</v>
      </c>
      <c r="F2161" s="1">
        <v>53.5</v>
      </c>
      <c r="G2161" s="1">
        <v>22</v>
      </c>
      <c r="H2161">
        <f t="shared" si="33"/>
        <v>856</v>
      </c>
    </row>
    <row r="2162" spans="1:8" x14ac:dyDescent="0.25">
      <c r="A2162" s="1" t="s">
        <v>2175</v>
      </c>
      <c r="B2162" s="5">
        <v>45748</v>
      </c>
      <c r="C2162" s="1" t="s">
        <v>13</v>
      </c>
      <c r="D2162" s="1" t="s">
        <v>16</v>
      </c>
      <c r="E2162" s="1">
        <v>15</v>
      </c>
      <c r="F2162" s="1">
        <v>257.91000000000003</v>
      </c>
      <c r="G2162" s="1">
        <v>44.24</v>
      </c>
      <c r="H2162">
        <f t="shared" si="33"/>
        <v>3868.6500000000005</v>
      </c>
    </row>
    <row r="2163" spans="1:8" x14ac:dyDescent="0.25">
      <c r="A2163" s="1" t="s">
        <v>2176</v>
      </c>
      <c r="B2163" s="5">
        <v>45748.041666666664</v>
      </c>
      <c r="C2163" s="1" t="s">
        <v>13</v>
      </c>
      <c r="D2163" s="1" t="s">
        <v>37</v>
      </c>
      <c r="E2163" s="1">
        <v>17</v>
      </c>
      <c r="F2163" s="1">
        <v>125.81</v>
      </c>
      <c r="G2163" s="1">
        <v>22.72</v>
      </c>
      <c r="H2163">
        <f t="shared" si="33"/>
        <v>2138.77</v>
      </c>
    </row>
    <row r="2164" spans="1:8" x14ac:dyDescent="0.25">
      <c r="A2164" s="1" t="s">
        <v>2177</v>
      </c>
      <c r="B2164" s="5">
        <v>45748.083333333336</v>
      </c>
      <c r="C2164" s="1" t="s">
        <v>8</v>
      </c>
      <c r="D2164" s="1" t="s">
        <v>9</v>
      </c>
      <c r="E2164" s="1">
        <v>16</v>
      </c>
      <c r="F2164" s="1">
        <v>75.92</v>
      </c>
      <c r="G2164" s="1">
        <v>13.08</v>
      </c>
      <c r="H2164">
        <f t="shared" si="33"/>
        <v>1214.72</v>
      </c>
    </row>
    <row r="2165" spans="1:8" x14ac:dyDescent="0.25">
      <c r="A2165" s="1" t="s">
        <v>2178</v>
      </c>
      <c r="B2165" s="5">
        <v>45748.125</v>
      </c>
      <c r="C2165" s="1" t="s">
        <v>11</v>
      </c>
      <c r="D2165" s="1" t="s">
        <v>16</v>
      </c>
      <c r="E2165" s="1">
        <v>13</v>
      </c>
      <c r="F2165" s="1">
        <v>110.65</v>
      </c>
      <c r="G2165" s="1">
        <v>5.16</v>
      </c>
      <c r="H2165">
        <f t="shared" si="33"/>
        <v>1438.45</v>
      </c>
    </row>
    <row r="2166" spans="1:8" x14ac:dyDescent="0.25">
      <c r="A2166" s="1" t="s">
        <v>2179</v>
      </c>
      <c r="B2166" s="5">
        <v>45748.166666666664</v>
      </c>
      <c r="C2166" s="1" t="s">
        <v>23</v>
      </c>
      <c r="D2166" s="1" t="s">
        <v>9</v>
      </c>
      <c r="E2166" s="1">
        <v>11</v>
      </c>
      <c r="F2166" s="1">
        <v>266.54000000000002</v>
      </c>
      <c r="G2166" s="1">
        <v>19.86</v>
      </c>
      <c r="H2166">
        <f t="shared" si="33"/>
        <v>2931.94</v>
      </c>
    </row>
    <row r="2167" spans="1:8" x14ac:dyDescent="0.25">
      <c r="A2167" s="1" t="s">
        <v>2180</v>
      </c>
      <c r="B2167" s="5">
        <v>45748.208333333336</v>
      </c>
      <c r="C2167" s="1" t="s">
        <v>8</v>
      </c>
      <c r="D2167" s="1" t="s">
        <v>19</v>
      </c>
      <c r="E2167" s="1">
        <v>17</v>
      </c>
      <c r="F2167" s="1">
        <v>43.8</v>
      </c>
      <c r="G2167" s="1">
        <v>22.03</v>
      </c>
      <c r="H2167">
        <f t="shared" si="33"/>
        <v>744.59999999999991</v>
      </c>
    </row>
    <row r="2168" spans="1:8" x14ac:dyDescent="0.25">
      <c r="A2168" s="1" t="s">
        <v>2181</v>
      </c>
      <c r="B2168" s="5">
        <v>45748.25</v>
      </c>
      <c r="C2168" s="1" t="s">
        <v>11</v>
      </c>
      <c r="D2168" s="1" t="s">
        <v>9</v>
      </c>
      <c r="E2168" s="1">
        <v>17</v>
      </c>
      <c r="F2168" s="1">
        <v>204.17</v>
      </c>
      <c r="G2168" s="1">
        <v>47.53</v>
      </c>
      <c r="H2168">
        <f t="shared" si="33"/>
        <v>3470.89</v>
      </c>
    </row>
    <row r="2169" spans="1:8" x14ac:dyDescent="0.25">
      <c r="A2169" s="1" t="s">
        <v>2182</v>
      </c>
      <c r="B2169" s="5">
        <v>45748.291666666664</v>
      </c>
      <c r="C2169" s="1" t="s">
        <v>8</v>
      </c>
      <c r="D2169" s="1" t="s">
        <v>16</v>
      </c>
      <c r="E2169" s="1">
        <v>2</v>
      </c>
      <c r="F2169" s="1">
        <v>74.260000000000005</v>
      </c>
      <c r="G2169" s="1">
        <v>14.27</v>
      </c>
      <c r="H2169">
        <f t="shared" si="33"/>
        <v>148.52000000000001</v>
      </c>
    </row>
    <row r="2170" spans="1:8" x14ac:dyDescent="0.25">
      <c r="A2170" s="1" t="s">
        <v>2183</v>
      </c>
      <c r="B2170" s="5">
        <v>45748.333333333336</v>
      </c>
      <c r="C2170" s="1" t="s">
        <v>23</v>
      </c>
      <c r="D2170" s="1" t="s">
        <v>37</v>
      </c>
      <c r="E2170" s="1">
        <v>13</v>
      </c>
      <c r="F2170" s="1">
        <v>133.97999999999999</v>
      </c>
      <c r="G2170" s="1">
        <v>22.2</v>
      </c>
      <c r="H2170">
        <f t="shared" si="33"/>
        <v>1741.7399999999998</v>
      </c>
    </row>
    <row r="2171" spans="1:8" x14ac:dyDescent="0.25">
      <c r="A2171" s="1" t="s">
        <v>2184</v>
      </c>
      <c r="B2171" s="5">
        <v>45748.375</v>
      </c>
      <c r="C2171" s="1" t="s">
        <v>11</v>
      </c>
      <c r="D2171" s="1" t="s">
        <v>16</v>
      </c>
      <c r="E2171" s="1">
        <v>14</v>
      </c>
      <c r="F2171" s="1">
        <v>98.38</v>
      </c>
      <c r="G2171" s="1">
        <v>6.13</v>
      </c>
      <c r="H2171">
        <f t="shared" si="33"/>
        <v>1377.32</v>
      </c>
    </row>
    <row r="2172" spans="1:8" x14ac:dyDescent="0.25">
      <c r="A2172" s="1" t="s">
        <v>2185</v>
      </c>
      <c r="B2172" s="5">
        <v>45748.416666666664</v>
      </c>
      <c r="C2172" s="1" t="s">
        <v>8</v>
      </c>
      <c r="D2172" s="1" t="s">
        <v>9</v>
      </c>
      <c r="E2172" s="1">
        <v>11</v>
      </c>
      <c r="F2172" s="1">
        <v>399.15</v>
      </c>
      <c r="G2172" s="1">
        <v>39.36</v>
      </c>
      <c r="H2172">
        <f t="shared" si="33"/>
        <v>4390.6499999999996</v>
      </c>
    </row>
    <row r="2173" spans="1:8" x14ac:dyDescent="0.25">
      <c r="A2173" s="1" t="s">
        <v>2186</v>
      </c>
      <c r="B2173" s="5">
        <v>45748.458333333336</v>
      </c>
      <c r="C2173" s="1" t="s">
        <v>23</v>
      </c>
      <c r="D2173" s="1" t="s">
        <v>9</v>
      </c>
      <c r="E2173" s="1">
        <v>10</v>
      </c>
      <c r="F2173" s="1">
        <v>323.13</v>
      </c>
      <c r="G2173" s="1">
        <v>46.18</v>
      </c>
      <c r="H2173">
        <f t="shared" si="33"/>
        <v>3231.3</v>
      </c>
    </row>
    <row r="2174" spans="1:8" x14ac:dyDescent="0.25">
      <c r="A2174" s="1" t="s">
        <v>2187</v>
      </c>
      <c r="B2174" s="5">
        <v>45748.5</v>
      </c>
      <c r="C2174" s="1" t="s">
        <v>13</v>
      </c>
      <c r="D2174" s="1" t="s">
        <v>16</v>
      </c>
      <c r="E2174" s="1">
        <v>3</v>
      </c>
      <c r="F2174" s="1">
        <v>392.85</v>
      </c>
      <c r="G2174" s="1">
        <v>15.7</v>
      </c>
      <c r="H2174">
        <f t="shared" si="33"/>
        <v>1178.5500000000002</v>
      </c>
    </row>
    <row r="2175" spans="1:8" x14ac:dyDescent="0.25">
      <c r="A2175" s="1" t="s">
        <v>2188</v>
      </c>
      <c r="B2175" s="5">
        <v>45748.541666666664</v>
      </c>
      <c r="C2175" s="1" t="s">
        <v>23</v>
      </c>
      <c r="D2175" s="1" t="s">
        <v>9</v>
      </c>
      <c r="E2175" s="1">
        <v>17</v>
      </c>
      <c r="F2175" s="1">
        <v>182.11</v>
      </c>
      <c r="G2175" s="1">
        <v>24.3</v>
      </c>
      <c r="H2175">
        <f t="shared" si="33"/>
        <v>3095.8700000000003</v>
      </c>
    </row>
    <row r="2176" spans="1:8" x14ac:dyDescent="0.25">
      <c r="A2176" s="1" t="s">
        <v>2189</v>
      </c>
      <c r="B2176" s="5">
        <v>45748.583333333336</v>
      </c>
      <c r="C2176" s="1" t="s">
        <v>13</v>
      </c>
      <c r="D2176" s="1" t="s">
        <v>19</v>
      </c>
      <c r="E2176" s="1">
        <v>15</v>
      </c>
      <c r="F2176" s="1">
        <v>151.68</v>
      </c>
      <c r="G2176" s="1">
        <v>10.5</v>
      </c>
      <c r="H2176">
        <f t="shared" si="33"/>
        <v>2275.2000000000003</v>
      </c>
    </row>
    <row r="2177" spans="1:8" x14ac:dyDescent="0.25">
      <c r="A2177" s="1" t="s">
        <v>2190</v>
      </c>
      <c r="B2177" s="5">
        <v>45748.625</v>
      </c>
      <c r="C2177" s="1" t="s">
        <v>8</v>
      </c>
      <c r="D2177" s="1" t="s">
        <v>16</v>
      </c>
      <c r="E2177" s="1">
        <v>9</v>
      </c>
      <c r="F2177" s="1">
        <v>180.87</v>
      </c>
      <c r="G2177" s="1">
        <v>25.56</v>
      </c>
      <c r="H2177">
        <f t="shared" si="33"/>
        <v>1627.83</v>
      </c>
    </row>
    <row r="2178" spans="1:8" x14ac:dyDescent="0.25">
      <c r="A2178" s="1" t="s">
        <v>2191</v>
      </c>
      <c r="B2178" s="5">
        <v>45748.666666666664</v>
      </c>
      <c r="C2178" s="1" t="s">
        <v>11</v>
      </c>
      <c r="D2178" s="1" t="s">
        <v>37</v>
      </c>
      <c r="E2178" s="1">
        <v>10</v>
      </c>
      <c r="F2178" s="1">
        <v>23.56</v>
      </c>
      <c r="G2178" s="1">
        <v>11</v>
      </c>
      <c r="H2178">
        <f t="shared" ref="H2178:H2241" si="34">E2178*F2178</f>
        <v>235.6</v>
      </c>
    </row>
    <row r="2179" spans="1:8" x14ac:dyDescent="0.25">
      <c r="A2179" s="1" t="s">
        <v>2192</v>
      </c>
      <c r="B2179" s="5">
        <v>45748.708333333336</v>
      </c>
      <c r="C2179" s="1" t="s">
        <v>11</v>
      </c>
      <c r="D2179" s="1" t="s">
        <v>16</v>
      </c>
      <c r="E2179" s="1">
        <v>8</v>
      </c>
      <c r="F2179" s="1">
        <v>330.38</v>
      </c>
      <c r="G2179" s="1">
        <v>28.55</v>
      </c>
      <c r="H2179">
        <f t="shared" si="34"/>
        <v>2643.04</v>
      </c>
    </row>
    <row r="2180" spans="1:8" x14ac:dyDescent="0.25">
      <c r="A2180" s="1" t="s">
        <v>2193</v>
      </c>
      <c r="B2180" s="5">
        <v>45748.75</v>
      </c>
      <c r="C2180" s="1" t="s">
        <v>8</v>
      </c>
      <c r="D2180" s="1" t="s">
        <v>19</v>
      </c>
      <c r="E2180" s="1">
        <v>13</v>
      </c>
      <c r="F2180" s="1">
        <v>167.48</v>
      </c>
      <c r="G2180" s="1">
        <v>38.06</v>
      </c>
      <c r="H2180">
        <f t="shared" si="34"/>
        <v>2177.2399999999998</v>
      </c>
    </row>
    <row r="2181" spans="1:8" x14ac:dyDescent="0.25">
      <c r="A2181" s="1" t="s">
        <v>2194</v>
      </c>
      <c r="B2181" s="5">
        <v>45748.791666666664</v>
      </c>
      <c r="C2181" s="1" t="s">
        <v>11</v>
      </c>
      <c r="D2181" s="1" t="s">
        <v>19</v>
      </c>
      <c r="E2181" s="1">
        <v>18</v>
      </c>
      <c r="F2181" s="1">
        <v>151.63999999999999</v>
      </c>
      <c r="G2181" s="1">
        <v>29.9</v>
      </c>
      <c r="H2181">
        <f t="shared" si="34"/>
        <v>2729.5199999999995</v>
      </c>
    </row>
    <row r="2182" spans="1:8" x14ac:dyDescent="0.25">
      <c r="A2182" s="1" t="s">
        <v>2195</v>
      </c>
      <c r="B2182" s="5">
        <v>45748.833333333336</v>
      </c>
      <c r="C2182" s="1" t="s">
        <v>11</v>
      </c>
      <c r="D2182" s="1" t="s">
        <v>19</v>
      </c>
      <c r="E2182" s="1">
        <v>5</v>
      </c>
      <c r="F2182" s="1">
        <v>275.39</v>
      </c>
      <c r="G2182" s="1">
        <v>16.03</v>
      </c>
      <c r="H2182">
        <f t="shared" si="34"/>
        <v>1376.9499999999998</v>
      </c>
    </row>
    <row r="2183" spans="1:8" x14ac:dyDescent="0.25">
      <c r="A2183" s="1" t="s">
        <v>2196</v>
      </c>
      <c r="B2183" s="5">
        <v>45748.875</v>
      </c>
      <c r="C2183" s="1" t="s">
        <v>13</v>
      </c>
      <c r="D2183" s="1" t="s">
        <v>19</v>
      </c>
      <c r="E2183" s="1">
        <v>6</v>
      </c>
      <c r="F2183" s="1">
        <v>205.05</v>
      </c>
      <c r="G2183" s="1">
        <v>20.92</v>
      </c>
      <c r="H2183">
        <f t="shared" si="34"/>
        <v>1230.3000000000002</v>
      </c>
    </row>
    <row r="2184" spans="1:8" x14ac:dyDescent="0.25">
      <c r="A2184" s="1" t="s">
        <v>2197</v>
      </c>
      <c r="B2184" s="5">
        <v>45748.916666666664</v>
      </c>
      <c r="C2184" s="1" t="s">
        <v>8</v>
      </c>
      <c r="D2184" s="1" t="s">
        <v>19</v>
      </c>
      <c r="E2184" s="1">
        <v>17</v>
      </c>
      <c r="F2184" s="1">
        <v>441.68</v>
      </c>
      <c r="G2184" s="1">
        <v>33.74</v>
      </c>
      <c r="H2184">
        <f t="shared" si="34"/>
        <v>7508.56</v>
      </c>
    </row>
    <row r="2185" spans="1:8" x14ac:dyDescent="0.25">
      <c r="A2185" s="1" t="s">
        <v>2198</v>
      </c>
      <c r="B2185" s="5">
        <v>45748.958333333336</v>
      </c>
      <c r="C2185" s="1" t="s">
        <v>23</v>
      </c>
      <c r="D2185" s="1" t="s">
        <v>37</v>
      </c>
      <c r="E2185" s="1">
        <v>11</v>
      </c>
      <c r="F2185" s="1">
        <v>170.29</v>
      </c>
      <c r="G2185" s="1">
        <v>31.54</v>
      </c>
      <c r="H2185">
        <f t="shared" si="34"/>
        <v>1873.1899999999998</v>
      </c>
    </row>
    <row r="2186" spans="1:8" x14ac:dyDescent="0.25">
      <c r="A2186" s="1" t="s">
        <v>2199</v>
      </c>
      <c r="B2186" s="5">
        <v>45749</v>
      </c>
      <c r="C2186" s="1" t="s">
        <v>13</v>
      </c>
      <c r="D2186" s="1" t="s">
        <v>9</v>
      </c>
      <c r="E2186" s="1">
        <v>16</v>
      </c>
      <c r="F2186" s="1">
        <v>282.24</v>
      </c>
      <c r="G2186" s="1">
        <v>11.15</v>
      </c>
      <c r="H2186">
        <f t="shared" si="34"/>
        <v>4515.84</v>
      </c>
    </row>
    <row r="2187" spans="1:8" x14ac:dyDescent="0.25">
      <c r="A2187" s="1" t="s">
        <v>2200</v>
      </c>
      <c r="B2187" s="5">
        <v>45749.041666666664</v>
      </c>
      <c r="C2187" s="1" t="s">
        <v>8</v>
      </c>
      <c r="D2187" s="1" t="s">
        <v>19</v>
      </c>
      <c r="E2187" s="1">
        <v>9</v>
      </c>
      <c r="F2187" s="1">
        <v>150.91</v>
      </c>
      <c r="G2187" s="1">
        <v>43.02</v>
      </c>
      <c r="H2187">
        <f t="shared" si="34"/>
        <v>1358.19</v>
      </c>
    </row>
    <row r="2188" spans="1:8" x14ac:dyDescent="0.25">
      <c r="A2188" s="1" t="s">
        <v>2201</v>
      </c>
      <c r="B2188" s="5">
        <v>45749.083333333336</v>
      </c>
      <c r="C2188" s="1" t="s">
        <v>13</v>
      </c>
      <c r="D2188" s="1" t="s">
        <v>19</v>
      </c>
      <c r="E2188" s="1">
        <v>2</v>
      </c>
      <c r="F2188" s="1">
        <v>445.91</v>
      </c>
      <c r="G2188" s="1">
        <v>26.38</v>
      </c>
      <c r="H2188">
        <f t="shared" si="34"/>
        <v>891.82</v>
      </c>
    </row>
    <row r="2189" spans="1:8" x14ac:dyDescent="0.25">
      <c r="A2189" s="1" t="s">
        <v>2202</v>
      </c>
      <c r="B2189" s="5">
        <v>45749.125</v>
      </c>
      <c r="C2189" s="1" t="s">
        <v>23</v>
      </c>
      <c r="D2189" s="1" t="s">
        <v>16</v>
      </c>
      <c r="E2189" s="1">
        <v>5</v>
      </c>
      <c r="F2189" s="1">
        <v>208.9</v>
      </c>
      <c r="G2189" s="1">
        <v>12.31</v>
      </c>
      <c r="H2189">
        <f t="shared" si="34"/>
        <v>1044.5</v>
      </c>
    </row>
    <row r="2190" spans="1:8" x14ac:dyDescent="0.25">
      <c r="A2190" s="1" t="s">
        <v>2203</v>
      </c>
      <c r="B2190" s="5">
        <v>45749.166666666664</v>
      </c>
      <c r="C2190" s="1" t="s">
        <v>23</v>
      </c>
      <c r="D2190" s="1" t="s">
        <v>37</v>
      </c>
      <c r="E2190" s="1">
        <v>1</v>
      </c>
      <c r="F2190" s="1">
        <v>291.02999999999997</v>
      </c>
      <c r="G2190" s="1">
        <v>10.53</v>
      </c>
      <c r="H2190">
        <f t="shared" si="34"/>
        <v>291.02999999999997</v>
      </c>
    </row>
    <row r="2191" spans="1:8" x14ac:dyDescent="0.25">
      <c r="A2191" s="1" t="s">
        <v>2204</v>
      </c>
      <c r="B2191" s="5">
        <v>45749.208333333336</v>
      </c>
      <c r="C2191" s="1" t="s">
        <v>8</v>
      </c>
      <c r="D2191" s="1" t="s">
        <v>37</v>
      </c>
      <c r="E2191" s="1">
        <v>4</v>
      </c>
      <c r="F2191" s="1">
        <v>70.56</v>
      </c>
      <c r="G2191" s="1">
        <v>48.45</v>
      </c>
      <c r="H2191">
        <f t="shared" si="34"/>
        <v>282.24</v>
      </c>
    </row>
    <row r="2192" spans="1:8" x14ac:dyDescent="0.25">
      <c r="A2192" s="1" t="s">
        <v>2205</v>
      </c>
      <c r="B2192" s="5">
        <v>45749.25</v>
      </c>
      <c r="C2192" s="1" t="s">
        <v>23</v>
      </c>
      <c r="D2192" s="1" t="s">
        <v>9</v>
      </c>
      <c r="E2192" s="1">
        <v>4</v>
      </c>
      <c r="F2192" s="1">
        <v>334</v>
      </c>
      <c r="G2192" s="1">
        <v>17.670000000000002</v>
      </c>
      <c r="H2192">
        <f t="shared" si="34"/>
        <v>1336</v>
      </c>
    </row>
    <row r="2193" spans="1:8" x14ac:dyDescent="0.25">
      <c r="A2193" s="1" t="s">
        <v>2206</v>
      </c>
      <c r="B2193" s="5">
        <v>45749.291666666664</v>
      </c>
      <c r="C2193" s="1" t="s">
        <v>13</v>
      </c>
      <c r="D2193" s="1" t="s">
        <v>37</v>
      </c>
      <c r="E2193" s="1">
        <v>3</v>
      </c>
      <c r="F2193" s="1">
        <v>132.47</v>
      </c>
      <c r="G2193" s="1">
        <v>45.89</v>
      </c>
      <c r="H2193">
        <f t="shared" si="34"/>
        <v>397.40999999999997</v>
      </c>
    </row>
    <row r="2194" spans="1:8" x14ac:dyDescent="0.25">
      <c r="A2194" s="1" t="s">
        <v>2207</v>
      </c>
      <c r="B2194" s="5">
        <v>45749.333333333336</v>
      </c>
      <c r="C2194" s="1" t="s">
        <v>23</v>
      </c>
      <c r="D2194" s="1" t="s">
        <v>16</v>
      </c>
      <c r="E2194" s="1">
        <v>9</v>
      </c>
      <c r="F2194" s="1">
        <v>210.42</v>
      </c>
      <c r="G2194" s="1">
        <v>23.48</v>
      </c>
      <c r="H2194">
        <f t="shared" si="34"/>
        <v>1893.78</v>
      </c>
    </row>
    <row r="2195" spans="1:8" x14ac:dyDescent="0.25">
      <c r="A2195" s="1" t="s">
        <v>2208</v>
      </c>
      <c r="B2195" s="5">
        <v>45749.375</v>
      </c>
      <c r="C2195" s="1" t="s">
        <v>13</v>
      </c>
      <c r="D2195" s="1" t="s">
        <v>16</v>
      </c>
      <c r="E2195" s="1">
        <v>12</v>
      </c>
      <c r="F2195" s="1">
        <v>399.22</v>
      </c>
      <c r="G2195" s="1">
        <v>22.37</v>
      </c>
      <c r="H2195">
        <f t="shared" si="34"/>
        <v>4790.6400000000003</v>
      </c>
    </row>
    <row r="2196" spans="1:8" x14ac:dyDescent="0.25">
      <c r="A2196" s="1" t="s">
        <v>2209</v>
      </c>
      <c r="B2196" s="5">
        <v>45749.416666666664</v>
      </c>
      <c r="C2196" s="1" t="s">
        <v>13</v>
      </c>
      <c r="D2196" s="1" t="s">
        <v>9</v>
      </c>
      <c r="E2196" s="1">
        <v>10</v>
      </c>
      <c r="F2196" s="1">
        <v>437.21</v>
      </c>
      <c r="G2196" s="1">
        <v>36.54</v>
      </c>
      <c r="H2196">
        <f t="shared" si="34"/>
        <v>4372.0999999999995</v>
      </c>
    </row>
    <row r="2197" spans="1:8" x14ac:dyDescent="0.25">
      <c r="A2197" s="1" t="s">
        <v>2210</v>
      </c>
      <c r="B2197" s="5">
        <v>45749.458333333336</v>
      </c>
      <c r="C2197" s="1" t="s">
        <v>23</v>
      </c>
      <c r="D2197" s="1" t="s">
        <v>16</v>
      </c>
      <c r="E2197" s="1">
        <v>2</v>
      </c>
      <c r="F2197" s="1">
        <v>199.98</v>
      </c>
      <c r="G2197" s="1">
        <v>5.44</v>
      </c>
      <c r="H2197">
        <f t="shared" si="34"/>
        <v>399.96</v>
      </c>
    </row>
    <row r="2198" spans="1:8" x14ac:dyDescent="0.25">
      <c r="A2198" s="1" t="s">
        <v>2211</v>
      </c>
      <c r="B2198" s="5">
        <v>45749.5</v>
      </c>
      <c r="C2198" s="1" t="s">
        <v>8</v>
      </c>
      <c r="D2198" s="1" t="s">
        <v>19</v>
      </c>
      <c r="E2198" s="1">
        <v>11</v>
      </c>
      <c r="F2198" s="1">
        <v>378.22</v>
      </c>
      <c r="G2198" s="1">
        <v>20.21</v>
      </c>
      <c r="H2198">
        <f t="shared" si="34"/>
        <v>4160.42</v>
      </c>
    </row>
    <row r="2199" spans="1:8" x14ac:dyDescent="0.25">
      <c r="A2199" s="1" t="s">
        <v>2212</v>
      </c>
      <c r="B2199" s="5">
        <v>45749.541666666664</v>
      </c>
      <c r="C2199" s="1" t="s">
        <v>11</v>
      </c>
      <c r="D2199" s="1" t="s">
        <v>19</v>
      </c>
      <c r="E2199" s="1">
        <v>10</v>
      </c>
      <c r="F2199" s="1">
        <v>38.68</v>
      </c>
      <c r="G2199" s="1">
        <v>18.62</v>
      </c>
      <c r="H2199">
        <f t="shared" si="34"/>
        <v>386.8</v>
      </c>
    </row>
    <row r="2200" spans="1:8" x14ac:dyDescent="0.25">
      <c r="A2200" s="1" t="s">
        <v>2213</v>
      </c>
      <c r="B2200" s="5">
        <v>45749.583333333336</v>
      </c>
      <c r="C2200" s="1" t="s">
        <v>23</v>
      </c>
      <c r="D2200" s="1" t="s">
        <v>16</v>
      </c>
      <c r="E2200" s="1">
        <v>6</v>
      </c>
      <c r="F2200" s="1">
        <v>383.77</v>
      </c>
      <c r="G2200" s="1">
        <v>44.06</v>
      </c>
      <c r="H2200">
        <f t="shared" si="34"/>
        <v>2302.62</v>
      </c>
    </row>
    <row r="2201" spans="1:8" x14ac:dyDescent="0.25">
      <c r="A2201" s="1" t="s">
        <v>2214</v>
      </c>
      <c r="B2201" s="5">
        <v>45749.625</v>
      </c>
      <c r="C2201" s="1" t="s">
        <v>13</v>
      </c>
      <c r="D2201" s="1" t="s">
        <v>9</v>
      </c>
      <c r="E2201" s="1">
        <v>18</v>
      </c>
      <c r="F2201" s="1">
        <v>289.02</v>
      </c>
      <c r="G2201" s="1">
        <v>28.81</v>
      </c>
      <c r="H2201">
        <f t="shared" si="34"/>
        <v>5202.3599999999997</v>
      </c>
    </row>
    <row r="2202" spans="1:8" x14ac:dyDescent="0.25">
      <c r="A2202" s="1" t="s">
        <v>2215</v>
      </c>
      <c r="B2202" s="5">
        <v>45749.666666666664</v>
      </c>
      <c r="C2202" s="1" t="s">
        <v>13</v>
      </c>
      <c r="D2202" s="1" t="s">
        <v>37</v>
      </c>
      <c r="E2202" s="1">
        <v>2</v>
      </c>
      <c r="F2202" s="1">
        <v>227.84</v>
      </c>
      <c r="G2202" s="1">
        <v>21.41</v>
      </c>
      <c r="H2202">
        <f t="shared" si="34"/>
        <v>455.68</v>
      </c>
    </row>
    <row r="2203" spans="1:8" x14ac:dyDescent="0.25">
      <c r="A2203" s="1" t="s">
        <v>2216</v>
      </c>
      <c r="B2203" s="5">
        <v>45749.708333333336</v>
      </c>
      <c r="C2203" s="1" t="s">
        <v>23</v>
      </c>
      <c r="D2203" s="1" t="s">
        <v>9</v>
      </c>
      <c r="E2203" s="1">
        <v>2</v>
      </c>
      <c r="F2203" s="1">
        <v>402.19</v>
      </c>
      <c r="G2203" s="1">
        <v>16.97</v>
      </c>
      <c r="H2203">
        <f t="shared" si="34"/>
        <v>804.38</v>
      </c>
    </row>
    <row r="2204" spans="1:8" x14ac:dyDescent="0.25">
      <c r="A2204" s="1" t="s">
        <v>2217</v>
      </c>
      <c r="B2204" s="5">
        <v>45749.75</v>
      </c>
      <c r="C2204" s="1" t="s">
        <v>8</v>
      </c>
      <c r="D2204" s="1" t="s">
        <v>37</v>
      </c>
      <c r="E2204" s="1">
        <v>10</v>
      </c>
      <c r="F2204" s="1">
        <v>382.8</v>
      </c>
      <c r="G2204" s="1">
        <v>31.57</v>
      </c>
      <c r="H2204">
        <f t="shared" si="34"/>
        <v>3828</v>
      </c>
    </row>
    <row r="2205" spans="1:8" x14ac:dyDescent="0.25">
      <c r="A2205" s="1" t="s">
        <v>2218</v>
      </c>
      <c r="B2205" s="5">
        <v>45749.791666666664</v>
      </c>
      <c r="C2205" s="1" t="s">
        <v>8</v>
      </c>
      <c r="D2205" s="1" t="s">
        <v>16</v>
      </c>
      <c r="E2205" s="1">
        <v>16</v>
      </c>
      <c r="F2205" s="1">
        <v>144.52000000000001</v>
      </c>
      <c r="G2205" s="1">
        <v>11.83</v>
      </c>
      <c r="H2205">
        <f t="shared" si="34"/>
        <v>2312.3200000000002</v>
      </c>
    </row>
    <row r="2206" spans="1:8" x14ac:dyDescent="0.25">
      <c r="A2206" s="1" t="s">
        <v>2219</v>
      </c>
      <c r="B2206" s="5">
        <v>45749.833333333336</v>
      </c>
      <c r="C2206" s="1" t="s">
        <v>13</v>
      </c>
      <c r="D2206" s="1" t="s">
        <v>16</v>
      </c>
      <c r="E2206" s="1">
        <v>12</v>
      </c>
      <c r="F2206" s="1">
        <v>359.4</v>
      </c>
      <c r="G2206" s="1">
        <v>16.079999999999998</v>
      </c>
      <c r="H2206">
        <f t="shared" si="34"/>
        <v>4312.7999999999993</v>
      </c>
    </row>
    <row r="2207" spans="1:8" x14ac:dyDescent="0.25">
      <c r="A2207" s="1" t="s">
        <v>2220</v>
      </c>
      <c r="B2207" s="5">
        <v>45749.875</v>
      </c>
      <c r="C2207" s="1" t="s">
        <v>13</v>
      </c>
      <c r="D2207" s="1" t="s">
        <v>19</v>
      </c>
      <c r="E2207" s="1">
        <v>1</v>
      </c>
      <c r="F2207" s="1">
        <v>58.73</v>
      </c>
      <c r="G2207" s="1">
        <v>18.21</v>
      </c>
      <c r="H2207">
        <f t="shared" si="34"/>
        <v>58.73</v>
      </c>
    </row>
    <row r="2208" spans="1:8" x14ac:dyDescent="0.25">
      <c r="A2208" s="1" t="s">
        <v>2221</v>
      </c>
      <c r="B2208" s="5">
        <v>45749.916666666664</v>
      </c>
      <c r="C2208" s="1" t="s">
        <v>8</v>
      </c>
      <c r="D2208" s="1" t="s">
        <v>37</v>
      </c>
      <c r="E2208" s="1">
        <v>8</v>
      </c>
      <c r="F2208" s="1">
        <v>372.99</v>
      </c>
      <c r="G2208" s="1">
        <v>32.36</v>
      </c>
      <c r="H2208">
        <f t="shared" si="34"/>
        <v>2983.92</v>
      </c>
    </row>
    <row r="2209" spans="1:8" x14ac:dyDescent="0.25">
      <c r="A2209" s="1" t="s">
        <v>2222</v>
      </c>
      <c r="B2209" s="5">
        <v>45749.958333333336</v>
      </c>
      <c r="C2209" s="1" t="s">
        <v>11</v>
      </c>
      <c r="D2209" s="1" t="s">
        <v>9</v>
      </c>
      <c r="E2209" s="1">
        <v>16</v>
      </c>
      <c r="F2209" s="1">
        <v>308.99</v>
      </c>
      <c r="G2209" s="1">
        <v>21.8</v>
      </c>
      <c r="H2209">
        <f t="shared" si="34"/>
        <v>4943.84</v>
      </c>
    </row>
    <row r="2210" spans="1:8" x14ac:dyDescent="0.25">
      <c r="A2210" s="1" t="s">
        <v>2223</v>
      </c>
      <c r="B2210" s="5">
        <v>45750</v>
      </c>
      <c r="C2210" s="1" t="s">
        <v>23</v>
      </c>
      <c r="D2210" s="1" t="s">
        <v>16</v>
      </c>
      <c r="E2210" s="1">
        <v>18</v>
      </c>
      <c r="F2210" s="1">
        <v>53.68</v>
      </c>
      <c r="G2210" s="1">
        <v>27.76</v>
      </c>
      <c r="H2210">
        <f t="shared" si="34"/>
        <v>966.24</v>
      </c>
    </row>
    <row r="2211" spans="1:8" x14ac:dyDescent="0.25">
      <c r="A2211" s="1" t="s">
        <v>2224</v>
      </c>
      <c r="B2211" s="5">
        <v>45750.041666666664</v>
      </c>
      <c r="C2211" s="1" t="s">
        <v>13</v>
      </c>
      <c r="D2211" s="1" t="s">
        <v>9</v>
      </c>
      <c r="E2211" s="1">
        <v>13</v>
      </c>
      <c r="F2211" s="1">
        <v>312.3</v>
      </c>
      <c r="G2211" s="1">
        <v>34.270000000000003</v>
      </c>
      <c r="H2211">
        <f t="shared" si="34"/>
        <v>4059.9</v>
      </c>
    </row>
    <row r="2212" spans="1:8" x14ac:dyDescent="0.25">
      <c r="A2212" s="1" t="s">
        <v>2225</v>
      </c>
      <c r="B2212" s="5">
        <v>45750.083333333336</v>
      </c>
      <c r="C2212" s="1" t="s">
        <v>13</v>
      </c>
      <c r="D2212" s="1" t="s">
        <v>19</v>
      </c>
      <c r="E2212" s="1">
        <v>15</v>
      </c>
      <c r="F2212" s="1">
        <v>267.74</v>
      </c>
      <c r="G2212" s="1">
        <v>48.03</v>
      </c>
      <c r="H2212">
        <f t="shared" si="34"/>
        <v>4016.1000000000004</v>
      </c>
    </row>
    <row r="2213" spans="1:8" x14ac:dyDescent="0.25">
      <c r="A2213" s="1" t="s">
        <v>2226</v>
      </c>
      <c r="B2213" s="5">
        <v>45750.125</v>
      </c>
      <c r="C2213" s="1" t="s">
        <v>8</v>
      </c>
      <c r="D2213" s="1" t="s">
        <v>37</v>
      </c>
      <c r="E2213" s="1">
        <v>12</v>
      </c>
      <c r="F2213" s="1">
        <v>273.83</v>
      </c>
      <c r="G2213" s="1">
        <v>39.42</v>
      </c>
      <c r="H2213">
        <f t="shared" si="34"/>
        <v>3285.96</v>
      </c>
    </row>
    <row r="2214" spans="1:8" x14ac:dyDescent="0.25">
      <c r="A2214" s="1" t="s">
        <v>2227</v>
      </c>
      <c r="B2214" s="5">
        <v>45750.166666666664</v>
      </c>
      <c r="C2214" s="1" t="s">
        <v>23</v>
      </c>
      <c r="D2214" s="1" t="s">
        <v>37</v>
      </c>
      <c r="E2214" s="1">
        <v>8</v>
      </c>
      <c r="F2214" s="1">
        <v>141.88</v>
      </c>
      <c r="G2214" s="1">
        <v>23.24</v>
      </c>
      <c r="H2214">
        <f t="shared" si="34"/>
        <v>1135.04</v>
      </c>
    </row>
    <row r="2215" spans="1:8" x14ac:dyDescent="0.25">
      <c r="A2215" s="1" t="s">
        <v>2228</v>
      </c>
      <c r="B2215" s="5">
        <v>45750.208333333336</v>
      </c>
      <c r="C2215" s="1" t="s">
        <v>8</v>
      </c>
      <c r="D2215" s="1" t="s">
        <v>16</v>
      </c>
      <c r="E2215" s="1">
        <v>10</v>
      </c>
      <c r="F2215" s="1">
        <v>131.29</v>
      </c>
      <c r="G2215" s="1">
        <v>38.67</v>
      </c>
      <c r="H2215">
        <f t="shared" si="34"/>
        <v>1312.8999999999999</v>
      </c>
    </row>
    <row r="2216" spans="1:8" x14ac:dyDescent="0.25">
      <c r="A2216" s="1" t="s">
        <v>2229</v>
      </c>
      <c r="B2216" s="5">
        <v>45750.25</v>
      </c>
      <c r="C2216" s="1" t="s">
        <v>23</v>
      </c>
      <c r="D2216" s="1" t="s">
        <v>37</v>
      </c>
      <c r="E2216" s="1">
        <v>14</v>
      </c>
      <c r="F2216" s="1">
        <v>346.82</v>
      </c>
      <c r="G2216" s="1">
        <v>47.74</v>
      </c>
      <c r="H2216">
        <f t="shared" si="34"/>
        <v>4855.4799999999996</v>
      </c>
    </row>
    <row r="2217" spans="1:8" x14ac:dyDescent="0.25">
      <c r="A2217" s="1" t="s">
        <v>2230</v>
      </c>
      <c r="B2217" s="5">
        <v>45750.291666666664</v>
      </c>
      <c r="C2217" s="1" t="s">
        <v>23</v>
      </c>
      <c r="D2217" s="1" t="s">
        <v>16</v>
      </c>
      <c r="E2217" s="1">
        <v>5</v>
      </c>
      <c r="F2217" s="1">
        <v>127.09</v>
      </c>
      <c r="G2217" s="1">
        <v>27.47</v>
      </c>
      <c r="H2217">
        <f t="shared" si="34"/>
        <v>635.45000000000005</v>
      </c>
    </row>
    <row r="2218" spans="1:8" x14ac:dyDescent="0.25">
      <c r="A2218" s="1" t="s">
        <v>2231</v>
      </c>
      <c r="B2218" s="5">
        <v>45750.333333333336</v>
      </c>
      <c r="C2218" s="1" t="s">
        <v>23</v>
      </c>
      <c r="D2218" s="1" t="s">
        <v>19</v>
      </c>
      <c r="E2218" s="1">
        <v>18</v>
      </c>
      <c r="F2218" s="1">
        <v>209.4</v>
      </c>
      <c r="G2218" s="1">
        <v>23.47</v>
      </c>
      <c r="H2218">
        <f t="shared" si="34"/>
        <v>3769.2000000000003</v>
      </c>
    </row>
    <row r="2219" spans="1:8" x14ac:dyDescent="0.25">
      <c r="A2219" s="1" t="s">
        <v>2232</v>
      </c>
      <c r="B2219" s="5">
        <v>45750.375</v>
      </c>
      <c r="C2219" s="1" t="s">
        <v>13</v>
      </c>
      <c r="D2219" s="1" t="s">
        <v>37</v>
      </c>
      <c r="E2219" s="1">
        <v>19</v>
      </c>
      <c r="F2219" s="1">
        <v>317.39</v>
      </c>
      <c r="G2219" s="1">
        <v>8.51</v>
      </c>
      <c r="H2219">
        <f t="shared" si="34"/>
        <v>6030.41</v>
      </c>
    </row>
    <row r="2220" spans="1:8" x14ac:dyDescent="0.25">
      <c r="A2220" s="1" t="s">
        <v>2233</v>
      </c>
      <c r="B2220" s="5">
        <v>45750.416666666664</v>
      </c>
      <c r="C2220" s="1" t="s">
        <v>11</v>
      </c>
      <c r="D2220" s="1" t="s">
        <v>16</v>
      </c>
      <c r="E2220" s="1">
        <v>15</v>
      </c>
      <c r="F2220" s="1">
        <v>50.09</v>
      </c>
      <c r="G2220" s="1">
        <v>45.16</v>
      </c>
      <c r="H2220">
        <f t="shared" si="34"/>
        <v>751.35</v>
      </c>
    </row>
    <row r="2221" spans="1:8" x14ac:dyDescent="0.25">
      <c r="A2221" s="1" t="s">
        <v>2234</v>
      </c>
      <c r="B2221" s="5">
        <v>45750.458333333336</v>
      </c>
      <c r="C2221" s="1" t="s">
        <v>8</v>
      </c>
      <c r="D2221" s="1" t="s">
        <v>9</v>
      </c>
      <c r="E2221" s="1">
        <v>6</v>
      </c>
      <c r="F2221" s="1">
        <v>273.83</v>
      </c>
      <c r="G2221" s="1">
        <v>16.09</v>
      </c>
      <c r="H2221">
        <f t="shared" si="34"/>
        <v>1642.98</v>
      </c>
    </row>
    <row r="2222" spans="1:8" x14ac:dyDescent="0.25">
      <c r="A2222" s="1" t="s">
        <v>2235</v>
      </c>
      <c r="B2222" s="5">
        <v>45750.5</v>
      </c>
      <c r="C2222" s="1" t="s">
        <v>11</v>
      </c>
      <c r="D2222" s="1" t="s">
        <v>16</v>
      </c>
      <c r="E2222" s="1">
        <v>11</v>
      </c>
      <c r="F2222" s="1">
        <v>271.58</v>
      </c>
      <c r="G2222" s="1">
        <v>7.88</v>
      </c>
      <c r="H2222">
        <f t="shared" si="34"/>
        <v>2987.3799999999997</v>
      </c>
    </row>
    <row r="2223" spans="1:8" x14ac:dyDescent="0.25">
      <c r="A2223" s="1" t="s">
        <v>2236</v>
      </c>
      <c r="B2223" s="5">
        <v>45750.541666666664</v>
      </c>
      <c r="C2223" s="1" t="s">
        <v>8</v>
      </c>
      <c r="D2223" s="1" t="s">
        <v>37</v>
      </c>
      <c r="E2223" s="1">
        <v>11</v>
      </c>
      <c r="F2223" s="1">
        <v>312.8</v>
      </c>
      <c r="G2223" s="1">
        <v>29.17</v>
      </c>
      <c r="H2223">
        <f t="shared" si="34"/>
        <v>3440.8</v>
      </c>
    </row>
    <row r="2224" spans="1:8" x14ac:dyDescent="0.25">
      <c r="A2224" s="1" t="s">
        <v>2237</v>
      </c>
      <c r="B2224" s="5">
        <v>45750.583333333336</v>
      </c>
      <c r="C2224" s="1" t="s">
        <v>23</v>
      </c>
      <c r="D2224" s="1" t="s">
        <v>19</v>
      </c>
      <c r="E2224" s="1">
        <v>18</v>
      </c>
      <c r="F2224" s="1">
        <v>176.23</v>
      </c>
      <c r="G2224" s="1">
        <v>43.07</v>
      </c>
      <c r="H2224">
        <f t="shared" si="34"/>
        <v>3172.14</v>
      </c>
    </row>
    <row r="2225" spans="1:8" x14ac:dyDescent="0.25">
      <c r="A2225" s="1" t="s">
        <v>2238</v>
      </c>
      <c r="B2225" s="5">
        <v>45750.625</v>
      </c>
      <c r="C2225" s="1" t="s">
        <v>13</v>
      </c>
      <c r="D2225" s="1" t="s">
        <v>37</v>
      </c>
      <c r="E2225" s="1">
        <v>18</v>
      </c>
      <c r="F2225" s="1">
        <v>210.58</v>
      </c>
      <c r="G2225" s="1">
        <v>23.3</v>
      </c>
      <c r="H2225">
        <f t="shared" si="34"/>
        <v>3790.44</v>
      </c>
    </row>
    <row r="2226" spans="1:8" x14ac:dyDescent="0.25">
      <c r="A2226" s="1" t="s">
        <v>2239</v>
      </c>
      <c r="B2226" s="5">
        <v>45750.666666666664</v>
      </c>
      <c r="C2226" s="1" t="s">
        <v>11</v>
      </c>
      <c r="D2226" s="1" t="s">
        <v>37</v>
      </c>
      <c r="E2226" s="1">
        <v>10</v>
      </c>
      <c r="F2226" s="1">
        <v>158.87</v>
      </c>
      <c r="G2226" s="1">
        <v>40.24</v>
      </c>
      <c r="H2226">
        <f t="shared" si="34"/>
        <v>1588.7</v>
      </c>
    </row>
    <row r="2227" spans="1:8" x14ac:dyDescent="0.25">
      <c r="A2227" s="1" t="s">
        <v>2240</v>
      </c>
      <c r="B2227" s="5">
        <v>45750.708333333336</v>
      </c>
      <c r="C2227" s="1" t="s">
        <v>13</v>
      </c>
      <c r="D2227" s="1" t="s">
        <v>16</v>
      </c>
      <c r="E2227" s="1">
        <v>2</v>
      </c>
      <c r="F2227" s="1">
        <v>366.65</v>
      </c>
      <c r="G2227" s="1">
        <v>42.64</v>
      </c>
      <c r="H2227">
        <f t="shared" si="34"/>
        <v>733.3</v>
      </c>
    </row>
    <row r="2228" spans="1:8" x14ac:dyDescent="0.25">
      <c r="A2228" s="1" t="s">
        <v>2241</v>
      </c>
      <c r="B2228" s="5">
        <v>45750.75</v>
      </c>
      <c r="C2228" s="1" t="s">
        <v>8</v>
      </c>
      <c r="D2228" s="1" t="s">
        <v>9</v>
      </c>
      <c r="E2228" s="1">
        <v>9</v>
      </c>
      <c r="F2228" s="1">
        <v>72.25</v>
      </c>
      <c r="G2228" s="1">
        <v>25.45</v>
      </c>
      <c r="H2228">
        <f t="shared" si="34"/>
        <v>650.25</v>
      </c>
    </row>
    <row r="2229" spans="1:8" x14ac:dyDescent="0.25">
      <c r="A2229" s="1" t="s">
        <v>2242</v>
      </c>
      <c r="B2229" s="5">
        <v>45750.791666666664</v>
      </c>
      <c r="C2229" s="1" t="s">
        <v>13</v>
      </c>
      <c r="D2229" s="1" t="s">
        <v>37</v>
      </c>
      <c r="E2229" s="1">
        <v>14</v>
      </c>
      <c r="F2229" s="1">
        <v>433.9</v>
      </c>
      <c r="G2229" s="1">
        <v>31.59</v>
      </c>
      <c r="H2229">
        <f t="shared" si="34"/>
        <v>6074.5999999999995</v>
      </c>
    </row>
    <row r="2230" spans="1:8" x14ac:dyDescent="0.25">
      <c r="A2230" s="1" t="s">
        <v>2243</v>
      </c>
      <c r="B2230" s="5">
        <v>45750.833333333336</v>
      </c>
      <c r="C2230" s="1" t="s">
        <v>13</v>
      </c>
      <c r="D2230" s="1" t="s">
        <v>9</v>
      </c>
      <c r="E2230" s="1">
        <v>19</v>
      </c>
      <c r="F2230" s="1">
        <v>291.33999999999997</v>
      </c>
      <c r="G2230" s="1">
        <v>29.03</v>
      </c>
      <c r="H2230">
        <f t="shared" si="34"/>
        <v>5535.4599999999991</v>
      </c>
    </row>
    <row r="2231" spans="1:8" x14ac:dyDescent="0.25">
      <c r="A2231" s="1" t="s">
        <v>2244</v>
      </c>
      <c r="B2231" s="5">
        <v>45750.875</v>
      </c>
      <c r="C2231" s="1" t="s">
        <v>11</v>
      </c>
      <c r="D2231" s="1" t="s">
        <v>16</v>
      </c>
      <c r="E2231" s="1">
        <v>10</v>
      </c>
      <c r="F2231" s="1">
        <v>400.86</v>
      </c>
      <c r="G2231" s="1">
        <v>47.26</v>
      </c>
      <c r="H2231">
        <f t="shared" si="34"/>
        <v>4008.6000000000004</v>
      </c>
    </row>
    <row r="2232" spans="1:8" x14ac:dyDescent="0.25">
      <c r="A2232" s="1" t="s">
        <v>2245</v>
      </c>
      <c r="B2232" s="5">
        <v>45750.916666666664</v>
      </c>
      <c r="C2232" s="1" t="s">
        <v>23</v>
      </c>
      <c r="D2232" s="1" t="s">
        <v>9</v>
      </c>
      <c r="E2232" s="1">
        <v>4</v>
      </c>
      <c r="F2232" s="1">
        <v>200.7</v>
      </c>
      <c r="G2232" s="1">
        <v>37.65</v>
      </c>
      <c r="H2232">
        <f t="shared" si="34"/>
        <v>802.8</v>
      </c>
    </row>
    <row r="2233" spans="1:8" x14ac:dyDescent="0.25">
      <c r="A2233" s="1" t="s">
        <v>2246</v>
      </c>
      <c r="B2233" s="5">
        <v>45750.958333333336</v>
      </c>
      <c r="C2233" s="1" t="s">
        <v>13</v>
      </c>
      <c r="D2233" s="1" t="s">
        <v>16</v>
      </c>
      <c r="E2233" s="1">
        <v>6</v>
      </c>
      <c r="F2233" s="1">
        <v>159.88</v>
      </c>
      <c r="G2233" s="1">
        <v>46.64</v>
      </c>
      <c r="H2233">
        <f t="shared" si="34"/>
        <v>959.28</v>
      </c>
    </row>
    <row r="2234" spans="1:8" x14ac:dyDescent="0.25">
      <c r="A2234" s="1" t="s">
        <v>2247</v>
      </c>
      <c r="B2234" s="5">
        <v>45751</v>
      </c>
      <c r="C2234" s="1" t="s">
        <v>23</v>
      </c>
      <c r="D2234" s="1" t="s">
        <v>19</v>
      </c>
      <c r="E2234" s="1">
        <v>14</v>
      </c>
      <c r="F2234" s="1">
        <v>406.87</v>
      </c>
      <c r="G2234" s="1">
        <v>14.9</v>
      </c>
      <c r="H2234">
        <f t="shared" si="34"/>
        <v>5696.18</v>
      </c>
    </row>
    <row r="2235" spans="1:8" x14ac:dyDescent="0.25">
      <c r="A2235" s="1" t="s">
        <v>2248</v>
      </c>
      <c r="B2235" s="5">
        <v>45751.041666666664</v>
      </c>
      <c r="C2235" s="1" t="s">
        <v>8</v>
      </c>
      <c r="D2235" s="1" t="s">
        <v>9</v>
      </c>
      <c r="E2235" s="1">
        <v>4</v>
      </c>
      <c r="F2235" s="1">
        <v>58.46</v>
      </c>
      <c r="G2235" s="1">
        <v>18.96</v>
      </c>
      <c r="H2235">
        <f t="shared" si="34"/>
        <v>233.84</v>
      </c>
    </row>
    <row r="2236" spans="1:8" x14ac:dyDescent="0.25">
      <c r="A2236" s="1" t="s">
        <v>2249</v>
      </c>
      <c r="B2236" s="5">
        <v>45751.083333333336</v>
      </c>
      <c r="C2236" s="1" t="s">
        <v>13</v>
      </c>
      <c r="D2236" s="1" t="s">
        <v>9</v>
      </c>
      <c r="E2236" s="1">
        <v>15</v>
      </c>
      <c r="F2236" s="1">
        <v>66.38</v>
      </c>
      <c r="G2236" s="1">
        <v>8.19</v>
      </c>
      <c r="H2236">
        <f t="shared" si="34"/>
        <v>995.69999999999993</v>
      </c>
    </row>
    <row r="2237" spans="1:8" x14ac:dyDescent="0.25">
      <c r="A2237" s="1" t="s">
        <v>2250</v>
      </c>
      <c r="B2237" s="5">
        <v>45751.125</v>
      </c>
      <c r="C2237" s="1" t="s">
        <v>11</v>
      </c>
      <c r="D2237" s="1" t="s">
        <v>19</v>
      </c>
      <c r="E2237" s="1">
        <v>16</v>
      </c>
      <c r="F2237" s="1">
        <v>145.57</v>
      </c>
      <c r="G2237" s="1">
        <v>27.5</v>
      </c>
      <c r="H2237">
        <f t="shared" si="34"/>
        <v>2329.12</v>
      </c>
    </row>
    <row r="2238" spans="1:8" x14ac:dyDescent="0.25">
      <c r="A2238" s="1" t="s">
        <v>2251</v>
      </c>
      <c r="B2238" s="5">
        <v>45751.166666666664</v>
      </c>
      <c r="C2238" s="1" t="s">
        <v>8</v>
      </c>
      <c r="D2238" s="1" t="s">
        <v>9</v>
      </c>
      <c r="E2238" s="1">
        <v>7</v>
      </c>
      <c r="F2238" s="1">
        <v>432.52</v>
      </c>
      <c r="G2238" s="1">
        <v>44.33</v>
      </c>
      <c r="H2238">
        <f t="shared" si="34"/>
        <v>3027.64</v>
      </c>
    </row>
    <row r="2239" spans="1:8" x14ac:dyDescent="0.25">
      <c r="A2239" s="1" t="s">
        <v>2252</v>
      </c>
      <c r="B2239" s="5">
        <v>45751.208333333336</v>
      </c>
      <c r="C2239" s="1" t="s">
        <v>8</v>
      </c>
      <c r="D2239" s="1" t="s">
        <v>19</v>
      </c>
      <c r="E2239" s="1">
        <v>17</v>
      </c>
      <c r="F2239" s="1">
        <v>290.57</v>
      </c>
      <c r="G2239" s="1">
        <v>19.71</v>
      </c>
      <c r="H2239">
        <f t="shared" si="34"/>
        <v>4939.6899999999996</v>
      </c>
    </row>
    <row r="2240" spans="1:8" x14ac:dyDescent="0.25">
      <c r="A2240" s="1" t="s">
        <v>2253</v>
      </c>
      <c r="B2240" s="5">
        <v>45751.25</v>
      </c>
      <c r="C2240" s="1" t="s">
        <v>11</v>
      </c>
      <c r="D2240" s="1" t="s">
        <v>37</v>
      </c>
      <c r="E2240" s="1">
        <v>19</v>
      </c>
      <c r="F2240" s="1">
        <v>256.3</v>
      </c>
      <c r="G2240" s="1">
        <v>10.77</v>
      </c>
      <c r="H2240">
        <f t="shared" si="34"/>
        <v>4869.7</v>
      </c>
    </row>
    <row r="2241" spans="1:8" x14ac:dyDescent="0.25">
      <c r="A2241" s="1" t="s">
        <v>2254</v>
      </c>
      <c r="B2241" s="5">
        <v>45751.291666666664</v>
      </c>
      <c r="C2241" s="1" t="s">
        <v>13</v>
      </c>
      <c r="D2241" s="1" t="s">
        <v>16</v>
      </c>
      <c r="E2241" s="1">
        <v>19</v>
      </c>
      <c r="F2241" s="1">
        <v>321.98</v>
      </c>
      <c r="G2241" s="1">
        <v>8.08</v>
      </c>
      <c r="H2241">
        <f t="shared" si="34"/>
        <v>6117.6200000000008</v>
      </c>
    </row>
    <row r="2242" spans="1:8" x14ac:dyDescent="0.25">
      <c r="A2242" s="1" t="s">
        <v>2255</v>
      </c>
      <c r="B2242" s="5">
        <v>45751.333333333336</v>
      </c>
      <c r="C2242" s="1" t="s">
        <v>13</v>
      </c>
      <c r="D2242" s="1" t="s">
        <v>19</v>
      </c>
      <c r="E2242" s="1">
        <v>17</v>
      </c>
      <c r="F2242" s="1">
        <v>196.89</v>
      </c>
      <c r="G2242" s="1">
        <v>25.14</v>
      </c>
      <c r="H2242">
        <f t="shared" ref="H2242:H2305" si="35">E2242*F2242</f>
        <v>3347.1299999999997</v>
      </c>
    </row>
    <row r="2243" spans="1:8" x14ac:dyDescent="0.25">
      <c r="A2243" s="1" t="s">
        <v>2256</v>
      </c>
      <c r="B2243" s="5">
        <v>45751.375</v>
      </c>
      <c r="C2243" s="1" t="s">
        <v>8</v>
      </c>
      <c r="D2243" s="1" t="s">
        <v>9</v>
      </c>
      <c r="E2243" s="1">
        <v>6</v>
      </c>
      <c r="F2243" s="1">
        <v>344.88</v>
      </c>
      <c r="G2243" s="1">
        <v>12.38</v>
      </c>
      <c r="H2243">
        <f t="shared" si="35"/>
        <v>2069.2799999999997</v>
      </c>
    </row>
    <row r="2244" spans="1:8" x14ac:dyDescent="0.25">
      <c r="A2244" s="1" t="s">
        <v>2257</v>
      </c>
      <c r="B2244" s="5">
        <v>45751.416666666664</v>
      </c>
      <c r="C2244" s="1" t="s">
        <v>13</v>
      </c>
      <c r="D2244" s="1" t="s">
        <v>19</v>
      </c>
      <c r="E2244" s="1">
        <v>11</v>
      </c>
      <c r="F2244" s="1">
        <v>186.36</v>
      </c>
      <c r="G2244" s="1">
        <v>20.57</v>
      </c>
      <c r="H2244">
        <f t="shared" si="35"/>
        <v>2049.96</v>
      </c>
    </row>
    <row r="2245" spans="1:8" x14ac:dyDescent="0.25">
      <c r="A2245" s="1" t="s">
        <v>2258</v>
      </c>
      <c r="B2245" s="5">
        <v>45751.458333333336</v>
      </c>
      <c r="C2245" s="1" t="s">
        <v>23</v>
      </c>
      <c r="D2245" s="1" t="s">
        <v>9</v>
      </c>
      <c r="E2245" s="1">
        <v>16</v>
      </c>
      <c r="F2245" s="1">
        <v>374.55</v>
      </c>
      <c r="G2245" s="1">
        <v>41.9</v>
      </c>
      <c r="H2245">
        <f t="shared" si="35"/>
        <v>5992.8</v>
      </c>
    </row>
    <row r="2246" spans="1:8" x14ac:dyDescent="0.25">
      <c r="A2246" s="1" t="s">
        <v>2259</v>
      </c>
      <c r="B2246" s="5">
        <v>45751.5</v>
      </c>
      <c r="C2246" s="1" t="s">
        <v>11</v>
      </c>
      <c r="D2246" s="1" t="s">
        <v>37</v>
      </c>
      <c r="E2246" s="1">
        <v>8</v>
      </c>
      <c r="F2246" s="1">
        <v>131.63999999999999</v>
      </c>
      <c r="G2246" s="1">
        <v>22.28</v>
      </c>
      <c r="H2246">
        <f t="shared" si="35"/>
        <v>1053.1199999999999</v>
      </c>
    </row>
    <row r="2247" spans="1:8" x14ac:dyDescent="0.25">
      <c r="A2247" s="1" t="s">
        <v>2260</v>
      </c>
      <c r="B2247" s="5">
        <v>45751.541666666664</v>
      </c>
      <c r="C2247" s="1" t="s">
        <v>23</v>
      </c>
      <c r="D2247" s="1" t="s">
        <v>19</v>
      </c>
      <c r="E2247" s="1">
        <v>11</v>
      </c>
      <c r="F2247" s="1">
        <v>136.09</v>
      </c>
      <c r="G2247" s="1">
        <v>32.44</v>
      </c>
      <c r="H2247">
        <f t="shared" si="35"/>
        <v>1496.99</v>
      </c>
    </row>
    <row r="2248" spans="1:8" x14ac:dyDescent="0.25">
      <c r="A2248" s="1" t="s">
        <v>2261</v>
      </c>
      <c r="B2248" s="5">
        <v>45751.583333333336</v>
      </c>
      <c r="C2248" s="1" t="s">
        <v>13</v>
      </c>
      <c r="D2248" s="1" t="s">
        <v>37</v>
      </c>
      <c r="E2248" s="1">
        <v>7</v>
      </c>
      <c r="F2248" s="1">
        <v>242.48</v>
      </c>
      <c r="G2248" s="1">
        <v>27.6</v>
      </c>
      <c r="H2248">
        <f t="shared" si="35"/>
        <v>1697.36</v>
      </c>
    </row>
    <row r="2249" spans="1:8" x14ac:dyDescent="0.25">
      <c r="A2249" s="1" t="s">
        <v>2262</v>
      </c>
      <c r="B2249" s="5">
        <v>45751.625</v>
      </c>
      <c r="C2249" s="1" t="s">
        <v>8</v>
      </c>
      <c r="D2249" s="1" t="s">
        <v>16</v>
      </c>
      <c r="E2249" s="1">
        <v>19</v>
      </c>
      <c r="F2249" s="1">
        <v>202.67</v>
      </c>
      <c r="G2249" s="1">
        <v>37.33</v>
      </c>
      <c r="H2249">
        <f t="shared" si="35"/>
        <v>3850.7299999999996</v>
      </c>
    </row>
    <row r="2250" spans="1:8" x14ac:dyDescent="0.25">
      <c r="A2250" s="1" t="s">
        <v>2263</v>
      </c>
      <c r="B2250" s="5">
        <v>45751.666666666664</v>
      </c>
      <c r="C2250" s="1" t="s">
        <v>11</v>
      </c>
      <c r="D2250" s="1" t="s">
        <v>9</v>
      </c>
      <c r="E2250" s="1">
        <v>10</v>
      </c>
      <c r="F2250" s="1">
        <v>297.11</v>
      </c>
      <c r="G2250" s="1">
        <v>12.03</v>
      </c>
      <c r="H2250">
        <f t="shared" si="35"/>
        <v>2971.1000000000004</v>
      </c>
    </row>
    <row r="2251" spans="1:8" x14ac:dyDescent="0.25">
      <c r="A2251" s="1" t="s">
        <v>2264</v>
      </c>
      <c r="B2251" s="5">
        <v>45751.708333333336</v>
      </c>
      <c r="C2251" s="1" t="s">
        <v>13</v>
      </c>
      <c r="D2251" s="1" t="s">
        <v>9</v>
      </c>
      <c r="E2251" s="1">
        <v>9</v>
      </c>
      <c r="F2251" s="1">
        <v>173.78</v>
      </c>
      <c r="G2251" s="1">
        <v>46.42</v>
      </c>
      <c r="H2251">
        <f t="shared" si="35"/>
        <v>1564.02</v>
      </c>
    </row>
    <row r="2252" spans="1:8" x14ac:dyDescent="0.25">
      <c r="A2252" s="1" t="s">
        <v>2265</v>
      </c>
      <c r="B2252" s="5">
        <v>45751.75</v>
      </c>
      <c r="C2252" s="1" t="s">
        <v>13</v>
      </c>
      <c r="D2252" s="1" t="s">
        <v>37</v>
      </c>
      <c r="E2252" s="1">
        <v>4</v>
      </c>
      <c r="F2252" s="1">
        <v>115.67</v>
      </c>
      <c r="G2252" s="1">
        <v>33.96</v>
      </c>
      <c r="H2252">
        <f t="shared" si="35"/>
        <v>462.68</v>
      </c>
    </row>
    <row r="2253" spans="1:8" x14ac:dyDescent="0.25">
      <c r="A2253" s="1" t="s">
        <v>2266</v>
      </c>
      <c r="B2253" s="5">
        <v>45751.791666666664</v>
      </c>
      <c r="C2253" s="1" t="s">
        <v>8</v>
      </c>
      <c r="D2253" s="1" t="s">
        <v>16</v>
      </c>
      <c r="E2253" s="1">
        <v>15</v>
      </c>
      <c r="F2253" s="1">
        <v>219.63</v>
      </c>
      <c r="G2253" s="1">
        <v>17.190000000000001</v>
      </c>
      <c r="H2253">
        <f t="shared" si="35"/>
        <v>3294.45</v>
      </c>
    </row>
    <row r="2254" spans="1:8" x14ac:dyDescent="0.25">
      <c r="A2254" s="1" t="s">
        <v>2267</v>
      </c>
      <c r="B2254" s="5">
        <v>45751.833333333336</v>
      </c>
      <c r="C2254" s="1" t="s">
        <v>8</v>
      </c>
      <c r="D2254" s="1" t="s">
        <v>19</v>
      </c>
      <c r="E2254" s="1">
        <v>13</v>
      </c>
      <c r="F2254" s="1">
        <v>259.24</v>
      </c>
      <c r="G2254" s="1">
        <v>10.55</v>
      </c>
      <c r="H2254">
        <f t="shared" si="35"/>
        <v>3370.12</v>
      </c>
    </row>
    <row r="2255" spans="1:8" x14ac:dyDescent="0.25">
      <c r="A2255" s="1" t="s">
        <v>2268</v>
      </c>
      <c r="B2255" s="5">
        <v>45751.875</v>
      </c>
      <c r="C2255" s="1" t="s">
        <v>23</v>
      </c>
      <c r="D2255" s="1" t="s">
        <v>19</v>
      </c>
      <c r="E2255" s="1">
        <v>2</v>
      </c>
      <c r="F2255" s="1">
        <v>77.459999999999994</v>
      </c>
      <c r="G2255" s="1">
        <v>11.74</v>
      </c>
      <c r="H2255">
        <f t="shared" si="35"/>
        <v>154.91999999999999</v>
      </c>
    </row>
    <row r="2256" spans="1:8" x14ac:dyDescent="0.25">
      <c r="A2256" s="1" t="s">
        <v>2269</v>
      </c>
      <c r="B2256" s="5">
        <v>45751.916666666664</v>
      </c>
      <c r="C2256" s="1" t="s">
        <v>11</v>
      </c>
      <c r="D2256" s="1" t="s">
        <v>9</v>
      </c>
      <c r="E2256" s="1">
        <v>2</v>
      </c>
      <c r="F2256" s="1">
        <v>257.39</v>
      </c>
      <c r="G2256" s="1">
        <v>40.22</v>
      </c>
      <c r="H2256">
        <f t="shared" si="35"/>
        <v>514.78</v>
      </c>
    </row>
    <row r="2257" spans="1:8" x14ac:dyDescent="0.25">
      <c r="A2257" s="1" t="s">
        <v>2270</v>
      </c>
      <c r="B2257" s="5">
        <v>45751.958333333336</v>
      </c>
      <c r="C2257" s="1" t="s">
        <v>11</v>
      </c>
      <c r="D2257" s="1" t="s">
        <v>37</v>
      </c>
      <c r="E2257" s="1">
        <v>16</v>
      </c>
      <c r="F2257" s="1">
        <v>154.22</v>
      </c>
      <c r="G2257" s="1">
        <v>31.46</v>
      </c>
      <c r="H2257">
        <f t="shared" si="35"/>
        <v>2467.52</v>
      </c>
    </row>
    <row r="2258" spans="1:8" x14ac:dyDescent="0.25">
      <c r="A2258" s="1" t="s">
        <v>2271</v>
      </c>
      <c r="B2258" s="5">
        <v>45752</v>
      </c>
      <c r="C2258" s="1" t="s">
        <v>8</v>
      </c>
      <c r="D2258" s="1" t="s">
        <v>37</v>
      </c>
      <c r="E2258" s="1">
        <v>9</v>
      </c>
      <c r="F2258" s="1">
        <v>186.02</v>
      </c>
      <c r="G2258" s="1">
        <v>22.13</v>
      </c>
      <c r="H2258">
        <f t="shared" si="35"/>
        <v>1674.18</v>
      </c>
    </row>
    <row r="2259" spans="1:8" x14ac:dyDescent="0.25">
      <c r="A2259" s="1" t="s">
        <v>2272</v>
      </c>
      <c r="B2259" s="5">
        <v>45752.041666666664</v>
      </c>
      <c r="C2259" s="1" t="s">
        <v>23</v>
      </c>
      <c r="D2259" s="1" t="s">
        <v>19</v>
      </c>
      <c r="E2259" s="1">
        <v>13</v>
      </c>
      <c r="F2259" s="1">
        <v>136.86000000000001</v>
      </c>
      <c r="G2259" s="1">
        <v>19.98</v>
      </c>
      <c r="H2259">
        <f t="shared" si="35"/>
        <v>1779.1800000000003</v>
      </c>
    </row>
    <row r="2260" spans="1:8" x14ac:dyDescent="0.25">
      <c r="A2260" s="1" t="s">
        <v>2273</v>
      </c>
      <c r="B2260" s="5">
        <v>45752.083333333336</v>
      </c>
      <c r="C2260" s="1" t="s">
        <v>11</v>
      </c>
      <c r="D2260" s="1" t="s">
        <v>16</v>
      </c>
      <c r="E2260" s="1">
        <v>3</v>
      </c>
      <c r="F2260" s="1">
        <v>420.2</v>
      </c>
      <c r="G2260" s="1">
        <v>43.51</v>
      </c>
      <c r="H2260">
        <f t="shared" si="35"/>
        <v>1260.5999999999999</v>
      </c>
    </row>
    <row r="2261" spans="1:8" x14ac:dyDescent="0.25">
      <c r="A2261" s="1" t="s">
        <v>2274</v>
      </c>
      <c r="B2261" s="5">
        <v>45752.125</v>
      </c>
      <c r="C2261" s="1" t="s">
        <v>8</v>
      </c>
      <c r="D2261" s="1" t="s">
        <v>16</v>
      </c>
      <c r="E2261" s="1">
        <v>9</v>
      </c>
      <c r="F2261" s="1">
        <v>312.41000000000003</v>
      </c>
      <c r="G2261" s="1">
        <v>44.36</v>
      </c>
      <c r="H2261">
        <f t="shared" si="35"/>
        <v>2811.69</v>
      </c>
    </row>
    <row r="2262" spans="1:8" x14ac:dyDescent="0.25">
      <c r="A2262" s="1" t="s">
        <v>2275</v>
      </c>
      <c r="B2262" s="5">
        <v>45752.166666666664</v>
      </c>
      <c r="C2262" s="1" t="s">
        <v>13</v>
      </c>
      <c r="D2262" s="1" t="s">
        <v>19</v>
      </c>
      <c r="E2262" s="1">
        <v>13</v>
      </c>
      <c r="F2262" s="1">
        <v>129.54</v>
      </c>
      <c r="G2262" s="1">
        <v>31.16</v>
      </c>
      <c r="H2262">
        <f t="shared" si="35"/>
        <v>1684.02</v>
      </c>
    </row>
    <row r="2263" spans="1:8" x14ac:dyDescent="0.25">
      <c r="A2263" s="1" t="s">
        <v>2276</v>
      </c>
      <c r="B2263" s="5">
        <v>45752.208333333336</v>
      </c>
      <c r="C2263" s="1" t="s">
        <v>11</v>
      </c>
      <c r="D2263" s="1" t="s">
        <v>19</v>
      </c>
      <c r="E2263" s="1">
        <v>2</v>
      </c>
      <c r="F2263" s="1">
        <v>295.77</v>
      </c>
      <c r="G2263" s="1">
        <v>28.6</v>
      </c>
      <c r="H2263">
        <f t="shared" si="35"/>
        <v>591.54</v>
      </c>
    </row>
    <row r="2264" spans="1:8" x14ac:dyDescent="0.25">
      <c r="A2264" s="1" t="s">
        <v>2277</v>
      </c>
      <c r="B2264" s="5">
        <v>45752.25</v>
      </c>
      <c r="C2264" s="1" t="s">
        <v>23</v>
      </c>
      <c r="D2264" s="1" t="s">
        <v>37</v>
      </c>
      <c r="E2264" s="1">
        <v>8</v>
      </c>
      <c r="F2264" s="1">
        <v>384.2</v>
      </c>
      <c r="G2264" s="1">
        <v>41.74</v>
      </c>
      <c r="H2264">
        <f t="shared" si="35"/>
        <v>3073.6</v>
      </c>
    </row>
    <row r="2265" spans="1:8" x14ac:dyDescent="0.25">
      <c r="A2265" s="1" t="s">
        <v>2278</v>
      </c>
      <c r="B2265" s="5">
        <v>45752.291666666664</v>
      </c>
      <c r="C2265" s="1" t="s">
        <v>23</v>
      </c>
      <c r="D2265" s="1" t="s">
        <v>16</v>
      </c>
      <c r="E2265" s="1">
        <v>9</v>
      </c>
      <c r="F2265" s="1">
        <v>190.01</v>
      </c>
      <c r="G2265" s="1">
        <v>38.72</v>
      </c>
      <c r="H2265">
        <f t="shared" si="35"/>
        <v>1710.09</v>
      </c>
    </row>
    <row r="2266" spans="1:8" x14ac:dyDescent="0.25">
      <c r="A2266" s="1" t="s">
        <v>2279</v>
      </c>
      <c r="B2266" s="5">
        <v>45752.333333333336</v>
      </c>
      <c r="C2266" s="1" t="s">
        <v>23</v>
      </c>
      <c r="D2266" s="1" t="s">
        <v>19</v>
      </c>
      <c r="E2266" s="1">
        <v>16</v>
      </c>
      <c r="F2266" s="1">
        <v>376.12</v>
      </c>
      <c r="G2266" s="1">
        <v>23.01</v>
      </c>
      <c r="H2266">
        <f t="shared" si="35"/>
        <v>6017.92</v>
      </c>
    </row>
    <row r="2267" spans="1:8" x14ac:dyDescent="0.25">
      <c r="A2267" s="1" t="s">
        <v>2280</v>
      </c>
      <c r="B2267" s="5">
        <v>45752.375</v>
      </c>
      <c r="C2267" s="1" t="s">
        <v>13</v>
      </c>
      <c r="D2267" s="1" t="s">
        <v>19</v>
      </c>
      <c r="E2267" s="1">
        <v>2</v>
      </c>
      <c r="F2267" s="1">
        <v>82.59</v>
      </c>
      <c r="G2267" s="1">
        <v>8.7200000000000006</v>
      </c>
      <c r="H2267">
        <f t="shared" si="35"/>
        <v>165.18</v>
      </c>
    </row>
    <row r="2268" spans="1:8" x14ac:dyDescent="0.25">
      <c r="A2268" s="1" t="s">
        <v>2281</v>
      </c>
      <c r="B2268" s="5">
        <v>45752.416666666664</v>
      </c>
      <c r="C2268" s="1" t="s">
        <v>11</v>
      </c>
      <c r="D2268" s="1" t="s">
        <v>9</v>
      </c>
      <c r="E2268" s="1">
        <v>6</v>
      </c>
      <c r="F2268" s="1">
        <v>373</v>
      </c>
      <c r="G2268" s="1">
        <v>39.58</v>
      </c>
      <c r="H2268">
        <f t="shared" si="35"/>
        <v>2238</v>
      </c>
    </row>
    <row r="2269" spans="1:8" x14ac:dyDescent="0.25">
      <c r="A2269" s="1" t="s">
        <v>2282</v>
      </c>
      <c r="B2269" s="5">
        <v>45752.458333333336</v>
      </c>
      <c r="C2269" s="1" t="s">
        <v>11</v>
      </c>
      <c r="D2269" s="1" t="s">
        <v>19</v>
      </c>
      <c r="E2269" s="1">
        <v>8</v>
      </c>
      <c r="F2269" s="1">
        <v>250.26</v>
      </c>
      <c r="G2269" s="1">
        <v>12.59</v>
      </c>
      <c r="H2269">
        <f t="shared" si="35"/>
        <v>2002.08</v>
      </c>
    </row>
    <row r="2270" spans="1:8" x14ac:dyDescent="0.25">
      <c r="A2270" s="1" t="s">
        <v>2283</v>
      </c>
      <c r="B2270" s="5">
        <v>45752.5</v>
      </c>
      <c r="C2270" s="1" t="s">
        <v>13</v>
      </c>
      <c r="D2270" s="1" t="s">
        <v>19</v>
      </c>
      <c r="E2270" s="1">
        <v>5</v>
      </c>
      <c r="F2270" s="1">
        <v>112.38</v>
      </c>
      <c r="G2270" s="1">
        <v>5.74</v>
      </c>
      <c r="H2270">
        <f t="shared" si="35"/>
        <v>561.9</v>
      </c>
    </row>
    <row r="2271" spans="1:8" x14ac:dyDescent="0.25">
      <c r="A2271" s="1" t="s">
        <v>2284</v>
      </c>
      <c r="B2271" s="5">
        <v>45752.541666666664</v>
      </c>
      <c r="C2271" s="1" t="s">
        <v>11</v>
      </c>
      <c r="D2271" s="1" t="s">
        <v>16</v>
      </c>
      <c r="E2271" s="1">
        <v>9</v>
      </c>
      <c r="F2271" s="1">
        <v>192.4</v>
      </c>
      <c r="G2271" s="1">
        <v>42.95</v>
      </c>
      <c r="H2271">
        <f t="shared" si="35"/>
        <v>1731.6000000000001</v>
      </c>
    </row>
    <row r="2272" spans="1:8" x14ac:dyDescent="0.25">
      <c r="A2272" s="1" t="s">
        <v>2285</v>
      </c>
      <c r="B2272" s="5">
        <v>45752.583333333336</v>
      </c>
      <c r="C2272" s="1" t="s">
        <v>13</v>
      </c>
      <c r="D2272" s="1" t="s">
        <v>37</v>
      </c>
      <c r="E2272" s="1">
        <v>1</v>
      </c>
      <c r="F2272" s="1">
        <v>444.78</v>
      </c>
      <c r="G2272" s="1">
        <v>31.02</v>
      </c>
      <c r="H2272">
        <f t="shared" si="35"/>
        <v>444.78</v>
      </c>
    </row>
    <row r="2273" spans="1:8" x14ac:dyDescent="0.25">
      <c r="A2273" s="1" t="s">
        <v>2286</v>
      </c>
      <c r="B2273" s="5">
        <v>45752.625</v>
      </c>
      <c r="C2273" s="1" t="s">
        <v>13</v>
      </c>
      <c r="D2273" s="1" t="s">
        <v>16</v>
      </c>
      <c r="E2273" s="1">
        <v>9</v>
      </c>
      <c r="F2273" s="1">
        <v>355.96</v>
      </c>
      <c r="G2273" s="1">
        <v>45.12</v>
      </c>
      <c r="H2273">
        <f t="shared" si="35"/>
        <v>3203.64</v>
      </c>
    </row>
    <row r="2274" spans="1:8" x14ac:dyDescent="0.25">
      <c r="A2274" s="1" t="s">
        <v>2287</v>
      </c>
      <c r="B2274" s="5">
        <v>45752.666666666664</v>
      </c>
      <c r="C2274" s="1" t="s">
        <v>13</v>
      </c>
      <c r="D2274" s="1" t="s">
        <v>37</v>
      </c>
      <c r="E2274" s="1">
        <v>10</v>
      </c>
      <c r="F2274" s="1">
        <v>265.38</v>
      </c>
      <c r="G2274" s="1">
        <v>26.81</v>
      </c>
      <c r="H2274">
        <f t="shared" si="35"/>
        <v>2653.8</v>
      </c>
    </row>
    <row r="2275" spans="1:8" x14ac:dyDescent="0.25">
      <c r="A2275" s="1" t="s">
        <v>2288</v>
      </c>
      <c r="B2275" s="5">
        <v>45752.708333333336</v>
      </c>
      <c r="C2275" s="1" t="s">
        <v>23</v>
      </c>
      <c r="D2275" s="1" t="s">
        <v>9</v>
      </c>
      <c r="E2275" s="1">
        <v>4</v>
      </c>
      <c r="F2275" s="1">
        <v>65.540000000000006</v>
      </c>
      <c r="G2275" s="1">
        <v>46.69</v>
      </c>
      <c r="H2275">
        <f t="shared" si="35"/>
        <v>262.16000000000003</v>
      </c>
    </row>
    <row r="2276" spans="1:8" x14ac:dyDescent="0.25">
      <c r="A2276" s="1" t="s">
        <v>2289</v>
      </c>
      <c r="B2276" s="5">
        <v>45752.75</v>
      </c>
      <c r="C2276" s="1" t="s">
        <v>11</v>
      </c>
      <c r="D2276" s="1" t="s">
        <v>19</v>
      </c>
      <c r="E2276" s="1">
        <v>3</v>
      </c>
      <c r="F2276" s="1">
        <v>197.04</v>
      </c>
      <c r="G2276" s="1">
        <v>20.93</v>
      </c>
      <c r="H2276">
        <f t="shared" si="35"/>
        <v>591.12</v>
      </c>
    </row>
    <row r="2277" spans="1:8" x14ac:dyDescent="0.25">
      <c r="A2277" s="1" t="s">
        <v>2290</v>
      </c>
      <c r="B2277" s="5">
        <v>45752.791666666664</v>
      </c>
      <c r="C2277" s="1" t="s">
        <v>13</v>
      </c>
      <c r="D2277" s="1" t="s">
        <v>9</v>
      </c>
      <c r="E2277" s="1">
        <v>10</v>
      </c>
      <c r="F2277" s="1">
        <v>129.80000000000001</v>
      </c>
      <c r="G2277" s="1">
        <v>37.6</v>
      </c>
      <c r="H2277">
        <f t="shared" si="35"/>
        <v>1298</v>
      </c>
    </row>
    <row r="2278" spans="1:8" x14ac:dyDescent="0.25">
      <c r="A2278" s="1" t="s">
        <v>2291</v>
      </c>
      <c r="B2278" s="5">
        <v>45752.833333333336</v>
      </c>
      <c r="C2278" s="1" t="s">
        <v>11</v>
      </c>
      <c r="D2278" s="1" t="s">
        <v>37</v>
      </c>
      <c r="E2278" s="1">
        <v>15</v>
      </c>
      <c r="F2278" s="1">
        <v>46.35</v>
      </c>
      <c r="G2278" s="1">
        <v>18.54</v>
      </c>
      <c r="H2278">
        <f t="shared" si="35"/>
        <v>695.25</v>
      </c>
    </row>
    <row r="2279" spans="1:8" x14ac:dyDescent="0.25">
      <c r="A2279" s="1" t="s">
        <v>2292</v>
      </c>
      <c r="B2279" s="5">
        <v>45752.875</v>
      </c>
      <c r="C2279" s="1" t="s">
        <v>23</v>
      </c>
      <c r="D2279" s="1" t="s">
        <v>16</v>
      </c>
      <c r="E2279" s="1">
        <v>11</v>
      </c>
      <c r="F2279" s="1">
        <v>251.09</v>
      </c>
      <c r="G2279" s="1">
        <v>5.05</v>
      </c>
      <c r="H2279">
        <f t="shared" si="35"/>
        <v>2761.9900000000002</v>
      </c>
    </row>
    <row r="2280" spans="1:8" x14ac:dyDescent="0.25">
      <c r="A2280" s="1" t="s">
        <v>2293</v>
      </c>
      <c r="B2280" s="5">
        <v>45752.916666666664</v>
      </c>
      <c r="C2280" s="1" t="s">
        <v>13</v>
      </c>
      <c r="D2280" s="1" t="s">
        <v>16</v>
      </c>
      <c r="E2280" s="1">
        <v>14</v>
      </c>
      <c r="F2280" s="1">
        <v>401.85</v>
      </c>
      <c r="G2280" s="1">
        <v>22.09</v>
      </c>
      <c r="H2280">
        <f t="shared" si="35"/>
        <v>5625.9000000000005</v>
      </c>
    </row>
    <row r="2281" spans="1:8" x14ac:dyDescent="0.25">
      <c r="A2281" s="1" t="s">
        <v>2294</v>
      </c>
      <c r="B2281" s="5">
        <v>45752.958333333336</v>
      </c>
      <c r="C2281" s="1" t="s">
        <v>8</v>
      </c>
      <c r="D2281" s="1" t="s">
        <v>9</v>
      </c>
      <c r="E2281" s="1">
        <v>6</v>
      </c>
      <c r="F2281" s="1">
        <v>309.05</v>
      </c>
      <c r="G2281" s="1">
        <v>38.200000000000003</v>
      </c>
      <c r="H2281">
        <f t="shared" si="35"/>
        <v>1854.3000000000002</v>
      </c>
    </row>
    <row r="2282" spans="1:8" x14ac:dyDescent="0.25">
      <c r="A2282" s="1" t="s">
        <v>2295</v>
      </c>
      <c r="B2282" s="5">
        <v>45753</v>
      </c>
      <c r="C2282" s="1" t="s">
        <v>23</v>
      </c>
      <c r="D2282" s="1" t="s">
        <v>37</v>
      </c>
      <c r="E2282" s="1">
        <v>12</v>
      </c>
      <c r="F2282" s="1">
        <v>123.99</v>
      </c>
      <c r="G2282" s="1">
        <v>11.75</v>
      </c>
      <c r="H2282">
        <f t="shared" si="35"/>
        <v>1487.8799999999999</v>
      </c>
    </row>
    <row r="2283" spans="1:8" x14ac:dyDescent="0.25">
      <c r="A2283" s="1" t="s">
        <v>2296</v>
      </c>
      <c r="B2283" s="5">
        <v>45753.041666666664</v>
      </c>
      <c r="C2283" s="1" t="s">
        <v>8</v>
      </c>
      <c r="D2283" s="1" t="s">
        <v>9</v>
      </c>
      <c r="E2283" s="1">
        <v>13</v>
      </c>
      <c r="F2283" s="1">
        <v>264.72000000000003</v>
      </c>
      <c r="G2283" s="1">
        <v>27.72</v>
      </c>
      <c r="H2283">
        <f t="shared" si="35"/>
        <v>3441.3600000000006</v>
      </c>
    </row>
    <row r="2284" spans="1:8" x14ac:dyDescent="0.25">
      <c r="A2284" s="1" t="s">
        <v>2297</v>
      </c>
      <c r="B2284" s="5">
        <v>45753.083333333336</v>
      </c>
      <c r="C2284" s="1" t="s">
        <v>11</v>
      </c>
      <c r="D2284" s="1" t="s">
        <v>9</v>
      </c>
      <c r="E2284" s="1">
        <v>17</v>
      </c>
      <c r="F2284" s="1">
        <v>425.34</v>
      </c>
      <c r="G2284" s="1">
        <v>14.55</v>
      </c>
      <c r="H2284">
        <f t="shared" si="35"/>
        <v>7230.78</v>
      </c>
    </row>
    <row r="2285" spans="1:8" x14ac:dyDescent="0.25">
      <c r="A2285" s="1" t="s">
        <v>2298</v>
      </c>
      <c r="B2285" s="5">
        <v>45753.125</v>
      </c>
      <c r="C2285" s="1" t="s">
        <v>11</v>
      </c>
      <c r="D2285" s="1" t="s">
        <v>19</v>
      </c>
      <c r="E2285" s="1">
        <v>16</v>
      </c>
      <c r="F2285" s="1">
        <v>329.61</v>
      </c>
      <c r="G2285" s="1">
        <v>8.36</v>
      </c>
      <c r="H2285">
        <f t="shared" si="35"/>
        <v>5273.76</v>
      </c>
    </row>
    <row r="2286" spans="1:8" x14ac:dyDescent="0.25">
      <c r="A2286" s="1" t="s">
        <v>2299</v>
      </c>
      <c r="B2286" s="5">
        <v>45753.166666666664</v>
      </c>
      <c r="C2286" s="1" t="s">
        <v>23</v>
      </c>
      <c r="D2286" s="1" t="s">
        <v>9</v>
      </c>
      <c r="E2286" s="1">
        <v>3</v>
      </c>
      <c r="F2286" s="1">
        <v>315.08</v>
      </c>
      <c r="G2286" s="1">
        <v>32.79</v>
      </c>
      <c r="H2286">
        <f t="shared" si="35"/>
        <v>945.24</v>
      </c>
    </row>
    <row r="2287" spans="1:8" x14ac:dyDescent="0.25">
      <c r="A2287" s="1" t="s">
        <v>2300</v>
      </c>
      <c r="B2287" s="5">
        <v>45753.208333333336</v>
      </c>
      <c r="C2287" s="1" t="s">
        <v>11</v>
      </c>
      <c r="D2287" s="1" t="s">
        <v>19</v>
      </c>
      <c r="E2287" s="1">
        <v>2</v>
      </c>
      <c r="F2287" s="1">
        <v>436.16</v>
      </c>
      <c r="G2287" s="1">
        <v>47.84</v>
      </c>
      <c r="H2287">
        <f t="shared" si="35"/>
        <v>872.32</v>
      </c>
    </row>
    <row r="2288" spans="1:8" x14ac:dyDescent="0.25">
      <c r="A2288" s="1" t="s">
        <v>2301</v>
      </c>
      <c r="B2288" s="5">
        <v>45753.25</v>
      </c>
      <c r="C2288" s="1" t="s">
        <v>8</v>
      </c>
      <c r="D2288" s="1" t="s">
        <v>19</v>
      </c>
      <c r="E2288" s="1">
        <v>11</v>
      </c>
      <c r="F2288" s="1">
        <v>362.61</v>
      </c>
      <c r="G2288" s="1">
        <v>18.98</v>
      </c>
      <c r="H2288">
        <f t="shared" si="35"/>
        <v>3988.71</v>
      </c>
    </row>
    <row r="2289" spans="1:8" x14ac:dyDescent="0.25">
      <c r="A2289" s="1" t="s">
        <v>2302</v>
      </c>
      <c r="B2289" s="5">
        <v>45753.291666666664</v>
      </c>
      <c r="C2289" s="1" t="s">
        <v>13</v>
      </c>
      <c r="D2289" s="1" t="s">
        <v>16</v>
      </c>
      <c r="E2289" s="1">
        <v>9</v>
      </c>
      <c r="F2289" s="1">
        <v>74.86</v>
      </c>
      <c r="G2289" s="1">
        <v>31.13</v>
      </c>
      <c r="H2289">
        <f t="shared" si="35"/>
        <v>673.74</v>
      </c>
    </row>
    <row r="2290" spans="1:8" x14ac:dyDescent="0.25">
      <c r="A2290" s="1" t="s">
        <v>2303</v>
      </c>
      <c r="B2290" s="5">
        <v>45753.333333333336</v>
      </c>
      <c r="C2290" s="1" t="s">
        <v>13</v>
      </c>
      <c r="D2290" s="1" t="s">
        <v>19</v>
      </c>
      <c r="E2290" s="1">
        <v>3</v>
      </c>
      <c r="F2290" s="1">
        <v>166.55</v>
      </c>
      <c r="G2290" s="1">
        <v>47.91</v>
      </c>
      <c r="H2290">
        <f t="shared" si="35"/>
        <v>499.65000000000003</v>
      </c>
    </row>
    <row r="2291" spans="1:8" x14ac:dyDescent="0.25">
      <c r="A2291" s="1" t="s">
        <v>2304</v>
      </c>
      <c r="B2291" s="5">
        <v>45753.375</v>
      </c>
      <c r="C2291" s="1" t="s">
        <v>13</v>
      </c>
      <c r="D2291" s="1" t="s">
        <v>19</v>
      </c>
      <c r="E2291" s="1">
        <v>18</v>
      </c>
      <c r="F2291" s="1">
        <v>434.85</v>
      </c>
      <c r="G2291" s="1">
        <v>34.270000000000003</v>
      </c>
      <c r="H2291">
        <f t="shared" si="35"/>
        <v>7827.3</v>
      </c>
    </row>
    <row r="2292" spans="1:8" x14ac:dyDescent="0.25">
      <c r="A2292" s="1" t="s">
        <v>2305</v>
      </c>
      <c r="B2292" s="5">
        <v>45753.416666666664</v>
      </c>
      <c r="C2292" s="1" t="s">
        <v>23</v>
      </c>
      <c r="D2292" s="1" t="s">
        <v>16</v>
      </c>
      <c r="E2292" s="1">
        <v>15</v>
      </c>
      <c r="F2292" s="1">
        <v>228.28</v>
      </c>
      <c r="G2292" s="1">
        <v>35.29</v>
      </c>
      <c r="H2292">
        <f t="shared" si="35"/>
        <v>3424.2</v>
      </c>
    </row>
    <row r="2293" spans="1:8" x14ac:dyDescent="0.25">
      <c r="A2293" s="1" t="s">
        <v>2306</v>
      </c>
      <c r="B2293" s="5">
        <v>45753.458333333336</v>
      </c>
      <c r="C2293" s="1" t="s">
        <v>11</v>
      </c>
      <c r="D2293" s="1" t="s">
        <v>9</v>
      </c>
      <c r="E2293" s="1">
        <v>14</v>
      </c>
      <c r="F2293" s="1">
        <v>64.010000000000005</v>
      </c>
      <c r="G2293" s="1">
        <v>13.05</v>
      </c>
      <c r="H2293">
        <f t="shared" si="35"/>
        <v>896.1400000000001</v>
      </c>
    </row>
    <row r="2294" spans="1:8" x14ac:dyDescent="0.25">
      <c r="A2294" s="1" t="s">
        <v>2307</v>
      </c>
      <c r="B2294" s="5">
        <v>45753.5</v>
      </c>
      <c r="C2294" s="1" t="s">
        <v>8</v>
      </c>
      <c r="D2294" s="1" t="s">
        <v>37</v>
      </c>
      <c r="E2294" s="1">
        <v>2</v>
      </c>
      <c r="F2294" s="1">
        <v>214.76</v>
      </c>
      <c r="G2294" s="1">
        <v>27.17</v>
      </c>
      <c r="H2294">
        <f t="shared" si="35"/>
        <v>429.52</v>
      </c>
    </row>
    <row r="2295" spans="1:8" x14ac:dyDescent="0.25">
      <c r="A2295" s="1" t="s">
        <v>2308</v>
      </c>
      <c r="B2295" s="5">
        <v>45753.541666666664</v>
      </c>
      <c r="C2295" s="1" t="s">
        <v>11</v>
      </c>
      <c r="D2295" s="1" t="s">
        <v>37</v>
      </c>
      <c r="E2295" s="1">
        <v>17</v>
      </c>
      <c r="F2295" s="1">
        <v>318.33999999999997</v>
      </c>
      <c r="G2295" s="1">
        <v>21.52</v>
      </c>
      <c r="H2295">
        <f t="shared" si="35"/>
        <v>5411.78</v>
      </c>
    </row>
    <row r="2296" spans="1:8" x14ac:dyDescent="0.25">
      <c r="A2296" s="1" t="s">
        <v>2309</v>
      </c>
      <c r="B2296" s="5">
        <v>45753.583333333336</v>
      </c>
      <c r="C2296" s="1" t="s">
        <v>11</v>
      </c>
      <c r="D2296" s="1" t="s">
        <v>37</v>
      </c>
      <c r="E2296" s="1">
        <v>8</v>
      </c>
      <c r="F2296" s="1">
        <v>448.93</v>
      </c>
      <c r="G2296" s="1">
        <v>26.19</v>
      </c>
      <c r="H2296">
        <f t="shared" si="35"/>
        <v>3591.44</v>
      </c>
    </row>
    <row r="2297" spans="1:8" x14ac:dyDescent="0.25">
      <c r="A2297" s="1" t="s">
        <v>2310</v>
      </c>
      <c r="B2297" s="5">
        <v>45753.625</v>
      </c>
      <c r="C2297" s="1" t="s">
        <v>11</v>
      </c>
      <c r="D2297" s="1" t="s">
        <v>9</v>
      </c>
      <c r="E2297" s="1">
        <v>10</v>
      </c>
      <c r="F2297" s="1">
        <v>156.24</v>
      </c>
      <c r="G2297" s="1">
        <v>41.04</v>
      </c>
      <c r="H2297">
        <f t="shared" si="35"/>
        <v>1562.4</v>
      </c>
    </row>
    <row r="2298" spans="1:8" x14ac:dyDescent="0.25">
      <c r="A2298" s="1" t="s">
        <v>2311</v>
      </c>
      <c r="B2298" s="5">
        <v>45753.666666666664</v>
      </c>
      <c r="C2298" s="1" t="s">
        <v>13</v>
      </c>
      <c r="D2298" s="1" t="s">
        <v>19</v>
      </c>
      <c r="E2298" s="1">
        <v>18</v>
      </c>
      <c r="F2298" s="1">
        <v>238.87</v>
      </c>
      <c r="G2298" s="1">
        <v>25.73</v>
      </c>
      <c r="H2298">
        <f t="shared" si="35"/>
        <v>4299.66</v>
      </c>
    </row>
    <row r="2299" spans="1:8" x14ac:dyDescent="0.25">
      <c r="A2299" s="1" t="s">
        <v>2312</v>
      </c>
      <c r="B2299" s="5">
        <v>45753.708333333336</v>
      </c>
      <c r="C2299" s="1" t="s">
        <v>8</v>
      </c>
      <c r="D2299" s="1" t="s">
        <v>37</v>
      </c>
      <c r="E2299" s="1">
        <v>19</v>
      </c>
      <c r="F2299" s="1">
        <v>397.72</v>
      </c>
      <c r="G2299" s="1">
        <v>7.83</v>
      </c>
      <c r="H2299">
        <f t="shared" si="35"/>
        <v>7556.68</v>
      </c>
    </row>
    <row r="2300" spans="1:8" x14ac:dyDescent="0.25">
      <c r="A2300" s="1" t="s">
        <v>2313</v>
      </c>
      <c r="B2300" s="5">
        <v>45753.75</v>
      </c>
      <c r="C2300" s="1" t="s">
        <v>8</v>
      </c>
      <c r="D2300" s="1" t="s">
        <v>9</v>
      </c>
      <c r="E2300" s="1">
        <v>8</v>
      </c>
      <c r="F2300" s="1">
        <v>169.86</v>
      </c>
      <c r="G2300" s="1">
        <v>45.75</v>
      </c>
      <c r="H2300">
        <f t="shared" si="35"/>
        <v>1358.88</v>
      </c>
    </row>
    <row r="2301" spans="1:8" x14ac:dyDescent="0.25">
      <c r="A2301" s="1" t="s">
        <v>2314</v>
      </c>
      <c r="B2301" s="5">
        <v>45753.791666666664</v>
      </c>
      <c r="C2301" s="1" t="s">
        <v>11</v>
      </c>
      <c r="D2301" s="1" t="s">
        <v>19</v>
      </c>
      <c r="E2301" s="1">
        <v>8</v>
      </c>
      <c r="F2301" s="1">
        <v>62.97</v>
      </c>
      <c r="G2301" s="1">
        <v>29.52</v>
      </c>
      <c r="H2301">
        <f t="shared" si="35"/>
        <v>503.76</v>
      </c>
    </row>
    <row r="2302" spans="1:8" x14ac:dyDescent="0.25">
      <c r="A2302" s="1" t="s">
        <v>2315</v>
      </c>
      <c r="B2302" s="5">
        <v>45753.833333333336</v>
      </c>
      <c r="C2302" s="1" t="s">
        <v>13</v>
      </c>
      <c r="D2302" s="1" t="s">
        <v>16</v>
      </c>
      <c r="E2302" s="1">
        <v>3</v>
      </c>
      <c r="F2302" s="1">
        <v>427.81</v>
      </c>
      <c r="G2302" s="1">
        <v>46.6</v>
      </c>
      <c r="H2302">
        <f t="shared" si="35"/>
        <v>1283.43</v>
      </c>
    </row>
    <row r="2303" spans="1:8" x14ac:dyDescent="0.25">
      <c r="A2303" s="1" t="s">
        <v>2316</v>
      </c>
      <c r="B2303" s="5">
        <v>45753.875</v>
      </c>
      <c r="C2303" s="1" t="s">
        <v>13</v>
      </c>
      <c r="D2303" s="1" t="s">
        <v>37</v>
      </c>
      <c r="E2303" s="1">
        <v>3</v>
      </c>
      <c r="F2303" s="1">
        <v>227.73</v>
      </c>
      <c r="G2303" s="1">
        <v>30.76</v>
      </c>
      <c r="H2303">
        <f t="shared" si="35"/>
        <v>683.18999999999994</v>
      </c>
    </row>
    <row r="2304" spans="1:8" x14ac:dyDescent="0.25">
      <c r="A2304" s="1" t="s">
        <v>2317</v>
      </c>
      <c r="B2304" s="5">
        <v>45753.916666666664</v>
      </c>
      <c r="C2304" s="1" t="s">
        <v>8</v>
      </c>
      <c r="D2304" s="1" t="s">
        <v>19</v>
      </c>
      <c r="E2304" s="1">
        <v>12</v>
      </c>
      <c r="F2304" s="1">
        <v>233.96</v>
      </c>
      <c r="G2304" s="1">
        <v>8.1300000000000008</v>
      </c>
      <c r="H2304">
        <f t="shared" si="35"/>
        <v>2807.52</v>
      </c>
    </row>
    <row r="2305" spans="1:8" x14ac:dyDescent="0.25">
      <c r="A2305" s="1" t="s">
        <v>2318</v>
      </c>
      <c r="B2305" s="5">
        <v>45753.958333333336</v>
      </c>
      <c r="C2305" s="1" t="s">
        <v>13</v>
      </c>
      <c r="D2305" s="1" t="s">
        <v>37</v>
      </c>
      <c r="E2305" s="1">
        <v>17</v>
      </c>
      <c r="F2305" s="1">
        <v>285.41000000000003</v>
      </c>
      <c r="G2305" s="1">
        <v>29.88</v>
      </c>
      <c r="H2305">
        <f t="shared" si="35"/>
        <v>4851.97</v>
      </c>
    </row>
    <row r="2306" spans="1:8" x14ac:dyDescent="0.25">
      <c r="A2306" s="1" t="s">
        <v>2319</v>
      </c>
      <c r="B2306" s="5">
        <v>45754</v>
      </c>
      <c r="C2306" s="1" t="s">
        <v>13</v>
      </c>
      <c r="D2306" s="1" t="s">
        <v>37</v>
      </c>
      <c r="E2306" s="1">
        <v>4</v>
      </c>
      <c r="F2306" s="1">
        <v>17.04</v>
      </c>
      <c r="G2306" s="1">
        <v>30.91</v>
      </c>
      <c r="H2306">
        <f t="shared" ref="H2306:H2369" si="36">E2306*F2306</f>
        <v>68.16</v>
      </c>
    </row>
    <row r="2307" spans="1:8" x14ac:dyDescent="0.25">
      <c r="A2307" s="1" t="s">
        <v>2320</v>
      </c>
      <c r="B2307" s="5">
        <v>45754.041666666664</v>
      </c>
      <c r="C2307" s="1" t="s">
        <v>13</v>
      </c>
      <c r="D2307" s="1" t="s">
        <v>37</v>
      </c>
      <c r="E2307" s="1">
        <v>17</v>
      </c>
      <c r="F2307" s="1">
        <v>420.08</v>
      </c>
      <c r="G2307" s="1">
        <v>14.65</v>
      </c>
      <c r="H2307">
        <f t="shared" si="36"/>
        <v>7141.36</v>
      </c>
    </row>
    <row r="2308" spans="1:8" x14ac:dyDescent="0.25">
      <c r="A2308" s="1" t="s">
        <v>2321</v>
      </c>
      <c r="B2308" s="5">
        <v>45754.083333333336</v>
      </c>
      <c r="C2308" s="1" t="s">
        <v>23</v>
      </c>
      <c r="D2308" s="1" t="s">
        <v>19</v>
      </c>
      <c r="E2308" s="1">
        <v>14</v>
      </c>
      <c r="F2308" s="1">
        <v>172.55</v>
      </c>
      <c r="G2308" s="1">
        <v>26.2</v>
      </c>
      <c r="H2308">
        <f t="shared" si="36"/>
        <v>2415.7000000000003</v>
      </c>
    </row>
    <row r="2309" spans="1:8" x14ac:dyDescent="0.25">
      <c r="A2309" s="1" t="s">
        <v>2322</v>
      </c>
      <c r="B2309" s="5">
        <v>45754.125</v>
      </c>
      <c r="C2309" s="1" t="s">
        <v>11</v>
      </c>
      <c r="D2309" s="1" t="s">
        <v>9</v>
      </c>
      <c r="E2309" s="1">
        <v>19</v>
      </c>
      <c r="F2309" s="1">
        <v>187.97</v>
      </c>
      <c r="G2309" s="1">
        <v>25.67</v>
      </c>
      <c r="H2309">
        <f t="shared" si="36"/>
        <v>3571.43</v>
      </c>
    </row>
    <row r="2310" spans="1:8" x14ac:dyDescent="0.25">
      <c r="A2310" s="1" t="s">
        <v>2323</v>
      </c>
      <c r="B2310" s="5">
        <v>45754.166666666664</v>
      </c>
      <c r="C2310" s="1" t="s">
        <v>8</v>
      </c>
      <c r="D2310" s="1" t="s">
        <v>19</v>
      </c>
      <c r="E2310" s="1">
        <v>9</v>
      </c>
      <c r="F2310" s="1">
        <v>91.15</v>
      </c>
      <c r="G2310" s="1">
        <v>33.03</v>
      </c>
      <c r="H2310">
        <f t="shared" si="36"/>
        <v>820.35</v>
      </c>
    </row>
    <row r="2311" spans="1:8" x14ac:dyDescent="0.25">
      <c r="A2311" s="1" t="s">
        <v>2324</v>
      </c>
      <c r="B2311" s="5">
        <v>45754.208333333336</v>
      </c>
      <c r="C2311" s="1" t="s">
        <v>8</v>
      </c>
      <c r="D2311" s="1" t="s">
        <v>37</v>
      </c>
      <c r="E2311" s="1">
        <v>12</v>
      </c>
      <c r="F2311" s="1">
        <v>179.81</v>
      </c>
      <c r="G2311" s="1">
        <v>16.68</v>
      </c>
      <c r="H2311">
        <f t="shared" si="36"/>
        <v>2157.7200000000003</v>
      </c>
    </row>
    <row r="2312" spans="1:8" x14ac:dyDescent="0.25">
      <c r="A2312" s="1" t="s">
        <v>2325</v>
      </c>
      <c r="B2312" s="5">
        <v>45754.25</v>
      </c>
      <c r="C2312" s="1" t="s">
        <v>23</v>
      </c>
      <c r="D2312" s="1" t="s">
        <v>19</v>
      </c>
      <c r="E2312" s="1">
        <v>5</v>
      </c>
      <c r="F2312" s="1">
        <v>364.81</v>
      </c>
      <c r="G2312" s="1">
        <v>31.18</v>
      </c>
      <c r="H2312">
        <f t="shared" si="36"/>
        <v>1824.05</v>
      </c>
    </row>
    <row r="2313" spans="1:8" x14ac:dyDescent="0.25">
      <c r="A2313" s="1" t="s">
        <v>2326</v>
      </c>
      <c r="B2313" s="5">
        <v>45754.291666666664</v>
      </c>
      <c r="C2313" s="1" t="s">
        <v>11</v>
      </c>
      <c r="D2313" s="1" t="s">
        <v>16</v>
      </c>
      <c r="E2313" s="1">
        <v>11</v>
      </c>
      <c r="F2313" s="1">
        <v>363.1</v>
      </c>
      <c r="G2313" s="1">
        <v>15.84</v>
      </c>
      <c r="H2313">
        <f t="shared" si="36"/>
        <v>3994.1000000000004</v>
      </c>
    </row>
    <row r="2314" spans="1:8" x14ac:dyDescent="0.25">
      <c r="A2314" s="1" t="s">
        <v>2327</v>
      </c>
      <c r="B2314" s="5">
        <v>45754.333333333336</v>
      </c>
      <c r="C2314" s="1" t="s">
        <v>8</v>
      </c>
      <c r="D2314" s="1" t="s">
        <v>9</v>
      </c>
      <c r="E2314" s="1">
        <v>3</v>
      </c>
      <c r="F2314" s="1">
        <v>422.1</v>
      </c>
      <c r="G2314" s="1">
        <v>25.09</v>
      </c>
      <c r="H2314">
        <f t="shared" si="36"/>
        <v>1266.3000000000002</v>
      </c>
    </row>
    <row r="2315" spans="1:8" x14ac:dyDescent="0.25">
      <c r="A2315" s="1" t="s">
        <v>2328</v>
      </c>
      <c r="B2315" s="5">
        <v>45754.375</v>
      </c>
      <c r="C2315" s="1" t="s">
        <v>13</v>
      </c>
      <c r="D2315" s="1" t="s">
        <v>19</v>
      </c>
      <c r="E2315" s="1">
        <v>15</v>
      </c>
      <c r="F2315" s="1">
        <v>190.7</v>
      </c>
      <c r="G2315" s="1">
        <v>10.52</v>
      </c>
      <c r="H2315">
        <f t="shared" si="36"/>
        <v>2860.5</v>
      </c>
    </row>
    <row r="2316" spans="1:8" x14ac:dyDescent="0.25">
      <c r="A2316" s="1" t="s">
        <v>2329</v>
      </c>
      <c r="B2316" s="5">
        <v>45754.416666666664</v>
      </c>
      <c r="C2316" s="1" t="s">
        <v>8</v>
      </c>
      <c r="D2316" s="1" t="s">
        <v>16</v>
      </c>
      <c r="E2316" s="1">
        <v>14</v>
      </c>
      <c r="F2316" s="1">
        <v>323.44</v>
      </c>
      <c r="G2316" s="1">
        <v>6.68</v>
      </c>
      <c r="H2316">
        <f t="shared" si="36"/>
        <v>4528.16</v>
      </c>
    </row>
    <row r="2317" spans="1:8" x14ac:dyDescent="0.25">
      <c r="A2317" s="1" t="s">
        <v>2330</v>
      </c>
      <c r="B2317" s="5">
        <v>45754.458333333336</v>
      </c>
      <c r="C2317" s="1" t="s">
        <v>13</v>
      </c>
      <c r="D2317" s="1" t="s">
        <v>9</v>
      </c>
      <c r="E2317" s="1">
        <v>11</v>
      </c>
      <c r="F2317" s="1">
        <v>235.89</v>
      </c>
      <c r="G2317" s="1">
        <v>19.43</v>
      </c>
      <c r="H2317">
        <f t="shared" si="36"/>
        <v>2594.79</v>
      </c>
    </row>
    <row r="2318" spans="1:8" x14ac:dyDescent="0.25">
      <c r="A2318" s="1" t="s">
        <v>2331</v>
      </c>
      <c r="B2318" s="5">
        <v>45754.5</v>
      </c>
      <c r="C2318" s="1" t="s">
        <v>23</v>
      </c>
      <c r="D2318" s="1" t="s">
        <v>16</v>
      </c>
      <c r="E2318" s="1">
        <v>8</v>
      </c>
      <c r="F2318" s="1">
        <v>364.85</v>
      </c>
      <c r="G2318" s="1">
        <v>17.36</v>
      </c>
      <c r="H2318">
        <f t="shared" si="36"/>
        <v>2918.8</v>
      </c>
    </row>
    <row r="2319" spans="1:8" x14ac:dyDescent="0.25">
      <c r="A2319" s="1" t="s">
        <v>2332</v>
      </c>
      <c r="B2319" s="5">
        <v>45754.541666666664</v>
      </c>
      <c r="C2319" s="1" t="s">
        <v>13</v>
      </c>
      <c r="D2319" s="1" t="s">
        <v>9</v>
      </c>
      <c r="E2319" s="1">
        <v>4</v>
      </c>
      <c r="F2319" s="1">
        <v>325.10000000000002</v>
      </c>
      <c r="G2319" s="1">
        <v>23.31</v>
      </c>
      <c r="H2319">
        <f t="shared" si="36"/>
        <v>1300.4000000000001</v>
      </c>
    </row>
    <row r="2320" spans="1:8" x14ac:dyDescent="0.25">
      <c r="A2320" s="1" t="s">
        <v>2333</v>
      </c>
      <c r="B2320" s="5">
        <v>45754.583333333336</v>
      </c>
      <c r="C2320" s="1" t="s">
        <v>8</v>
      </c>
      <c r="D2320" s="1" t="s">
        <v>19</v>
      </c>
      <c r="E2320" s="1">
        <v>12</v>
      </c>
      <c r="F2320" s="1">
        <v>175.35</v>
      </c>
      <c r="G2320" s="1">
        <v>48.29</v>
      </c>
      <c r="H2320">
        <f t="shared" si="36"/>
        <v>2104.1999999999998</v>
      </c>
    </row>
    <row r="2321" spans="1:8" x14ac:dyDescent="0.25">
      <c r="A2321" s="1" t="s">
        <v>2334</v>
      </c>
      <c r="B2321" s="5">
        <v>45754.625</v>
      </c>
      <c r="C2321" s="1" t="s">
        <v>8</v>
      </c>
      <c r="D2321" s="1" t="s">
        <v>16</v>
      </c>
      <c r="E2321" s="1">
        <v>8</v>
      </c>
      <c r="F2321" s="1">
        <v>161.78</v>
      </c>
      <c r="G2321" s="1">
        <v>28.5</v>
      </c>
      <c r="H2321">
        <f t="shared" si="36"/>
        <v>1294.24</v>
      </c>
    </row>
    <row r="2322" spans="1:8" x14ac:dyDescent="0.25">
      <c r="A2322" s="1" t="s">
        <v>2335</v>
      </c>
      <c r="B2322" s="5">
        <v>45754.666666666664</v>
      </c>
      <c r="C2322" s="1" t="s">
        <v>8</v>
      </c>
      <c r="D2322" s="1" t="s">
        <v>37</v>
      </c>
      <c r="E2322" s="1">
        <v>6</v>
      </c>
      <c r="F2322" s="1">
        <v>125.19</v>
      </c>
      <c r="G2322" s="1">
        <v>29.89</v>
      </c>
      <c r="H2322">
        <f t="shared" si="36"/>
        <v>751.14</v>
      </c>
    </row>
    <row r="2323" spans="1:8" x14ac:dyDescent="0.25">
      <c r="A2323" s="1" t="s">
        <v>2336</v>
      </c>
      <c r="B2323" s="5">
        <v>45754.708333333336</v>
      </c>
      <c r="C2323" s="1" t="s">
        <v>23</v>
      </c>
      <c r="D2323" s="1" t="s">
        <v>16</v>
      </c>
      <c r="E2323" s="1">
        <v>15</v>
      </c>
      <c r="F2323" s="1">
        <v>266</v>
      </c>
      <c r="G2323" s="1">
        <v>47.37</v>
      </c>
      <c r="H2323">
        <f t="shared" si="36"/>
        <v>3990</v>
      </c>
    </row>
    <row r="2324" spans="1:8" x14ac:dyDescent="0.25">
      <c r="A2324" s="1" t="s">
        <v>2337</v>
      </c>
      <c r="B2324" s="5">
        <v>45754.75</v>
      </c>
      <c r="C2324" s="1" t="s">
        <v>23</v>
      </c>
      <c r="D2324" s="1" t="s">
        <v>9</v>
      </c>
      <c r="E2324" s="1">
        <v>12</v>
      </c>
      <c r="F2324" s="1">
        <v>434.29</v>
      </c>
      <c r="G2324" s="1">
        <v>46.45</v>
      </c>
      <c r="H2324">
        <f t="shared" si="36"/>
        <v>5211.4800000000005</v>
      </c>
    </row>
    <row r="2325" spans="1:8" x14ac:dyDescent="0.25">
      <c r="A2325" s="1" t="s">
        <v>2338</v>
      </c>
      <c r="B2325" s="5">
        <v>45754.791666666664</v>
      </c>
      <c r="C2325" s="1" t="s">
        <v>11</v>
      </c>
      <c r="D2325" s="1" t="s">
        <v>19</v>
      </c>
      <c r="E2325" s="1">
        <v>16</v>
      </c>
      <c r="F2325" s="1">
        <v>102.43</v>
      </c>
      <c r="G2325" s="1">
        <v>44.79</v>
      </c>
      <c r="H2325">
        <f t="shared" si="36"/>
        <v>1638.88</v>
      </c>
    </row>
    <row r="2326" spans="1:8" x14ac:dyDescent="0.25">
      <c r="A2326" s="1" t="s">
        <v>2339</v>
      </c>
      <c r="B2326" s="5">
        <v>45754.833333333336</v>
      </c>
      <c r="C2326" s="1" t="s">
        <v>8</v>
      </c>
      <c r="D2326" s="1" t="s">
        <v>9</v>
      </c>
      <c r="E2326" s="1">
        <v>16</v>
      </c>
      <c r="F2326" s="1">
        <v>56.89</v>
      </c>
      <c r="G2326" s="1">
        <v>9.41</v>
      </c>
      <c r="H2326">
        <f t="shared" si="36"/>
        <v>910.24</v>
      </c>
    </row>
    <row r="2327" spans="1:8" x14ac:dyDescent="0.25">
      <c r="A2327" s="1" t="s">
        <v>2340</v>
      </c>
      <c r="B2327" s="5">
        <v>45754.875</v>
      </c>
      <c r="C2327" s="1" t="s">
        <v>13</v>
      </c>
      <c r="D2327" s="1" t="s">
        <v>16</v>
      </c>
      <c r="E2327" s="1">
        <v>4</v>
      </c>
      <c r="F2327" s="1">
        <v>67.38</v>
      </c>
      <c r="G2327" s="1">
        <v>33.54</v>
      </c>
      <c r="H2327">
        <f t="shared" si="36"/>
        <v>269.52</v>
      </c>
    </row>
    <row r="2328" spans="1:8" x14ac:dyDescent="0.25">
      <c r="A2328" s="1" t="s">
        <v>2341</v>
      </c>
      <c r="B2328" s="5">
        <v>45754.916666666664</v>
      </c>
      <c r="C2328" s="1" t="s">
        <v>23</v>
      </c>
      <c r="D2328" s="1" t="s">
        <v>16</v>
      </c>
      <c r="E2328" s="1">
        <v>11</v>
      </c>
      <c r="F2328" s="1">
        <v>355.76</v>
      </c>
      <c r="G2328" s="1">
        <v>41.36</v>
      </c>
      <c r="H2328">
        <f t="shared" si="36"/>
        <v>3913.3599999999997</v>
      </c>
    </row>
    <row r="2329" spans="1:8" x14ac:dyDescent="0.25">
      <c r="A2329" s="1" t="s">
        <v>2342</v>
      </c>
      <c r="B2329" s="5">
        <v>45754.958333333336</v>
      </c>
      <c r="C2329" s="1" t="s">
        <v>8</v>
      </c>
      <c r="D2329" s="1" t="s">
        <v>37</v>
      </c>
      <c r="E2329" s="1">
        <v>13</v>
      </c>
      <c r="F2329" s="1">
        <v>167.62</v>
      </c>
      <c r="G2329" s="1">
        <v>42.6</v>
      </c>
      <c r="H2329">
        <f t="shared" si="36"/>
        <v>2179.06</v>
      </c>
    </row>
    <row r="2330" spans="1:8" x14ac:dyDescent="0.25">
      <c r="A2330" s="1" t="s">
        <v>2343</v>
      </c>
      <c r="B2330" s="5">
        <v>45755</v>
      </c>
      <c r="C2330" s="1" t="s">
        <v>8</v>
      </c>
      <c r="D2330" s="1" t="s">
        <v>19</v>
      </c>
      <c r="E2330" s="1">
        <v>9</v>
      </c>
      <c r="F2330" s="1">
        <v>112.99</v>
      </c>
      <c r="G2330" s="1">
        <v>31.01</v>
      </c>
      <c r="H2330">
        <f t="shared" si="36"/>
        <v>1016.91</v>
      </c>
    </row>
    <row r="2331" spans="1:8" x14ac:dyDescent="0.25">
      <c r="A2331" s="1" t="s">
        <v>2344</v>
      </c>
      <c r="B2331" s="5">
        <v>45755.041666666664</v>
      </c>
      <c r="C2331" s="1" t="s">
        <v>23</v>
      </c>
      <c r="D2331" s="1" t="s">
        <v>19</v>
      </c>
      <c r="E2331" s="1">
        <v>4</v>
      </c>
      <c r="F2331" s="1">
        <v>168.81</v>
      </c>
      <c r="G2331" s="1">
        <v>5.79</v>
      </c>
      <c r="H2331">
        <f t="shared" si="36"/>
        <v>675.24</v>
      </c>
    </row>
    <row r="2332" spans="1:8" x14ac:dyDescent="0.25">
      <c r="A2332" s="1" t="s">
        <v>2345</v>
      </c>
      <c r="B2332" s="5">
        <v>45755.083333333336</v>
      </c>
      <c r="C2332" s="1" t="s">
        <v>11</v>
      </c>
      <c r="D2332" s="1" t="s">
        <v>16</v>
      </c>
      <c r="E2332" s="1">
        <v>12</v>
      </c>
      <c r="F2332" s="1">
        <v>295.89999999999998</v>
      </c>
      <c r="G2332" s="1">
        <v>48.82</v>
      </c>
      <c r="H2332">
        <f t="shared" si="36"/>
        <v>3550.7999999999997</v>
      </c>
    </row>
    <row r="2333" spans="1:8" x14ac:dyDescent="0.25">
      <c r="A2333" s="1" t="s">
        <v>2346</v>
      </c>
      <c r="B2333" s="5">
        <v>45755.125</v>
      </c>
      <c r="C2333" s="1" t="s">
        <v>23</v>
      </c>
      <c r="D2333" s="1" t="s">
        <v>19</v>
      </c>
      <c r="E2333" s="1">
        <v>9</v>
      </c>
      <c r="F2333" s="1">
        <v>253.08</v>
      </c>
      <c r="G2333" s="1">
        <v>26.25</v>
      </c>
      <c r="H2333">
        <f t="shared" si="36"/>
        <v>2277.7200000000003</v>
      </c>
    </row>
    <row r="2334" spans="1:8" x14ac:dyDescent="0.25">
      <c r="A2334" s="1" t="s">
        <v>2347</v>
      </c>
      <c r="B2334" s="5">
        <v>45755.166666666664</v>
      </c>
      <c r="C2334" s="1" t="s">
        <v>23</v>
      </c>
      <c r="D2334" s="1" t="s">
        <v>37</v>
      </c>
      <c r="E2334" s="1">
        <v>13</v>
      </c>
      <c r="F2334" s="1">
        <v>338.59</v>
      </c>
      <c r="G2334" s="1">
        <v>22.71</v>
      </c>
      <c r="H2334">
        <f t="shared" si="36"/>
        <v>4401.67</v>
      </c>
    </row>
    <row r="2335" spans="1:8" x14ac:dyDescent="0.25">
      <c r="A2335" s="1" t="s">
        <v>2348</v>
      </c>
      <c r="B2335" s="5">
        <v>45755.208333333336</v>
      </c>
      <c r="C2335" s="1" t="s">
        <v>13</v>
      </c>
      <c r="D2335" s="1" t="s">
        <v>9</v>
      </c>
      <c r="E2335" s="1">
        <v>16</v>
      </c>
      <c r="F2335" s="1">
        <v>162.83000000000001</v>
      </c>
      <c r="G2335" s="1">
        <v>22.77</v>
      </c>
      <c r="H2335">
        <f t="shared" si="36"/>
        <v>2605.2800000000002</v>
      </c>
    </row>
    <row r="2336" spans="1:8" x14ac:dyDescent="0.25">
      <c r="A2336" s="1" t="s">
        <v>2349</v>
      </c>
      <c r="B2336" s="5">
        <v>45755.25</v>
      </c>
      <c r="C2336" s="1" t="s">
        <v>13</v>
      </c>
      <c r="D2336" s="1" t="s">
        <v>19</v>
      </c>
      <c r="E2336" s="1">
        <v>6</v>
      </c>
      <c r="F2336" s="1">
        <v>211.91</v>
      </c>
      <c r="G2336" s="1">
        <v>24.09</v>
      </c>
      <c r="H2336">
        <f t="shared" si="36"/>
        <v>1271.46</v>
      </c>
    </row>
    <row r="2337" spans="1:8" x14ac:dyDescent="0.25">
      <c r="A2337" s="1" t="s">
        <v>2350</v>
      </c>
      <c r="B2337" s="5">
        <v>45755.291666666664</v>
      </c>
      <c r="C2337" s="1" t="s">
        <v>11</v>
      </c>
      <c r="D2337" s="1" t="s">
        <v>16</v>
      </c>
      <c r="E2337" s="1">
        <v>10</v>
      </c>
      <c r="F2337" s="1">
        <v>59.81</v>
      </c>
      <c r="G2337" s="1">
        <v>15.9</v>
      </c>
      <c r="H2337">
        <f t="shared" si="36"/>
        <v>598.1</v>
      </c>
    </row>
    <row r="2338" spans="1:8" x14ac:dyDescent="0.25">
      <c r="A2338" s="1" t="s">
        <v>2351</v>
      </c>
      <c r="B2338" s="5">
        <v>45755.333333333336</v>
      </c>
      <c r="C2338" s="1" t="s">
        <v>8</v>
      </c>
      <c r="D2338" s="1" t="s">
        <v>9</v>
      </c>
      <c r="E2338" s="1">
        <v>13</v>
      </c>
      <c r="F2338" s="1">
        <v>47.24</v>
      </c>
      <c r="G2338" s="1">
        <v>19.73</v>
      </c>
      <c r="H2338">
        <f t="shared" si="36"/>
        <v>614.12</v>
      </c>
    </row>
    <row r="2339" spans="1:8" x14ac:dyDescent="0.25">
      <c r="A2339" s="1" t="s">
        <v>2352</v>
      </c>
      <c r="B2339" s="5">
        <v>45755.375</v>
      </c>
      <c r="C2339" s="1" t="s">
        <v>23</v>
      </c>
      <c r="D2339" s="1" t="s">
        <v>9</v>
      </c>
      <c r="E2339" s="1">
        <v>7</v>
      </c>
      <c r="F2339" s="1">
        <v>216.35</v>
      </c>
      <c r="G2339" s="1">
        <v>49.34</v>
      </c>
      <c r="H2339">
        <f t="shared" si="36"/>
        <v>1514.45</v>
      </c>
    </row>
    <row r="2340" spans="1:8" x14ac:dyDescent="0.25">
      <c r="A2340" s="1" t="s">
        <v>2353</v>
      </c>
      <c r="B2340" s="5">
        <v>45755.416666666664</v>
      </c>
      <c r="C2340" s="1" t="s">
        <v>11</v>
      </c>
      <c r="D2340" s="1" t="s">
        <v>37</v>
      </c>
      <c r="E2340" s="1">
        <v>19</v>
      </c>
      <c r="F2340" s="1">
        <v>146.54</v>
      </c>
      <c r="G2340" s="1">
        <v>21.57</v>
      </c>
      <c r="H2340">
        <f t="shared" si="36"/>
        <v>2784.2599999999998</v>
      </c>
    </row>
    <row r="2341" spans="1:8" x14ac:dyDescent="0.25">
      <c r="A2341" s="1" t="s">
        <v>2354</v>
      </c>
      <c r="B2341" s="5">
        <v>45755.458333333336</v>
      </c>
      <c r="C2341" s="1" t="s">
        <v>13</v>
      </c>
      <c r="D2341" s="1" t="s">
        <v>16</v>
      </c>
      <c r="E2341" s="1">
        <v>19</v>
      </c>
      <c r="F2341" s="1">
        <v>281.76</v>
      </c>
      <c r="G2341" s="1">
        <v>28.7</v>
      </c>
      <c r="H2341">
        <f t="shared" si="36"/>
        <v>5353.44</v>
      </c>
    </row>
    <row r="2342" spans="1:8" x14ac:dyDescent="0.25">
      <c r="A2342" s="1" t="s">
        <v>2355</v>
      </c>
      <c r="B2342" s="5">
        <v>45755.5</v>
      </c>
      <c r="C2342" s="1" t="s">
        <v>23</v>
      </c>
      <c r="D2342" s="1" t="s">
        <v>19</v>
      </c>
      <c r="E2342" s="1">
        <v>17</v>
      </c>
      <c r="F2342" s="1">
        <v>34.18</v>
      </c>
      <c r="G2342" s="1">
        <v>43.17</v>
      </c>
      <c r="H2342">
        <f t="shared" si="36"/>
        <v>581.05999999999995</v>
      </c>
    </row>
    <row r="2343" spans="1:8" x14ac:dyDescent="0.25">
      <c r="A2343" s="1" t="s">
        <v>2356</v>
      </c>
      <c r="B2343" s="5">
        <v>45755.541666666664</v>
      </c>
      <c r="C2343" s="1" t="s">
        <v>8</v>
      </c>
      <c r="D2343" s="1" t="s">
        <v>16</v>
      </c>
      <c r="E2343" s="1">
        <v>13</v>
      </c>
      <c r="F2343" s="1">
        <v>68.41</v>
      </c>
      <c r="G2343" s="1">
        <v>28.73</v>
      </c>
      <c r="H2343">
        <f t="shared" si="36"/>
        <v>889.32999999999993</v>
      </c>
    </row>
    <row r="2344" spans="1:8" x14ac:dyDescent="0.25">
      <c r="A2344" s="1" t="s">
        <v>2357</v>
      </c>
      <c r="B2344" s="5">
        <v>45755.583333333336</v>
      </c>
      <c r="C2344" s="1" t="s">
        <v>13</v>
      </c>
      <c r="D2344" s="1" t="s">
        <v>9</v>
      </c>
      <c r="E2344" s="1">
        <v>13</v>
      </c>
      <c r="F2344" s="1">
        <v>391.43</v>
      </c>
      <c r="G2344" s="1">
        <v>19.600000000000001</v>
      </c>
      <c r="H2344">
        <f t="shared" si="36"/>
        <v>5088.59</v>
      </c>
    </row>
    <row r="2345" spans="1:8" x14ac:dyDescent="0.25">
      <c r="A2345" s="1" t="s">
        <v>2358</v>
      </c>
      <c r="B2345" s="5">
        <v>45755.625</v>
      </c>
      <c r="C2345" s="1" t="s">
        <v>13</v>
      </c>
      <c r="D2345" s="1" t="s">
        <v>16</v>
      </c>
      <c r="E2345" s="1">
        <v>2</v>
      </c>
      <c r="F2345" s="1">
        <v>261.56</v>
      </c>
      <c r="G2345" s="1">
        <v>28.57</v>
      </c>
      <c r="H2345">
        <f t="shared" si="36"/>
        <v>523.12</v>
      </c>
    </row>
    <row r="2346" spans="1:8" x14ac:dyDescent="0.25">
      <c r="A2346" s="1" t="s">
        <v>2359</v>
      </c>
      <c r="B2346" s="5">
        <v>45755.666666666664</v>
      </c>
      <c r="C2346" s="1" t="s">
        <v>13</v>
      </c>
      <c r="D2346" s="1" t="s">
        <v>19</v>
      </c>
      <c r="E2346" s="1">
        <v>10</v>
      </c>
      <c r="F2346" s="1">
        <v>324.89</v>
      </c>
      <c r="G2346" s="1">
        <v>10.130000000000001</v>
      </c>
      <c r="H2346">
        <f t="shared" si="36"/>
        <v>3248.8999999999996</v>
      </c>
    </row>
    <row r="2347" spans="1:8" x14ac:dyDescent="0.25">
      <c r="A2347" s="1" t="s">
        <v>2360</v>
      </c>
      <c r="B2347" s="5">
        <v>45755.708333333336</v>
      </c>
      <c r="C2347" s="1" t="s">
        <v>11</v>
      </c>
      <c r="D2347" s="1" t="s">
        <v>19</v>
      </c>
      <c r="E2347" s="1">
        <v>13</v>
      </c>
      <c r="F2347" s="1">
        <v>381.34</v>
      </c>
      <c r="G2347" s="1">
        <v>10.85</v>
      </c>
      <c r="H2347">
        <f t="shared" si="36"/>
        <v>4957.42</v>
      </c>
    </row>
    <row r="2348" spans="1:8" x14ac:dyDescent="0.25">
      <c r="A2348" s="1" t="s">
        <v>2361</v>
      </c>
      <c r="B2348" s="5">
        <v>45755.75</v>
      </c>
      <c r="C2348" s="1" t="s">
        <v>8</v>
      </c>
      <c r="D2348" s="1" t="s">
        <v>37</v>
      </c>
      <c r="E2348" s="1">
        <v>9</v>
      </c>
      <c r="F2348" s="1">
        <v>217.04</v>
      </c>
      <c r="G2348" s="1">
        <v>36.229999999999997</v>
      </c>
      <c r="H2348">
        <f t="shared" si="36"/>
        <v>1953.36</v>
      </c>
    </row>
    <row r="2349" spans="1:8" x14ac:dyDescent="0.25">
      <c r="A2349" s="1" t="s">
        <v>2362</v>
      </c>
      <c r="B2349" s="5">
        <v>45755.791666666664</v>
      </c>
      <c r="C2349" s="1" t="s">
        <v>23</v>
      </c>
      <c r="D2349" s="1" t="s">
        <v>19</v>
      </c>
      <c r="E2349" s="1">
        <v>1</v>
      </c>
      <c r="F2349" s="1">
        <v>346.18</v>
      </c>
      <c r="G2349" s="1">
        <v>46.29</v>
      </c>
      <c r="H2349">
        <f t="shared" si="36"/>
        <v>346.18</v>
      </c>
    </row>
    <row r="2350" spans="1:8" x14ac:dyDescent="0.25">
      <c r="A2350" s="1" t="s">
        <v>2363</v>
      </c>
      <c r="B2350" s="5">
        <v>45755.833333333336</v>
      </c>
      <c r="C2350" s="1" t="s">
        <v>11</v>
      </c>
      <c r="D2350" s="1" t="s">
        <v>19</v>
      </c>
      <c r="E2350" s="1">
        <v>14</v>
      </c>
      <c r="F2350" s="1">
        <v>243.43</v>
      </c>
      <c r="G2350" s="1">
        <v>37.659999999999997</v>
      </c>
      <c r="H2350">
        <f t="shared" si="36"/>
        <v>3408.02</v>
      </c>
    </row>
    <row r="2351" spans="1:8" x14ac:dyDescent="0.25">
      <c r="A2351" s="1" t="s">
        <v>2364</v>
      </c>
      <c r="B2351" s="5">
        <v>45755.875</v>
      </c>
      <c r="C2351" s="1" t="s">
        <v>11</v>
      </c>
      <c r="D2351" s="1" t="s">
        <v>16</v>
      </c>
      <c r="E2351" s="1">
        <v>16</v>
      </c>
      <c r="F2351" s="1">
        <v>112.28</v>
      </c>
      <c r="G2351" s="1">
        <v>8.36</v>
      </c>
      <c r="H2351">
        <f t="shared" si="36"/>
        <v>1796.48</v>
      </c>
    </row>
    <row r="2352" spans="1:8" x14ac:dyDescent="0.25">
      <c r="A2352" s="1" t="s">
        <v>2365</v>
      </c>
      <c r="B2352" s="5">
        <v>45755.916666666664</v>
      </c>
      <c r="C2352" s="1" t="s">
        <v>11</v>
      </c>
      <c r="D2352" s="1" t="s">
        <v>16</v>
      </c>
      <c r="E2352" s="1">
        <v>15</v>
      </c>
      <c r="F2352" s="1">
        <v>162.21</v>
      </c>
      <c r="G2352" s="1">
        <v>23.13</v>
      </c>
      <c r="H2352">
        <f t="shared" si="36"/>
        <v>2433.15</v>
      </c>
    </row>
    <row r="2353" spans="1:8" x14ac:dyDescent="0.25">
      <c r="A2353" s="1" t="s">
        <v>2366</v>
      </c>
      <c r="B2353" s="5">
        <v>45755.958333333336</v>
      </c>
      <c r="C2353" s="1" t="s">
        <v>13</v>
      </c>
      <c r="D2353" s="1" t="s">
        <v>9</v>
      </c>
      <c r="E2353" s="1">
        <v>1</v>
      </c>
      <c r="F2353" s="1">
        <v>228.56</v>
      </c>
      <c r="G2353" s="1">
        <v>5.1100000000000003</v>
      </c>
      <c r="H2353">
        <f t="shared" si="36"/>
        <v>228.56</v>
      </c>
    </row>
    <row r="2354" spans="1:8" x14ac:dyDescent="0.25">
      <c r="A2354" s="1" t="s">
        <v>2367</v>
      </c>
      <c r="B2354" s="5">
        <v>45756</v>
      </c>
      <c r="C2354" s="1" t="s">
        <v>8</v>
      </c>
      <c r="D2354" s="1" t="s">
        <v>37</v>
      </c>
      <c r="E2354" s="1">
        <v>17</v>
      </c>
      <c r="F2354" s="1">
        <v>153.19</v>
      </c>
      <c r="G2354" s="1">
        <v>28</v>
      </c>
      <c r="H2354">
        <f t="shared" si="36"/>
        <v>2604.23</v>
      </c>
    </row>
    <row r="2355" spans="1:8" x14ac:dyDescent="0.25">
      <c r="A2355" s="1" t="s">
        <v>2368</v>
      </c>
      <c r="B2355" s="5">
        <v>45756.041666666664</v>
      </c>
      <c r="C2355" s="1" t="s">
        <v>11</v>
      </c>
      <c r="D2355" s="1" t="s">
        <v>16</v>
      </c>
      <c r="E2355" s="1">
        <v>13</v>
      </c>
      <c r="F2355" s="1">
        <v>161.29</v>
      </c>
      <c r="G2355" s="1">
        <v>13.69</v>
      </c>
      <c r="H2355">
        <f t="shared" si="36"/>
        <v>2096.77</v>
      </c>
    </row>
    <row r="2356" spans="1:8" x14ac:dyDescent="0.25">
      <c r="A2356" s="1" t="s">
        <v>2369</v>
      </c>
      <c r="B2356" s="5">
        <v>45756.083333333336</v>
      </c>
      <c r="C2356" s="1" t="s">
        <v>23</v>
      </c>
      <c r="D2356" s="1" t="s">
        <v>19</v>
      </c>
      <c r="E2356" s="1">
        <v>15</v>
      </c>
      <c r="F2356" s="1">
        <v>162.1</v>
      </c>
      <c r="G2356" s="1">
        <v>44.07</v>
      </c>
      <c r="H2356">
        <f t="shared" si="36"/>
        <v>2431.5</v>
      </c>
    </row>
    <row r="2357" spans="1:8" x14ac:dyDescent="0.25">
      <c r="A2357" s="1" t="s">
        <v>2370</v>
      </c>
      <c r="B2357" s="5">
        <v>45756.125</v>
      </c>
      <c r="C2357" s="1" t="s">
        <v>8</v>
      </c>
      <c r="D2357" s="1" t="s">
        <v>9</v>
      </c>
      <c r="E2357" s="1">
        <v>16</v>
      </c>
      <c r="F2357" s="1">
        <v>68.87</v>
      </c>
      <c r="G2357" s="1">
        <v>9.6999999999999993</v>
      </c>
      <c r="H2357">
        <f t="shared" si="36"/>
        <v>1101.92</v>
      </c>
    </row>
    <row r="2358" spans="1:8" x14ac:dyDescent="0.25">
      <c r="A2358" s="1" t="s">
        <v>2371</v>
      </c>
      <c r="B2358" s="5">
        <v>45756.166666666664</v>
      </c>
      <c r="C2358" s="1" t="s">
        <v>23</v>
      </c>
      <c r="D2358" s="1" t="s">
        <v>16</v>
      </c>
      <c r="E2358" s="1">
        <v>16</v>
      </c>
      <c r="F2358" s="1">
        <v>52.28</v>
      </c>
      <c r="G2358" s="1">
        <v>5.0599999999999996</v>
      </c>
      <c r="H2358">
        <f t="shared" si="36"/>
        <v>836.48</v>
      </c>
    </row>
    <row r="2359" spans="1:8" x14ac:dyDescent="0.25">
      <c r="A2359" s="1" t="s">
        <v>2372</v>
      </c>
      <c r="B2359" s="5">
        <v>45756.208333333336</v>
      </c>
      <c r="C2359" s="1" t="s">
        <v>8</v>
      </c>
      <c r="D2359" s="1" t="s">
        <v>37</v>
      </c>
      <c r="E2359" s="1">
        <v>2</v>
      </c>
      <c r="F2359" s="1">
        <v>35.700000000000003</v>
      </c>
      <c r="G2359" s="1">
        <v>25.3</v>
      </c>
      <c r="H2359">
        <f t="shared" si="36"/>
        <v>71.400000000000006</v>
      </c>
    </row>
    <row r="2360" spans="1:8" x14ac:dyDescent="0.25">
      <c r="A2360" s="1" t="s">
        <v>2373</v>
      </c>
      <c r="B2360" s="5">
        <v>45756.25</v>
      </c>
      <c r="C2360" s="1" t="s">
        <v>23</v>
      </c>
      <c r="D2360" s="1" t="s">
        <v>37</v>
      </c>
      <c r="E2360" s="1">
        <v>17</v>
      </c>
      <c r="F2360" s="1">
        <v>63.71</v>
      </c>
      <c r="G2360" s="1">
        <v>11.99</v>
      </c>
      <c r="H2360">
        <f t="shared" si="36"/>
        <v>1083.07</v>
      </c>
    </row>
    <row r="2361" spans="1:8" x14ac:dyDescent="0.25">
      <c r="A2361" s="1" t="s">
        <v>2374</v>
      </c>
      <c r="B2361" s="5">
        <v>45756.291666666664</v>
      </c>
      <c r="C2361" s="1" t="s">
        <v>13</v>
      </c>
      <c r="D2361" s="1" t="s">
        <v>9</v>
      </c>
      <c r="E2361" s="1">
        <v>11</v>
      </c>
      <c r="F2361" s="1">
        <v>164.84</v>
      </c>
      <c r="G2361" s="1">
        <v>38.21</v>
      </c>
      <c r="H2361">
        <f t="shared" si="36"/>
        <v>1813.24</v>
      </c>
    </row>
    <row r="2362" spans="1:8" x14ac:dyDescent="0.25">
      <c r="A2362" s="1" t="s">
        <v>2375</v>
      </c>
      <c r="B2362" s="5">
        <v>45756.333333333336</v>
      </c>
      <c r="C2362" s="1" t="s">
        <v>11</v>
      </c>
      <c r="D2362" s="1" t="s">
        <v>9</v>
      </c>
      <c r="E2362" s="1">
        <v>8</v>
      </c>
      <c r="F2362" s="1">
        <v>273.54000000000002</v>
      </c>
      <c r="G2362" s="1">
        <v>46.4</v>
      </c>
      <c r="H2362">
        <f t="shared" si="36"/>
        <v>2188.3200000000002</v>
      </c>
    </row>
    <row r="2363" spans="1:8" x14ac:dyDescent="0.25">
      <c r="A2363" s="1" t="s">
        <v>2376</v>
      </c>
      <c r="B2363" s="5">
        <v>45756.375</v>
      </c>
      <c r="C2363" s="1" t="s">
        <v>23</v>
      </c>
      <c r="D2363" s="1" t="s">
        <v>9</v>
      </c>
      <c r="E2363" s="1">
        <v>3</v>
      </c>
      <c r="F2363" s="1">
        <v>97.25</v>
      </c>
      <c r="G2363" s="1">
        <v>6.89</v>
      </c>
      <c r="H2363">
        <f t="shared" si="36"/>
        <v>291.75</v>
      </c>
    </row>
    <row r="2364" spans="1:8" x14ac:dyDescent="0.25">
      <c r="A2364" s="1" t="s">
        <v>2377</v>
      </c>
      <c r="B2364" s="5">
        <v>45756.416666666664</v>
      </c>
      <c r="C2364" s="1" t="s">
        <v>8</v>
      </c>
      <c r="D2364" s="1" t="s">
        <v>9</v>
      </c>
      <c r="E2364" s="1">
        <v>12</v>
      </c>
      <c r="F2364" s="1">
        <v>401.34</v>
      </c>
      <c r="G2364" s="1">
        <v>22.8</v>
      </c>
      <c r="H2364">
        <f t="shared" si="36"/>
        <v>4816.08</v>
      </c>
    </row>
    <row r="2365" spans="1:8" x14ac:dyDescent="0.25">
      <c r="A2365" s="1" t="s">
        <v>2378</v>
      </c>
      <c r="B2365" s="5">
        <v>45756.458333333336</v>
      </c>
      <c r="C2365" s="1" t="s">
        <v>11</v>
      </c>
      <c r="D2365" s="1" t="s">
        <v>9</v>
      </c>
      <c r="E2365" s="1">
        <v>16</v>
      </c>
      <c r="F2365" s="1">
        <v>366.74</v>
      </c>
      <c r="G2365" s="1">
        <v>49.86</v>
      </c>
      <c r="H2365">
        <f t="shared" si="36"/>
        <v>5867.84</v>
      </c>
    </row>
    <row r="2366" spans="1:8" x14ac:dyDescent="0.25">
      <c r="A2366" s="1" t="s">
        <v>2379</v>
      </c>
      <c r="B2366" s="5">
        <v>45756.5</v>
      </c>
      <c r="C2366" s="1" t="s">
        <v>11</v>
      </c>
      <c r="D2366" s="1" t="s">
        <v>19</v>
      </c>
      <c r="E2366" s="1">
        <v>14</v>
      </c>
      <c r="F2366" s="1">
        <v>241.67</v>
      </c>
      <c r="G2366" s="1">
        <v>37.97</v>
      </c>
      <c r="H2366">
        <f t="shared" si="36"/>
        <v>3383.3799999999997</v>
      </c>
    </row>
    <row r="2367" spans="1:8" x14ac:dyDescent="0.25">
      <c r="A2367" s="1" t="s">
        <v>2380</v>
      </c>
      <c r="B2367" s="5">
        <v>45756.541666666664</v>
      </c>
      <c r="C2367" s="1" t="s">
        <v>8</v>
      </c>
      <c r="D2367" s="1" t="s">
        <v>19</v>
      </c>
      <c r="E2367" s="1">
        <v>16</v>
      </c>
      <c r="F2367" s="1">
        <v>330.17</v>
      </c>
      <c r="G2367" s="1">
        <v>47.89</v>
      </c>
      <c r="H2367">
        <f t="shared" si="36"/>
        <v>5282.72</v>
      </c>
    </row>
    <row r="2368" spans="1:8" x14ac:dyDescent="0.25">
      <c r="A2368" s="1" t="s">
        <v>2381</v>
      </c>
      <c r="B2368" s="5">
        <v>45756.583333333336</v>
      </c>
      <c r="C2368" s="1" t="s">
        <v>23</v>
      </c>
      <c r="D2368" s="1" t="s">
        <v>16</v>
      </c>
      <c r="E2368" s="1">
        <v>17</v>
      </c>
      <c r="F2368" s="1">
        <v>174.67</v>
      </c>
      <c r="G2368" s="1">
        <v>12.38</v>
      </c>
      <c r="H2368">
        <f t="shared" si="36"/>
        <v>2969.39</v>
      </c>
    </row>
    <row r="2369" spans="1:8" x14ac:dyDescent="0.25">
      <c r="A2369" s="1" t="s">
        <v>2382</v>
      </c>
      <c r="B2369" s="5">
        <v>45756.625</v>
      </c>
      <c r="C2369" s="1" t="s">
        <v>13</v>
      </c>
      <c r="D2369" s="1" t="s">
        <v>37</v>
      </c>
      <c r="E2369" s="1">
        <v>11</v>
      </c>
      <c r="F2369" s="1">
        <v>31.48</v>
      </c>
      <c r="G2369" s="1">
        <v>14.96</v>
      </c>
      <c r="H2369">
        <f t="shared" si="36"/>
        <v>346.28000000000003</v>
      </c>
    </row>
    <row r="2370" spans="1:8" x14ac:dyDescent="0.25">
      <c r="A2370" s="1" t="s">
        <v>2383</v>
      </c>
      <c r="B2370" s="5">
        <v>45756.666666666664</v>
      </c>
      <c r="C2370" s="1" t="s">
        <v>13</v>
      </c>
      <c r="D2370" s="1" t="s">
        <v>19</v>
      </c>
      <c r="E2370" s="1">
        <v>17</v>
      </c>
      <c r="F2370" s="1">
        <v>408.43</v>
      </c>
      <c r="G2370" s="1">
        <v>11.97</v>
      </c>
      <c r="H2370">
        <f t="shared" ref="H2370:H2433" si="37">E2370*F2370</f>
        <v>6943.31</v>
      </c>
    </row>
    <row r="2371" spans="1:8" x14ac:dyDescent="0.25">
      <c r="A2371" s="1" t="s">
        <v>2384</v>
      </c>
      <c r="B2371" s="5">
        <v>45756.708333333336</v>
      </c>
      <c r="C2371" s="1" t="s">
        <v>23</v>
      </c>
      <c r="D2371" s="1" t="s">
        <v>19</v>
      </c>
      <c r="E2371" s="1">
        <v>19</v>
      </c>
      <c r="F2371" s="1">
        <v>71.03</v>
      </c>
      <c r="G2371" s="1">
        <v>18.61</v>
      </c>
      <c r="H2371">
        <f t="shared" si="37"/>
        <v>1349.57</v>
      </c>
    </row>
    <row r="2372" spans="1:8" x14ac:dyDescent="0.25">
      <c r="A2372" s="1" t="s">
        <v>2385</v>
      </c>
      <c r="B2372" s="5">
        <v>45756.75</v>
      </c>
      <c r="C2372" s="1" t="s">
        <v>11</v>
      </c>
      <c r="D2372" s="1" t="s">
        <v>19</v>
      </c>
      <c r="E2372" s="1">
        <v>1</v>
      </c>
      <c r="F2372" s="1">
        <v>427.38</v>
      </c>
      <c r="G2372" s="1">
        <v>37.6</v>
      </c>
      <c r="H2372">
        <f t="shared" si="37"/>
        <v>427.38</v>
      </c>
    </row>
    <row r="2373" spans="1:8" x14ac:dyDescent="0.25">
      <c r="A2373" s="1" t="s">
        <v>2386</v>
      </c>
      <c r="B2373" s="5">
        <v>45756.791666666664</v>
      </c>
      <c r="C2373" s="1" t="s">
        <v>11</v>
      </c>
      <c r="D2373" s="1" t="s">
        <v>16</v>
      </c>
      <c r="E2373" s="1">
        <v>12</v>
      </c>
      <c r="F2373" s="1">
        <v>263.98</v>
      </c>
      <c r="G2373" s="1">
        <v>12.42</v>
      </c>
      <c r="H2373">
        <f t="shared" si="37"/>
        <v>3167.76</v>
      </c>
    </row>
    <row r="2374" spans="1:8" x14ac:dyDescent="0.25">
      <c r="A2374" s="1" t="s">
        <v>2387</v>
      </c>
      <c r="B2374" s="5">
        <v>45756.833333333336</v>
      </c>
      <c r="C2374" s="1" t="s">
        <v>11</v>
      </c>
      <c r="D2374" s="1" t="s">
        <v>9</v>
      </c>
      <c r="E2374" s="1">
        <v>15</v>
      </c>
      <c r="F2374" s="1">
        <v>148.27000000000001</v>
      </c>
      <c r="G2374" s="1">
        <v>28.59</v>
      </c>
      <c r="H2374">
        <f t="shared" si="37"/>
        <v>2224.0500000000002</v>
      </c>
    </row>
    <row r="2375" spans="1:8" x14ac:dyDescent="0.25">
      <c r="A2375" s="1" t="s">
        <v>2388</v>
      </c>
      <c r="B2375" s="5">
        <v>45756.875</v>
      </c>
      <c r="C2375" s="1" t="s">
        <v>11</v>
      </c>
      <c r="D2375" s="1" t="s">
        <v>16</v>
      </c>
      <c r="E2375" s="1">
        <v>18</v>
      </c>
      <c r="F2375" s="1">
        <v>230.81</v>
      </c>
      <c r="G2375" s="1">
        <v>17.11</v>
      </c>
      <c r="H2375">
        <f t="shared" si="37"/>
        <v>4154.58</v>
      </c>
    </row>
    <row r="2376" spans="1:8" x14ac:dyDescent="0.25">
      <c r="A2376" s="1" t="s">
        <v>2389</v>
      </c>
      <c r="B2376" s="5">
        <v>45756.916666666664</v>
      </c>
      <c r="C2376" s="1" t="s">
        <v>23</v>
      </c>
      <c r="D2376" s="1" t="s">
        <v>37</v>
      </c>
      <c r="E2376" s="1">
        <v>14</v>
      </c>
      <c r="F2376" s="1">
        <v>233.46</v>
      </c>
      <c r="G2376" s="1">
        <v>42.31</v>
      </c>
      <c r="H2376">
        <f t="shared" si="37"/>
        <v>3268.44</v>
      </c>
    </row>
    <row r="2377" spans="1:8" x14ac:dyDescent="0.25">
      <c r="A2377" s="1" t="s">
        <v>2390</v>
      </c>
      <c r="B2377" s="5">
        <v>45756.958333333336</v>
      </c>
      <c r="C2377" s="1" t="s">
        <v>11</v>
      </c>
      <c r="D2377" s="1" t="s">
        <v>37</v>
      </c>
      <c r="E2377" s="1">
        <v>1</v>
      </c>
      <c r="F2377" s="1">
        <v>25.62</v>
      </c>
      <c r="G2377" s="1">
        <v>5.3</v>
      </c>
      <c r="H2377">
        <f t="shared" si="37"/>
        <v>25.62</v>
      </c>
    </row>
    <row r="2378" spans="1:8" x14ac:dyDescent="0.25">
      <c r="A2378" s="1" t="s">
        <v>2391</v>
      </c>
      <c r="B2378" s="5">
        <v>45757</v>
      </c>
      <c r="C2378" s="1" t="s">
        <v>8</v>
      </c>
      <c r="D2378" s="1" t="s">
        <v>37</v>
      </c>
      <c r="E2378" s="1">
        <v>13</v>
      </c>
      <c r="F2378" s="1">
        <v>169.95</v>
      </c>
      <c r="G2378" s="1">
        <v>15.04</v>
      </c>
      <c r="H2378">
        <f t="shared" si="37"/>
        <v>2209.35</v>
      </c>
    </row>
    <row r="2379" spans="1:8" x14ac:dyDescent="0.25">
      <c r="A2379" s="1" t="s">
        <v>2392</v>
      </c>
      <c r="B2379" s="5">
        <v>45757.041666666664</v>
      </c>
      <c r="C2379" s="1" t="s">
        <v>11</v>
      </c>
      <c r="D2379" s="1" t="s">
        <v>37</v>
      </c>
      <c r="E2379" s="1">
        <v>15</v>
      </c>
      <c r="F2379" s="1">
        <v>336.97</v>
      </c>
      <c r="G2379" s="1">
        <v>32.24</v>
      </c>
      <c r="H2379">
        <f t="shared" si="37"/>
        <v>5054.55</v>
      </c>
    </row>
    <row r="2380" spans="1:8" x14ac:dyDescent="0.25">
      <c r="A2380" s="1" t="s">
        <v>2393</v>
      </c>
      <c r="B2380" s="5">
        <v>45757.083333333336</v>
      </c>
      <c r="C2380" s="1" t="s">
        <v>13</v>
      </c>
      <c r="D2380" s="1" t="s">
        <v>19</v>
      </c>
      <c r="E2380" s="1">
        <v>7</v>
      </c>
      <c r="F2380" s="1">
        <v>237.13</v>
      </c>
      <c r="G2380" s="1">
        <v>9.35</v>
      </c>
      <c r="H2380">
        <f t="shared" si="37"/>
        <v>1659.9099999999999</v>
      </c>
    </row>
    <row r="2381" spans="1:8" x14ac:dyDescent="0.25">
      <c r="A2381" s="1" t="s">
        <v>2394</v>
      </c>
      <c r="B2381" s="5">
        <v>45757.125</v>
      </c>
      <c r="C2381" s="1" t="s">
        <v>11</v>
      </c>
      <c r="D2381" s="1" t="s">
        <v>19</v>
      </c>
      <c r="E2381" s="1">
        <v>15</v>
      </c>
      <c r="F2381" s="1">
        <v>121.62</v>
      </c>
      <c r="G2381" s="1">
        <v>25.98</v>
      </c>
      <c r="H2381">
        <f t="shared" si="37"/>
        <v>1824.3000000000002</v>
      </c>
    </row>
    <row r="2382" spans="1:8" x14ac:dyDescent="0.25">
      <c r="A2382" s="1" t="s">
        <v>2395</v>
      </c>
      <c r="B2382" s="5">
        <v>45757.166666666664</v>
      </c>
      <c r="C2382" s="1" t="s">
        <v>23</v>
      </c>
      <c r="D2382" s="1" t="s">
        <v>16</v>
      </c>
      <c r="E2382" s="1">
        <v>10</v>
      </c>
      <c r="F2382" s="1">
        <v>161.11000000000001</v>
      </c>
      <c r="G2382" s="1">
        <v>24.63</v>
      </c>
      <c r="H2382">
        <f t="shared" si="37"/>
        <v>1611.1000000000001</v>
      </c>
    </row>
    <row r="2383" spans="1:8" x14ac:dyDescent="0.25">
      <c r="A2383" s="1" t="s">
        <v>2396</v>
      </c>
      <c r="B2383" s="5">
        <v>45757.208333333336</v>
      </c>
      <c r="C2383" s="1" t="s">
        <v>13</v>
      </c>
      <c r="D2383" s="1" t="s">
        <v>9</v>
      </c>
      <c r="E2383" s="1">
        <v>14</v>
      </c>
      <c r="F2383" s="1">
        <v>390.5</v>
      </c>
      <c r="G2383" s="1">
        <v>43.36</v>
      </c>
      <c r="H2383">
        <f t="shared" si="37"/>
        <v>5467</v>
      </c>
    </row>
    <row r="2384" spans="1:8" x14ac:dyDescent="0.25">
      <c r="A2384" s="1" t="s">
        <v>2397</v>
      </c>
      <c r="B2384" s="5">
        <v>45757.25</v>
      </c>
      <c r="C2384" s="1" t="s">
        <v>23</v>
      </c>
      <c r="D2384" s="1" t="s">
        <v>37</v>
      </c>
      <c r="E2384" s="1">
        <v>6</v>
      </c>
      <c r="F2384" s="1">
        <v>243.85</v>
      </c>
      <c r="G2384" s="1">
        <v>33.14</v>
      </c>
      <c r="H2384">
        <f t="shared" si="37"/>
        <v>1463.1</v>
      </c>
    </row>
    <row r="2385" spans="1:8" x14ac:dyDescent="0.25">
      <c r="A2385" s="1" t="s">
        <v>2398</v>
      </c>
      <c r="B2385" s="5">
        <v>45757.291666666664</v>
      </c>
      <c r="C2385" s="1" t="s">
        <v>23</v>
      </c>
      <c r="D2385" s="1" t="s">
        <v>16</v>
      </c>
      <c r="E2385" s="1">
        <v>14</v>
      </c>
      <c r="F2385" s="1">
        <v>245.07</v>
      </c>
      <c r="G2385" s="1">
        <v>33.79</v>
      </c>
      <c r="H2385">
        <f t="shared" si="37"/>
        <v>3430.98</v>
      </c>
    </row>
    <row r="2386" spans="1:8" x14ac:dyDescent="0.25">
      <c r="A2386" s="1" t="s">
        <v>2399</v>
      </c>
      <c r="B2386" s="5">
        <v>45757.333333333336</v>
      </c>
      <c r="C2386" s="1" t="s">
        <v>13</v>
      </c>
      <c r="D2386" s="1" t="s">
        <v>19</v>
      </c>
      <c r="E2386" s="1">
        <v>12</v>
      </c>
      <c r="F2386" s="1">
        <v>433.26</v>
      </c>
      <c r="G2386" s="1">
        <v>47.83</v>
      </c>
      <c r="H2386">
        <f t="shared" si="37"/>
        <v>5199.12</v>
      </c>
    </row>
    <row r="2387" spans="1:8" x14ac:dyDescent="0.25">
      <c r="A2387" s="1" t="s">
        <v>2400</v>
      </c>
      <c r="B2387" s="5">
        <v>45757.375</v>
      </c>
      <c r="C2387" s="1" t="s">
        <v>23</v>
      </c>
      <c r="D2387" s="1" t="s">
        <v>19</v>
      </c>
      <c r="E2387" s="1">
        <v>11</v>
      </c>
      <c r="F2387" s="1">
        <v>154.91999999999999</v>
      </c>
      <c r="G2387" s="1">
        <v>49.21</v>
      </c>
      <c r="H2387">
        <f t="shared" si="37"/>
        <v>1704.12</v>
      </c>
    </row>
    <row r="2388" spans="1:8" x14ac:dyDescent="0.25">
      <c r="A2388" s="1" t="s">
        <v>2401</v>
      </c>
      <c r="B2388" s="5">
        <v>45757.416666666664</v>
      </c>
      <c r="C2388" s="1" t="s">
        <v>23</v>
      </c>
      <c r="D2388" s="1" t="s">
        <v>9</v>
      </c>
      <c r="E2388" s="1">
        <v>19</v>
      </c>
      <c r="F2388" s="1">
        <v>223.86</v>
      </c>
      <c r="G2388" s="1">
        <v>34.4</v>
      </c>
      <c r="H2388">
        <f t="shared" si="37"/>
        <v>4253.34</v>
      </c>
    </row>
    <row r="2389" spans="1:8" x14ac:dyDescent="0.25">
      <c r="A2389" s="1" t="s">
        <v>2402</v>
      </c>
      <c r="B2389" s="5">
        <v>45757.458333333336</v>
      </c>
      <c r="C2389" s="1" t="s">
        <v>11</v>
      </c>
      <c r="D2389" s="1" t="s">
        <v>9</v>
      </c>
      <c r="E2389" s="1">
        <v>2</v>
      </c>
      <c r="F2389" s="1">
        <v>368.19</v>
      </c>
      <c r="G2389" s="1">
        <v>28.49</v>
      </c>
      <c r="H2389">
        <f t="shared" si="37"/>
        <v>736.38</v>
      </c>
    </row>
    <row r="2390" spans="1:8" x14ac:dyDescent="0.25">
      <c r="A2390" s="1" t="s">
        <v>2403</v>
      </c>
      <c r="B2390" s="5">
        <v>45757.5</v>
      </c>
      <c r="C2390" s="1" t="s">
        <v>8</v>
      </c>
      <c r="D2390" s="1" t="s">
        <v>9</v>
      </c>
      <c r="E2390" s="1">
        <v>1</v>
      </c>
      <c r="F2390" s="1">
        <v>345.25</v>
      </c>
      <c r="G2390" s="1">
        <v>32.36</v>
      </c>
      <c r="H2390">
        <f t="shared" si="37"/>
        <v>345.25</v>
      </c>
    </row>
    <row r="2391" spans="1:8" x14ac:dyDescent="0.25">
      <c r="A2391" s="1" t="s">
        <v>2404</v>
      </c>
      <c r="B2391" s="5">
        <v>45757.541666666664</v>
      </c>
      <c r="C2391" s="1" t="s">
        <v>23</v>
      </c>
      <c r="D2391" s="1" t="s">
        <v>16</v>
      </c>
      <c r="E2391" s="1">
        <v>8</v>
      </c>
      <c r="F2391" s="1">
        <v>130.99</v>
      </c>
      <c r="G2391" s="1">
        <v>22.21</v>
      </c>
      <c r="H2391">
        <f t="shared" si="37"/>
        <v>1047.92</v>
      </c>
    </row>
    <row r="2392" spans="1:8" x14ac:dyDescent="0.25">
      <c r="A2392" s="1" t="s">
        <v>2405</v>
      </c>
      <c r="B2392" s="5">
        <v>45757.583333333336</v>
      </c>
      <c r="C2392" s="1" t="s">
        <v>23</v>
      </c>
      <c r="D2392" s="1" t="s">
        <v>19</v>
      </c>
      <c r="E2392" s="1">
        <v>14</v>
      </c>
      <c r="F2392" s="1">
        <v>81.150000000000006</v>
      </c>
      <c r="G2392" s="1">
        <v>49.44</v>
      </c>
      <c r="H2392">
        <f t="shared" si="37"/>
        <v>1136.1000000000001</v>
      </c>
    </row>
    <row r="2393" spans="1:8" x14ac:dyDescent="0.25">
      <c r="A2393" s="1" t="s">
        <v>2406</v>
      </c>
      <c r="B2393" s="5">
        <v>45757.625</v>
      </c>
      <c r="C2393" s="1" t="s">
        <v>23</v>
      </c>
      <c r="D2393" s="1" t="s">
        <v>19</v>
      </c>
      <c r="E2393" s="1">
        <v>9</v>
      </c>
      <c r="F2393" s="1">
        <v>319.95999999999998</v>
      </c>
      <c r="G2393" s="1">
        <v>36.729999999999997</v>
      </c>
      <c r="H2393">
        <f t="shared" si="37"/>
        <v>2879.64</v>
      </c>
    </row>
    <row r="2394" spans="1:8" x14ac:dyDescent="0.25">
      <c r="A2394" s="1" t="s">
        <v>2407</v>
      </c>
      <c r="B2394" s="5">
        <v>45757.666666666664</v>
      </c>
      <c r="C2394" s="1" t="s">
        <v>11</v>
      </c>
      <c r="D2394" s="1" t="s">
        <v>9</v>
      </c>
      <c r="E2394" s="1">
        <v>2</v>
      </c>
      <c r="F2394" s="1">
        <v>127.45</v>
      </c>
      <c r="G2394" s="1">
        <v>18.100000000000001</v>
      </c>
      <c r="H2394">
        <f t="shared" si="37"/>
        <v>254.9</v>
      </c>
    </row>
    <row r="2395" spans="1:8" x14ac:dyDescent="0.25">
      <c r="A2395" s="1" t="s">
        <v>2408</v>
      </c>
      <c r="B2395" s="5">
        <v>45757.708333333336</v>
      </c>
      <c r="C2395" s="1" t="s">
        <v>8</v>
      </c>
      <c r="D2395" s="1" t="s">
        <v>37</v>
      </c>
      <c r="E2395" s="1">
        <v>5</v>
      </c>
      <c r="F2395" s="1">
        <v>416.4</v>
      </c>
      <c r="G2395" s="1">
        <v>7.6</v>
      </c>
      <c r="H2395">
        <f t="shared" si="37"/>
        <v>2082</v>
      </c>
    </row>
    <row r="2396" spans="1:8" x14ac:dyDescent="0.25">
      <c r="A2396" s="1" t="s">
        <v>2409</v>
      </c>
      <c r="B2396" s="5">
        <v>45757.75</v>
      </c>
      <c r="C2396" s="1" t="s">
        <v>13</v>
      </c>
      <c r="D2396" s="1" t="s">
        <v>9</v>
      </c>
      <c r="E2396" s="1">
        <v>8</v>
      </c>
      <c r="F2396" s="1">
        <v>71.66</v>
      </c>
      <c r="G2396" s="1">
        <v>7.01</v>
      </c>
      <c r="H2396">
        <f t="shared" si="37"/>
        <v>573.28</v>
      </c>
    </row>
    <row r="2397" spans="1:8" x14ac:dyDescent="0.25">
      <c r="A2397" s="1" t="s">
        <v>2410</v>
      </c>
      <c r="B2397" s="5">
        <v>45757.791666666664</v>
      </c>
      <c r="C2397" s="1" t="s">
        <v>11</v>
      </c>
      <c r="D2397" s="1" t="s">
        <v>16</v>
      </c>
      <c r="E2397" s="1">
        <v>16</v>
      </c>
      <c r="F2397" s="1">
        <v>153.81</v>
      </c>
      <c r="G2397" s="1">
        <v>14.22</v>
      </c>
      <c r="H2397">
        <f t="shared" si="37"/>
        <v>2460.96</v>
      </c>
    </row>
    <row r="2398" spans="1:8" x14ac:dyDescent="0.25">
      <c r="A2398" s="1" t="s">
        <v>2411</v>
      </c>
      <c r="B2398" s="5">
        <v>45757.833333333336</v>
      </c>
      <c r="C2398" s="1" t="s">
        <v>11</v>
      </c>
      <c r="D2398" s="1" t="s">
        <v>9</v>
      </c>
      <c r="E2398" s="1">
        <v>16</v>
      </c>
      <c r="F2398" s="1">
        <v>39.31</v>
      </c>
      <c r="G2398" s="1">
        <v>15.48</v>
      </c>
      <c r="H2398">
        <f t="shared" si="37"/>
        <v>628.96</v>
      </c>
    </row>
    <row r="2399" spans="1:8" x14ac:dyDescent="0.25">
      <c r="A2399" s="1" t="s">
        <v>2412</v>
      </c>
      <c r="B2399" s="5">
        <v>45757.875</v>
      </c>
      <c r="C2399" s="1" t="s">
        <v>8</v>
      </c>
      <c r="D2399" s="1" t="s">
        <v>9</v>
      </c>
      <c r="E2399" s="1">
        <v>13</v>
      </c>
      <c r="F2399" s="1">
        <v>321.08999999999997</v>
      </c>
      <c r="G2399" s="1">
        <v>23.68</v>
      </c>
      <c r="H2399">
        <f t="shared" si="37"/>
        <v>4174.17</v>
      </c>
    </row>
    <row r="2400" spans="1:8" x14ac:dyDescent="0.25">
      <c r="A2400" s="1" t="s">
        <v>2413</v>
      </c>
      <c r="B2400" s="5">
        <v>45757.916666666664</v>
      </c>
      <c r="C2400" s="1" t="s">
        <v>8</v>
      </c>
      <c r="D2400" s="1" t="s">
        <v>16</v>
      </c>
      <c r="E2400" s="1">
        <v>15</v>
      </c>
      <c r="F2400" s="1">
        <v>402.75</v>
      </c>
      <c r="G2400" s="1">
        <v>14.67</v>
      </c>
      <c r="H2400">
        <f t="shared" si="37"/>
        <v>6041.25</v>
      </c>
    </row>
    <row r="2401" spans="1:8" x14ac:dyDescent="0.25">
      <c r="A2401" s="1" t="s">
        <v>2414</v>
      </c>
      <c r="B2401" s="5">
        <v>45757.958333333336</v>
      </c>
      <c r="C2401" s="1" t="s">
        <v>11</v>
      </c>
      <c r="D2401" s="1" t="s">
        <v>9</v>
      </c>
      <c r="E2401" s="1">
        <v>1</v>
      </c>
      <c r="F2401" s="1">
        <v>291.79000000000002</v>
      </c>
      <c r="G2401" s="1">
        <v>33.39</v>
      </c>
      <c r="H2401">
        <f t="shared" si="37"/>
        <v>291.79000000000002</v>
      </c>
    </row>
    <row r="2402" spans="1:8" x14ac:dyDescent="0.25">
      <c r="A2402" s="1" t="s">
        <v>2415</v>
      </c>
      <c r="B2402" s="5">
        <v>45758</v>
      </c>
      <c r="C2402" s="1" t="s">
        <v>13</v>
      </c>
      <c r="D2402" s="1" t="s">
        <v>19</v>
      </c>
      <c r="E2402" s="1">
        <v>3</v>
      </c>
      <c r="F2402" s="1">
        <v>422.95</v>
      </c>
      <c r="G2402" s="1">
        <v>14.51</v>
      </c>
      <c r="H2402">
        <f t="shared" si="37"/>
        <v>1268.8499999999999</v>
      </c>
    </row>
    <row r="2403" spans="1:8" x14ac:dyDescent="0.25">
      <c r="A2403" s="1" t="s">
        <v>2416</v>
      </c>
      <c r="B2403" s="5">
        <v>45758.041666666664</v>
      </c>
      <c r="C2403" s="1" t="s">
        <v>11</v>
      </c>
      <c r="D2403" s="1" t="s">
        <v>37</v>
      </c>
      <c r="E2403" s="1">
        <v>6</v>
      </c>
      <c r="F2403" s="1">
        <v>71.33</v>
      </c>
      <c r="G2403" s="1">
        <v>13.45</v>
      </c>
      <c r="H2403">
        <f t="shared" si="37"/>
        <v>427.98</v>
      </c>
    </row>
    <row r="2404" spans="1:8" x14ac:dyDescent="0.25">
      <c r="A2404" s="1" t="s">
        <v>2417</v>
      </c>
      <c r="B2404" s="5">
        <v>45758.083333333336</v>
      </c>
      <c r="C2404" s="1" t="s">
        <v>8</v>
      </c>
      <c r="D2404" s="1" t="s">
        <v>9</v>
      </c>
      <c r="E2404" s="1">
        <v>14</v>
      </c>
      <c r="F2404" s="1">
        <v>53.62</v>
      </c>
      <c r="G2404" s="1">
        <v>26.21</v>
      </c>
      <c r="H2404">
        <f t="shared" si="37"/>
        <v>750.68</v>
      </c>
    </row>
    <row r="2405" spans="1:8" x14ac:dyDescent="0.25">
      <c r="A2405" s="1" t="s">
        <v>2418</v>
      </c>
      <c r="B2405" s="5">
        <v>45758.125</v>
      </c>
      <c r="C2405" s="1" t="s">
        <v>13</v>
      </c>
      <c r="D2405" s="1" t="s">
        <v>16</v>
      </c>
      <c r="E2405" s="1">
        <v>4</v>
      </c>
      <c r="F2405" s="1">
        <v>379.79</v>
      </c>
      <c r="G2405" s="1">
        <v>44.99</v>
      </c>
      <c r="H2405">
        <f t="shared" si="37"/>
        <v>1519.16</v>
      </c>
    </row>
    <row r="2406" spans="1:8" x14ac:dyDescent="0.25">
      <c r="A2406" s="1" t="s">
        <v>2419</v>
      </c>
      <c r="B2406" s="5">
        <v>45758.166666666664</v>
      </c>
      <c r="C2406" s="1" t="s">
        <v>8</v>
      </c>
      <c r="D2406" s="1" t="s">
        <v>37</v>
      </c>
      <c r="E2406" s="1">
        <v>18</v>
      </c>
      <c r="F2406" s="1">
        <v>387.22</v>
      </c>
      <c r="G2406" s="1">
        <v>26.07</v>
      </c>
      <c r="H2406">
        <f t="shared" si="37"/>
        <v>6969.9600000000009</v>
      </c>
    </row>
    <row r="2407" spans="1:8" x14ac:dyDescent="0.25">
      <c r="A2407" s="1" t="s">
        <v>2420</v>
      </c>
      <c r="B2407" s="5">
        <v>45758.208333333336</v>
      </c>
      <c r="C2407" s="1" t="s">
        <v>13</v>
      </c>
      <c r="D2407" s="1" t="s">
        <v>16</v>
      </c>
      <c r="E2407" s="1">
        <v>15</v>
      </c>
      <c r="F2407" s="1">
        <v>376.59</v>
      </c>
      <c r="G2407" s="1">
        <v>23.62</v>
      </c>
      <c r="H2407">
        <f t="shared" si="37"/>
        <v>5648.8499999999995</v>
      </c>
    </row>
    <row r="2408" spans="1:8" x14ac:dyDescent="0.25">
      <c r="A2408" s="1" t="s">
        <v>2421</v>
      </c>
      <c r="B2408" s="5">
        <v>45758.25</v>
      </c>
      <c r="C2408" s="1" t="s">
        <v>23</v>
      </c>
      <c r="D2408" s="1" t="s">
        <v>37</v>
      </c>
      <c r="E2408" s="1">
        <v>9</v>
      </c>
      <c r="F2408" s="1">
        <v>362.65</v>
      </c>
      <c r="G2408" s="1">
        <v>31.01</v>
      </c>
      <c r="H2408">
        <f t="shared" si="37"/>
        <v>3263.85</v>
      </c>
    </row>
    <row r="2409" spans="1:8" x14ac:dyDescent="0.25">
      <c r="A2409" s="1" t="s">
        <v>2422</v>
      </c>
      <c r="B2409" s="5">
        <v>45758.291666666664</v>
      </c>
      <c r="C2409" s="1" t="s">
        <v>8</v>
      </c>
      <c r="D2409" s="1" t="s">
        <v>37</v>
      </c>
      <c r="E2409" s="1">
        <v>18</v>
      </c>
      <c r="F2409" s="1">
        <v>172.89</v>
      </c>
      <c r="G2409" s="1">
        <v>16.57</v>
      </c>
      <c r="H2409">
        <f t="shared" si="37"/>
        <v>3112.0199999999995</v>
      </c>
    </row>
    <row r="2410" spans="1:8" x14ac:dyDescent="0.25">
      <c r="A2410" s="1" t="s">
        <v>2423</v>
      </c>
      <c r="B2410" s="5">
        <v>45758.333333333336</v>
      </c>
      <c r="C2410" s="1" t="s">
        <v>8</v>
      </c>
      <c r="D2410" s="1" t="s">
        <v>9</v>
      </c>
      <c r="E2410" s="1">
        <v>3</v>
      </c>
      <c r="F2410" s="1">
        <v>109.99</v>
      </c>
      <c r="G2410" s="1">
        <v>20.9</v>
      </c>
      <c r="H2410">
        <f t="shared" si="37"/>
        <v>329.96999999999997</v>
      </c>
    </row>
    <row r="2411" spans="1:8" x14ac:dyDescent="0.25">
      <c r="A2411" s="1" t="s">
        <v>2424</v>
      </c>
      <c r="B2411" s="5">
        <v>45758.375</v>
      </c>
      <c r="C2411" s="1" t="s">
        <v>11</v>
      </c>
      <c r="D2411" s="1" t="s">
        <v>19</v>
      </c>
      <c r="E2411" s="1">
        <v>10</v>
      </c>
      <c r="F2411" s="1">
        <v>419.07</v>
      </c>
      <c r="G2411" s="1">
        <v>14.62</v>
      </c>
      <c r="H2411">
        <f t="shared" si="37"/>
        <v>4190.7</v>
      </c>
    </row>
    <row r="2412" spans="1:8" x14ac:dyDescent="0.25">
      <c r="A2412" s="1" t="s">
        <v>2425</v>
      </c>
      <c r="B2412" s="5">
        <v>45758.416666666664</v>
      </c>
      <c r="C2412" s="1" t="s">
        <v>8</v>
      </c>
      <c r="D2412" s="1" t="s">
        <v>9</v>
      </c>
      <c r="E2412" s="1">
        <v>17</v>
      </c>
      <c r="F2412" s="1">
        <v>148.88999999999999</v>
      </c>
      <c r="G2412" s="1">
        <v>30.73</v>
      </c>
      <c r="H2412">
        <f t="shared" si="37"/>
        <v>2531.1299999999997</v>
      </c>
    </row>
    <row r="2413" spans="1:8" x14ac:dyDescent="0.25">
      <c r="A2413" s="1" t="s">
        <v>2426</v>
      </c>
      <c r="B2413" s="5">
        <v>45758.458333333336</v>
      </c>
      <c r="C2413" s="1" t="s">
        <v>8</v>
      </c>
      <c r="D2413" s="1" t="s">
        <v>16</v>
      </c>
      <c r="E2413" s="1">
        <v>7</v>
      </c>
      <c r="F2413" s="1">
        <v>188.61</v>
      </c>
      <c r="G2413" s="1">
        <v>36.380000000000003</v>
      </c>
      <c r="H2413">
        <f t="shared" si="37"/>
        <v>1320.27</v>
      </c>
    </row>
    <row r="2414" spans="1:8" x14ac:dyDescent="0.25">
      <c r="A2414" s="1" t="s">
        <v>2427</v>
      </c>
      <c r="B2414" s="5">
        <v>45758.5</v>
      </c>
      <c r="C2414" s="1" t="s">
        <v>23</v>
      </c>
      <c r="D2414" s="1" t="s">
        <v>16</v>
      </c>
      <c r="E2414" s="1">
        <v>15</v>
      </c>
      <c r="F2414" s="1">
        <v>319.45999999999998</v>
      </c>
      <c r="G2414" s="1">
        <v>35.32</v>
      </c>
      <c r="H2414">
        <f t="shared" si="37"/>
        <v>4791.8999999999996</v>
      </c>
    </row>
    <row r="2415" spans="1:8" x14ac:dyDescent="0.25">
      <c r="A2415" s="1" t="s">
        <v>2428</v>
      </c>
      <c r="B2415" s="5">
        <v>45758.541666666664</v>
      </c>
      <c r="C2415" s="1" t="s">
        <v>8</v>
      </c>
      <c r="D2415" s="1" t="s">
        <v>37</v>
      </c>
      <c r="E2415" s="1">
        <v>1</v>
      </c>
      <c r="F2415" s="1">
        <v>142.96</v>
      </c>
      <c r="G2415" s="1">
        <v>16.47</v>
      </c>
      <c r="H2415">
        <f t="shared" si="37"/>
        <v>142.96</v>
      </c>
    </row>
    <row r="2416" spans="1:8" x14ac:dyDescent="0.25">
      <c r="A2416" s="1" t="s">
        <v>2429</v>
      </c>
      <c r="B2416" s="5">
        <v>45758.583333333336</v>
      </c>
      <c r="C2416" s="1" t="s">
        <v>23</v>
      </c>
      <c r="D2416" s="1" t="s">
        <v>37</v>
      </c>
      <c r="E2416" s="1">
        <v>11</v>
      </c>
      <c r="F2416" s="1">
        <v>371.41</v>
      </c>
      <c r="G2416" s="1">
        <v>40.08</v>
      </c>
      <c r="H2416">
        <f t="shared" si="37"/>
        <v>4085.51</v>
      </c>
    </row>
    <row r="2417" spans="1:8" x14ac:dyDescent="0.25">
      <c r="A2417" s="1" t="s">
        <v>2430</v>
      </c>
      <c r="B2417" s="5">
        <v>45758.625</v>
      </c>
      <c r="C2417" s="1" t="s">
        <v>23</v>
      </c>
      <c r="D2417" s="1" t="s">
        <v>19</v>
      </c>
      <c r="E2417" s="1">
        <v>17</v>
      </c>
      <c r="F2417" s="1">
        <v>45.93</v>
      </c>
      <c r="G2417" s="1">
        <v>16.52</v>
      </c>
      <c r="H2417">
        <f t="shared" si="37"/>
        <v>780.81</v>
      </c>
    </row>
    <row r="2418" spans="1:8" x14ac:dyDescent="0.25">
      <c r="A2418" s="1" t="s">
        <v>2431</v>
      </c>
      <c r="B2418" s="5">
        <v>45758.666666666664</v>
      </c>
      <c r="C2418" s="1" t="s">
        <v>23</v>
      </c>
      <c r="D2418" s="1" t="s">
        <v>9</v>
      </c>
      <c r="E2418" s="1">
        <v>5</v>
      </c>
      <c r="F2418" s="1">
        <v>359.27</v>
      </c>
      <c r="G2418" s="1">
        <v>11.76</v>
      </c>
      <c r="H2418">
        <f t="shared" si="37"/>
        <v>1796.35</v>
      </c>
    </row>
    <row r="2419" spans="1:8" x14ac:dyDescent="0.25">
      <c r="A2419" s="1" t="s">
        <v>2432</v>
      </c>
      <c r="B2419" s="5">
        <v>45758.708333333336</v>
      </c>
      <c r="C2419" s="1" t="s">
        <v>23</v>
      </c>
      <c r="D2419" s="1" t="s">
        <v>16</v>
      </c>
      <c r="E2419" s="1">
        <v>7</v>
      </c>
      <c r="F2419" s="1">
        <v>277</v>
      </c>
      <c r="G2419" s="1">
        <v>20.74</v>
      </c>
      <c r="H2419">
        <f t="shared" si="37"/>
        <v>1939</v>
      </c>
    </row>
    <row r="2420" spans="1:8" x14ac:dyDescent="0.25">
      <c r="A2420" s="1" t="s">
        <v>2433</v>
      </c>
      <c r="B2420" s="5">
        <v>45758.75</v>
      </c>
      <c r="C2420" s="1" t="s">
        <v>13</v>
      </c>
      <c r="D2420" s="1" t="s">
        <v>37</v>
      </c>
      <c r="E2420" s="1">
        <v>19</v>
      </c>
      <c r="F2420" s="1">
        <v>264.47000000000003</v>
      </c>
      <c r="G2420" s="1">
        <v>31.9</v>
      </c>
      <c r="H2420">
        <f t="shared" si="37"/>
        <v>5024.93</v>
      </c>
    </row>
    <row r="2421" spans="1:8" x14ac:dyDescent="0.25">
      <c r="A2421" s="1" t="s">
        <v>2434</v>
      </c>
      <c r="B2421" s="5">
        <v>45758.791666666664</v>
      </c>
      <c r="C2421" s="1" t="s">
        <v>11</v>
      </c>
      <c r="D2421" s="1" t="s">
        <v>19</v>
      </c>
      <c r="E2421" s="1">
        <v>15</v>
      </c>
      <c r="F2421" s="1">
        <v>214.66</v>
      </c>
      <c r="G2421" s="1">
        <v>11.39</v>
      </c>
      <c r="H2421">
        <f t="shared" si="37"/>
        <v>3219.9</v>
      </c>
    </row>
    <row r="2422" spans="1:8" x14ac:dyDescent="0.25">
      <c r="A2422" s="1" t="s">
        <v>2435</v>
      </c>
      <c r="B2422" s="5">
        <v>45758.833333333336</v>
      </c>
      <c r="C2422" s="1" t="s">
        <v>13</v>
      </c>
      <c r="D2422" s="1" t="s">
        <v>16</v>
      </c>
      <c r="E2422" s="1">
        <v>3</v>
      </c>
      <c r="F2422" s="1">
        <v>135.88</v>
      </c>
      <c r="G2422" s="1">
        <v>34.159999999999997</v>
      </c>
      <c r="H2422">
        <f t="shared" si="37"/>
        <v>407.64</v>
      </c>
    </row>
    <row r="2423" spans="1:8" x14ac:dyDescent="0.25">
      <c r="A2423" s="1" t="s">
        <v>2436</v>
      </c>
      <c r="B2423" s="5">
        <v>45758.875</v>
      </c>
      <c r="C2423" s="1" t="s">
        <v>8</v>
      </c>
      <c r="D2423" s="1" t="s">
        <v>37</v>
      </c>
      <c r="E2423" s="1">
        <v>15</v>
      </c>
      <c r="F2423" s="1">
        <v>217.14</v>
      </c>
      <c r="G2423" s="1">
        <v>43.84</v>
      </c>
      <c r="H2423">
        <f t="shared" si="37"/>
        <v>3257.1</v>
      </c>
    </row>
    <row r="2424" spans="1:8" x14ac:dyDescent="0.25">
      <c r="A2424" s="1" t="s">
        <v>2437</v>
      </c>
      <c r="B2424" s="5">
        <v>45758.916666666664</v>
      </c>
      <c r="C2424" s="1" t="s">
        <v>13</v>
      </c>
      <c r="D2424" s="1" t="s">
        <v>16</v>
      </c>
      <c r="E2424" s="1">
        <v>5</v>
      </c>
      <c r="F2424" s="1">
        <v>211.04</v>
      </c>
      <c r="G2424" s="1">
        <v>18.190000000000001</v>
      </c>
      <c r="H2424">
        <f t="shared" si="37"/>
        <v>1055.2</v>
      </c>
    </row>
    <row r="2425" spans="1:8" x14ac:dyDescent="0.25">
      <c r="A2425" s="1" t="s">
        <v>2438</v>
      </c>
      <c r="B2425" s="5">
        <v>45758.958333333336</v>
      </c>
      <c r="C2425" s="1" t="s">
        <v>13</v>
      </c>
      <c r="D2425" s="1" t="s">
        <v>19</v>
      </c>
      <c r="E2425" s="1">
        <v>12</v>
      </c>
      <c r="F2425" s="1">
        <v>269.14</v>
      </c>
      <c r="G2425" s="1">
        <v>25.26</v>
      </c>
      <c r="H2425">
        <f t="shared" si="37"/>
        <v>3229.68</v>
      </c>
    </row>
    <row r="2426" spans="1:8" x14ac:dyDescent="0.25">
      <c r="A2426" s="1" t="s">
        <v>2439</v>
      </c>
      <c r="B2426" s="5">
        <v>45759</v>
      </c>
      <c r="C2426" s="1" t="s">
        <v>8</v>
      </c>
      <c r="D2426" s="1" t="s">
        <v>19</v>
      </c>
      <c r="E2426" s="1">
        <v>5</v>
      </c>
      <c r="F2426" s="1">
        <v>137.84</v>
      </c>
      <c r="G2426" s="1">
        <v>15.27</v>
      </c>
      <c r="H2426">
        <f t="shared" si="37"/>
        <v>689.2</v>
      </c>
    </row>
    <row r="2427" spans="1:8" x14ac:dyDescent="0.25">
      <c r="A2427" s="1" t="s">
        <v>2440</v>
      </c>
      <c r="B2427" s="5">
        <v>45759.041666666664</v>
      </c>
      <c r="C2427" s="1" t="s">
        <v>8</v>
      </c>
      <c r="D2427" s="1" t="s">
        <v>16</v>
      </c>
      <c r="E2427" s="1">
        <v>3</v>
      </c>
      <c r="F2427" s="1">
        <v>49.22</v>
      </c>
      <c r="G2427" s="1">
        <v>21.26</v>
      </c>
      <c r="H2427">
        <f t="shared" si="37"/>
        <v>147.66</v>
      </c>
    </row>
    <row r="2428" spans="1:8" x14ac:dyDescent="0.25">
      <c r="A2428" s="1" t="s">
        <v>2441</v>
      </c>
      <c r="B2428" s="5">
        <v>45759.083333333336</v>
      </c>
      <c r="C2428" s="1" t="s">
        <v>8</v>
      </c>
      <c r="D2428" s="1" t="s">
        <v>9</v>
      </c>
      <c r="E2428" s="1">
        <v>9</v>
      </c>
      <c r="F2428" s="1">
        <v>78.540000000000006</v>
      </c>
      <c r="G2428" s="1">
        <v>5.99</v>
      </c>
      <c r="H2428">
        <f t="shared" si="37"/>
        <v>706.86</v>
      </c>
    </row>
    <row r="2429" spans="1:8" x14ac:dyDescent="0.25">
      <c r="A2429" s="1" t="s">
        <v>2442</v>
      </c>
      <c r="B2429" s="5">
        <v>45759.125</v>
      </c>
      <c r="C2429" s="1" t="s">
        <v>13</v>
      </c>
      <c r="D2429" s="1" t="s">
        <v>16</v>
      </c>
      <c r="E2429" s="1">
        <v>9</v>
      </c>
      <c r="F2429" s="1">
        <v>319.29000000000002</v>
      </c>
      <c r="G2429" s="1">
        <v>47.92</v>
      </c>
      <c r="H2429">
        <f t="shared" si="37"/>
        <v>2873.61</v>
      </c>
    </row>
    <row r="2430" spans="1:8" x14ac:dyDescent="0.25">
      <c r="A2430" s="1" t="s">
        <v>2443</v>
      </c>
      <c r="B2430" s="5">
        <v>45759.166666666664</v>
      </c>
      <c r="C2430" s="1" t="s">
        <v>13</v>
      </c>
      <c r="D2430" s="1" t="s">
        <v>37</v>
      </c>
      <c r="E2430" s="1">
        <v>7</v>
      </c>
      <c r="F2430" s="1">
        <v>25.27</v>
      </c>
      <c r="G2430" s="1">
        <v>23.72</v>
      </c>
      <c r="H2430">
        <f t="shared" si="37"/>
        <v>176.89</v>
      </c>
    </row>
    <row r="2431" spans="1:8" x14ac:dyDescent="0.25">
      <c r="A2431" s="1" t="s">
        <v>2444</v>
      </c>
      <c r="B2431" s="5">
        <v>45759.208333333336</v>
      </c>
      <c r="C2431" s="1" t="s">
        <v>8</v>
      </c>
      <c r="D2431" s="1" t="s">
        <v>9</v>
      </c>
      <c r="E2431" s="1">
        <v>2</v>
      </c>
      <c r="F2431" s="1">
        <v>387.62</v>
      </c>
      <c r="G2431" s="1">
        <v>40.5</v>
      </c>
      <c r="H2431">
        <f t="shared" si="37"/>
        <v>775.24</v>
      </c>
    </row>
    <row r="2432" spans="1:8" x14ac:dyDescent="0.25">
      <c r="A2432" s="1" t="s">
        <v>2445</v>
      </c>
      <c r="B2432" s="5">
        <v>45759.25</v>
      </c>
      <c r="C2432" s="1" t="s">
        <v>11</v>
      </c>
      <c r="D2432" s="1" t="s">
        <v>37</v>
      </c>
      <c r="E2432" s="1">
        <v>16</v>
      </c>
      <c r="F2432" s="1">
        <v>317.22000000000003</v>
      </c>
      <c r="G2432" s="1">
        <v>11.42</v>
      </c>
      <c r="H2432">
        <f t="shared" si="37"/>
        <v>5075.5200000000004</v>
      </c>
    </row>
    <row r="2433" spans="1:8" x14ac:dyDescent="0.25">
      <c r="A2433" s="1" t="s">
        <v>2446</v>
      </c>
      <c r="B2433" s="5">
        <v>45759.291666666664</v>
      </c>
      <c r="C2433" s="1" t="s">
        <v>11</v>
      </c>
      <c r="D2433" s="1" t="s">
        <v>16</v>
      </c>
      <c r="E2433" s="1">
        <v>9</v>
      </c>
      <c r="F2433" s="1">
        <v>349.23</v>
      </c>
      <c r="G2433" s="1">
        <v>41.56</v>
      </c>
      <c r="H2433">
        <f t="shared" si="37"/>
        <v>3143.07</v>
      </c>
    </row>
    <row r="2434" spans="1:8" x14ac:dyDescent="0.25">
      <c r="A2434" s="1" t="s">
        <v>2447</v>
      </c>
      <c r="B2434" s="5">
        <v>45759.333333333336</v>
      </c>
      <c r="C2434" s="1" t="s">
        <v>23</v>
      </c>
      <c r="D2434" s="1" t="s">
        <v>9</v>
      </c>
      <c r="E2434" s="1">
        <v>13</v>
      </c>
      <c r="F2434" s="1">
        <v>378.74</v>
      </c>
      <c r="G2434" s="1">
        <v>43.71</v>
      </c>
      <c r="H2434">
        <f t="shared" ref="H2434:H2497" si="38">E2434*F2434</f>
        <v>4923.62</v>
      </c>
    </row>
    <row r="2435" spans="1:8" x14ac:dyDescent="0.25">
      <c r="A2435" s="1" t="s">
        <v>2448</v>
      </c>
      <c r="B2435" s="5">
        <v>45759.375</v>
      </c>
      <c r="C2435" s="1" t="s">
        <v>8</v>
      </c>
      <c r="D2435" s="1" t="s">
        <v>37</v>
      </c>
      <c r="E2435" s="1">
        <v>19</v>
      </c>
      <c r="F2435" s="1">
        <v>68.819999999999993</v>
      </c>
      <c r="G2435" s="1">
        <v>37.200000000000003</v>
      </c>
      <c r="H2435">
        <f t="shared" si="38"/>
        <v>1307.58</v>
      </c>
    </row>
    <row r="2436" spans="1:8" x14ac:dyDescent="0.25">
      <c r="A2436" s="1" t="s">
        <v>2449</v>
      </c>
      <c r="B2436" s="5">
        <v>45759.416666666664</v>
      </c>
      <c r="C2436" s="1" t="s">
        <v>23</v>
      </c>
      <c r="D2436" s="1" t="s">
        <v>16</v>
      </c>
      <c r="E2436" s="1">
        <v>17</v>
      </c>
      <c r="F2436" s="1">
        <v>372.85</v>
      </c>
      <c r="G2436" s="1">
        <v>45.64</v>
      </c>
      <c r="H2436">
        <f t="shared" si="38"/>
        <v>6338.4500000000007</v>
      </c>
    </row>
    <row r="2437" spans="1:8" x14ac:dyDescent="0.25">
      <c r="A2437" s="1" t="s">
        <v>2450</v>
      </c>
      <c r="B2437" s="5">
        <v>45759.458333333336</v>
      </c>
      <c r="C2437" s="1" t="s">
        <v>11</v>
      </c>
      <c r="D2437" s="1" t="s">
        <v>16</v>
      </c>
      <c r="E2437" s="1">
        <v>6</v>
      </c>
      <c r="F2437" s="1">
        <v>234.77</v>
      </c>
      <c r="G2437" s="1">
        <v>12.52</v>
      </c>
      <c r="H2437">
        <f t="shared" si="38"/>
        <v>1408.6200000000001</v>
      </c>
    </row>
    <row r="2438" spans="1:8" x14ac:dyDescent="0.25">
      <c r="A2438" s="1" t="s">
        <v>2451</v>
      </c>
      <c r="B2438" s="5">
        <v>45759.5</v>
      </c>
      <c r="C2438" s="1" t="s">
        <v>23</v>
      </c>
      <c r="D2438" s="1" t="s">
        <v>9</v>
      </c>
      <c r="E2438" s="1">
        <v>4</v>
      </c>
      <c r="F2438" s="1">
        <v>400.26</v>
      </c>
      <c r="G2438" s="1">
        <v>26.44</v>
      </c>
      <c r="H2438">
        <f t="shared" si="38"/>
        <v>1601.04</v>
      </c>
    </row>
    <row r="2439" spans="1:8" x14ac:dyDescent="0.25">
      <c r="A2439" s="1" t="s">
        <v>2452</v>
      </c>
      <c r="B2439" s="5">
        <v>45759.541666666664</v>
      </c>
      <c r="C2439" s="1" t="s">
        <v>8</v>
      </c>
      <c r="D2439" s="1" t="s">
        <v>16</v>
      </c>
      <c r="E2439" s="1">
        <v>1</v>
      </c>
      <c r="F2439" s="1">
        <v>400.72</v>
      </c>
      <c r="G2439" s="1">
        <v>32.9</v>
      </c>
      <c r="H2439">
        <f t="shared" si="38"/>
        <v>400.72</v>
      </c>
    </row>
    <row r="2440" spans="1:8" x14ac:dyDescent="0.25">
      <c r="A2440" s="1" t="s">
        <v>2453</v>
      </c>
      <c r="B2440" s="5">
        <v>45759.583333333336</v>
      </c>
      <c r="C2440" s="1" t="s">
        <v>8</v>
      </c>
      <c r="D2440" s="1" t="s">
        <v>19</v>
      </c>
      <c r="E2440" s="1">
        <v>18</v>
      </c>
      <c r="F2440" s="1">
        <v>26.01</v>
      </c>
      <c r="G2440" s="1">
        <v>31.83</v>
      </c>
      <c r="H2440">
        <f t="shared" si="38"/>
        <v>468.18</v>
      </c>
    </row>
    <row r="2441" spans="1:8" x14ac:dyDescent="0.25">
      <c r="A2441" s="1" t="s">
        <v>2454</v>
      </c>
      <c r="B2441" s="5">
        <v>45759.625</v>
      </c>
      <c r="C2441" s="1" t="s">
        <v>8</v>
      </c>
      <c r="D2441" s="1" t="s">
        <v>37</v>
      </c>
      <c r="E2441" s="1">
        <v>19</v>
      </c>
      <c r="F2441" s="1">
        <v>181.85</v>
      </c>
      <c r="G2441" s="1">
        <v>43.75</v>
      </c>
      <c r="H2441">
        <f t="shared" si="38"/>
        <v>3455.15</v>
      </c>
    </row>
    <row r="2442" spans="1:8" x14ac:dyDescent="0.25">
      <c r="A2442" s="1" t="s">
        <v>2455</v>
      </c>
      <c r="B2442" s="5">
        <v>45759.666666666664</v>
      </c>
      <c r="C2442" s="1" t="s">
        <v>13</v>
      </c>
      <c r="D2442" s="1" t="s">
        <v>37</v>
      </c>
      <c r="E2442" s="1">
        <v>9</v>
      </c>
      <c r="F2442" s="1">
        <v>244.22</v>
      </c>
      <c r="G2442" s="1">
        <v>14.71</v>
      </c>
      <c r="H2442">
        <f t="shared" si="38"/>
        <v>2197.98</v>
      </c>
    </row>
    <row r="2443" spans="1:8" x14ac:dyDescent="0.25">
      <c r="A2443" s="1" t="s">
        <v>2456</v>
      </c>
      <c r="B2443" s="5">
        <v>45759.708333333336</v>
      </c>
      <c r="C2443" s="1" t="s">
        <v>23</v>
      </c>
      <c r="D2443" s="1" t="s">
        <v>16</v>
      </c>
      <c r="E2443" s="1">
        <v>13</v>
      </c>
      <c r="F2443" s="1">
        <v>310.25</v>
      </c>
      <c r="G2443" s="1">
        <v>12.9</v>
      </c>
      <c r="H2443">
        <f t="shared" si="38"/>
        <v>4033.25</v>
      </c>
    </row>
    <row r="2444" spans="1:8" x14ac:dyDescent="0.25">
      <c r="A2444" s="1" t="s">
        <v>2457</v>
      </c>
      <c r="B2444" s="5">
        <v>45759.75</v>
      </c>
      <c r="C2444" s="1" t="s">
        <v>11</v>
      </c>
      <c r="D2444" s="1" t="s">
        <v>16</v>
      </c>
      <c r="E2444" s="1">
        <v>8</v>
      </c>
      <c r="F2444" s="1">
        <v>139.85</v>
      </c>
      <c r="G2444" s="1">
        <v>16.399999999999999</v>
      </c>
      <c r="H2444">
        <f t="shared" si="38"/>
        <v>1118.8</v>
      </c>
    </row>
    <row r="2445" spans="1:8" x14ac:dyDescent="0.25">
      <c r="A2445" s="1" t="s">
        <v>2458</v>
      </c>
      <c r="B2445" s="5">
        <v>45759.791666666664</v>
      </c>
      <c r="C2445" s="1" t="s">
        <v>11</v>
      </c>
      <c r="D2445" s="1" t="s">
        <v>19</v>
      </c>
      <c r="E2445" s="1">
        <v>13</v>
      </c>
      <c r="F2445" s="1">
        <v>125.06</v>
      </c>
      <c r="G2445" s="1">
        <v>45.12</v>
      </c>
      <c r="H2445">
        <f t="shared" si="38"/>
        <v>1625.78</v>
      </c>
    </row>
    <row r="2446" spans="1:8" x14ac:dyDescent="0.25">
      <c r="A2446" s="1" t="s">
        <v>2459</v>
      </c>
      <c r="B2446" s="5">
        <v>45759.833333333336</v>
      </c>
      <c r="C2446" s="1" t="s">
        <v>11</v>
      </c>
      <c r="D2446" s="1" t="s">
        <v>9</v>
      </c>
      <c r="E2446" s="1">
        <v>15</v>
      </c>
      <c r="F2446" s="1">
        <v>181.16</v>
      </c>
      <c r="G2446" s="1">
        <v>47.35</v>
      </c>
      <c r="H2446">
        <f t="shared" si="38"/>
        <v>2717.4</v>
      </c>
    </row>
    <row r="2447" spans="1:8" x14ac:dyDescent="0.25">
      <c r="A2447" s="1" t="s">
        <v>2460</v>
      </c>
      <c r="B2447" s="5">
        <v>45759.875</v>
      </c>
      <c r="C2447" s="1" t="s">
        <v>13</v>
      </c>
      <c r="D2447" s="1" t="s">
        <v>16</v>
      </c>
      <c r="E2447" s="1">
        <v>11</v>
      </c>
      <c r="F2447" s="1">
        <v>233.16</v>
      </c>
      <c r="G2447" s="1">
        <v>30.63</v>
      </c>
      <c r="H2447">
        <f t="shared" si="38"/>
        <v>2564.7599999999998</v>
      </c>
    </row>
    <row r="2448" spans="1:8" x14ac:dyDescent="0.25">
      <c r="A2448" s="1" t="s">
        <v>2461</v>
      </c>
      <c r="B2448" s="5">
        <v>45759.916666666664</v>
      </c>
      <c r="C2448" s="1" t="s">
        <v>13</v>
      </c>
      <c r="D2448" s="1" t="s">
        <v>16</v>
      </c>
      <c r="E2448" s="1">
        <v>12</v>
      </c>
      <c r="F2448" s="1">
        <v>428.77</v>
      </c>
      <c r="G2448" s="1">
        <v>27.56</v>
      </c>
      <c r="H2448">
        <f t="shared" si="38"/>
        <v>5145.24</v>
      </c>
    </row>
    <row r="2449" spans="1:8" x14ac:dyDescent="0.25">
      <c r="A2449" s="1" t="s">
        <v>2462</v>
      </c>
      <c r="B2449" s="5">
        <v>45759.958333333336</v>
      </c>
      <c r="C2449" s="1" t="s">
        <v>8</v>
      </c>
      <c r="D2449" s="1" t="s">
        <v>16</v>
      </c>
      <c r="E2449" s="1">
        <v>14</v>
      </c>
      <c r="F2449" s="1">
        <v>346.64</v>
      </c>
      <c r="G2449" s="1">
        <v>32.24</v>
      </c>
      <c r="H2449">
        <f t="shared" si="38"/>
        <v>4852.96</v>
      </c>
    </row>
    <row r="2450" spans="1:8" x14ac:dyDescent="0.25">
      <c r="A2450" s="1" t="s">
        <v>2463</v>
      </c>
      <c r="B2450" s="5">
        <v>45760</v>
      </c>
      <c r="C2450" s="1" t="s">
        <v>11</v>
      </c>
      <c r="D2450" s="1" t="s">
        <v>16</v>
      </c>
      <c r="E2450" s="1">
        <v>4</v>
      </c>
      <c r="F2450" s="1">
        <v>202.04</v>
      </c>
      <c r="G2450" s="1">
        <v>32.729999999999997</v>
      </c>
      <c r="H2450">
        <f t="shared" si="38"/>
        <v>808.16</v>
      </c>
    </row>
    <row r="2451" spans="1:8" x14ac:dyDescent="0.25">
      <c r="A2451" s="1" t="s">
        <v>2464</v>
      </c>
      <c r="B2451" s="5">
        <v>45760.041666666664</v>
      </c>
      <c r="C2451" s="1" t="s">
        <v>13</v>
      </c>
      <c r="D2451" s="1" t="s">
        <v>37</v>
      </c>
      <c r="E2451" s="1">
        <v>1</v>
      </c>
      <c r="F2451" s="1">
        <v>39.119999999999997</v>
      </c>
      <c r="G2451" s="1">
        <v>12.66</v>
      </c>
      <c r="H2451">
        <f t="shared" si="38"/>
        <v>39.119999999999997</v>
      </c>
    </row>
    <row r="2452" spans="1:8" x14ac:dyDescent="0.25">
      <c r="A2452" s="1" t="s">
        <v>2465</v>
      </c>
      <c r="B2452" s="5">
        <v>45760.083333333336</v>
      </c>
      <c r="C2452" s="1" t="s">
        <v>8</v>
      </c>
      <c r="D2452" s="1" t="s">
        <v>16</v>
      </c>
      <c r="E2452" s="1">
        <v>4</v>
      </c>
      <c r="F2452" s="1">
        <v>88.72</v>
      </c>
      <c r="G2452" s="1">
        <v>35.89</v>
      </c>
      <c r="H2452">
        <f t="shared" si="38"/>
        <v>354.88</v>
      </c>
    </row>
    <row r="2453" spans="1:8" x14ac:dyDescent="0.25">
      <c r="A2453" s="1" t="s">
        <v>2466</v>
      </c>
      <c r="B2453" s="5">
        <v>45760.125</v>
      </c>
      <c r="C2453" s="1" t="s">
        <v>11</v>
      </c>
      <c r="D2453" s="1" t="s">
        <v>37</v>
      </c>
      <c r="E2453" s="1">
        <v>19</v>
      </c>
      <c r="F2453" s="1">
        <v>213.6</v>
      </c>
      <c r="G2453" s="1">
        <v>25.36</v>
      </c>
      <c r="H2453">
        <f t="shared" si="38"/>
        <v>4058.4</v>
      </c>
    </row>
    <row r="2454" spans="1:8" x14ac:dyDescent="0.25">
      <c r="A2454" s="1" t="s">
        <v>2467</v>
      </c>
      <c r="B2454" s="5">
        <v>45760.166666666664</v>
      </c>
      <c r="C2454" s="1" t="s">
        <v>23</v>
      </c>
      <c r="D2454" s="1" t="s">
        <v>16</v>
      </c>
      <c r="E2454" s="1">
        <v>9</v>
      </c>
      <c r="F2454" s="1">
        <v>369.11</v>
      </c>
      <c r="G2454" s="1">
        <v>28.28</v>
      </c>
      <c r="H2454">
        <f t="shared" si="38"/>
        <v>3321.9900000000002</v>
      </c>
    </row>
    <row r="2455" spans="1:8" x14ac:dyDescent="0.25">
      <c r="A2455" s="1" t="s">
        <v>2468</v>
      </c>
      <c r="B2455" s="5">
        <v>45760.208333333336</v>
      </c>
      <c r="C2455" s="1" t="s">
        <v>8</v>
      </c>
      <c r="D2455" s="1" t="s">
        <v>9</v>
      </c>
      <c r="E2455" s="1">
        <v>10</v>
      </c>
      <c r="F2455" s="1">
        <v>180.91</v>
      </c>
      <c r="G2455" s="1">
        <v>6.36</v>
      </c>
      <c r="H2455">
        <f t="shared" si="38"/>
        <v>1809.1</v>
      </c>
    </row>
    <row r="2456" spans="1:8" x14ac:dyDescent="0.25">
      <c r="A2456" s="1" t="s">
        <v>2469</v>
      </c>
      <c r="B2456" s="5">
        <v>45760.25</v>
      </c>
      <c r="C2456" s="1" t="s">
        <v>13</v>
      </c>
      <c r="D2456" s="1" t="s">
        <v>19</v>
      </c>
      <c r="E2456" s="1">
        <v>4</v>
      </c>
      <c r="F2456" s="1">
        <v>249.48</v>
      </c>
      <c r="G2456" s="1">
        <v>39.409999999999997</v>
      </c>
      <c r="H2456">
        <f t="shared" si="38"/>
        <v>997.92</v>
      </c>
    </row>
    <row r="2457" spans="1:8" x14ac:dyDescent="0.25">
      <c r="A2457" s="1" t="s">
        <v>2470</v>
      </c>
      <c r="B2457" s="5">
        <v>45760.291666666664</v>
      </c>
      <c r="C2457" s="1" t="s">
        <v>13</v>
      </c>
      <c r="D2457" s="1" t="s">
        <v>9</v>
      </c>
      <c r="E2457" s="1">
        <v>9</v>
      </c>
      <c r="F2457" s="1">
        <v>402.99</v>
      </c>
      <c r="G2457" s="1">
        <v>42.59</v>
      </c>
      <c r="H2457">
        <f t="shared" si="38"/>
        <v>3626.91</v>
      </c>
    </row>
    <row r="2458" spans="1:8" x14ac:dyDescent="0.25">
      <c r="A2458" s="1" t="s">
        <v>2471</v>
      </c>
      <c r="B2458" s="5">
        <v>45760.333333333336</v>
      </c>
      <c r="C2458" s="1" t="s">
        <v>8</v>
      </c>
      <c r="D2458" s="1" t="s">
        <v>16</v>
      </c>
      <c r="E2458" s="1">
        <v>13</v>
      </c>
      <c r="F2458" s="1">
        <v>412.54</v>
      </c>
      <c r="G2458" s="1">
        <v>32.869999999999997</v>
      </c>
      <c r="H2458">
        <f t="shared" si="38"/>
        <v>5363.02</v>
      </c>
    </row>
    <row r="2459" spans="1:8" x14ac:dyDescent="0.25">
      <c r="A2459" s="1" t="s">
        <v>2472</v>
      </c>
      <c r="B2459" s="5">
        <v>45760.375</v>
      </c>
      <c r="C2459" s="1" t="s">
        <v>8</v>
      </c>
      <c r="D2459" s="1" t="s">
        <v>16</v>
      </c>
      <c r="E2459" s="1">
        <v>12</v>
      </c>
      <c r="F2459" s="1">
        <v>109.25</v>
      </c>
      <c r="G2459" s="1">
        <v>38.69</v>
      </c>
      <c r="H2459">
        <f t="shared" si="38"/>
        <v>1311</v>
      </c>
    </row>
    <row r="2460" spans="1:8" x14ac:dyDescent="0.25">
      <c r="A2460" s="1" t="s">
        <v>2473</v>
      </c>
      <c r="B2460" s="5">
        <v>45760.416666666664</v>
      </c>
      <c r="C2460" s="1" t="s">
        <v>13</v>
      </c>
      <c r="D2460" s="1" t="s">
        <v>16</v>
      </c>
      <c r="E2460" s="1">
        <v>11</v>
      </c>
      <c r="F2460" s="1">
        <v>34.44</v>
      </c>
      <c r="G2460" s="1">
        <v>28.52</v>
      </c>
      <c r="H2460">
        <f t="shared" si="38"/>
        <v>378.84</v>
      </c>
    </row>
    <row r="2461" spans="1:8" x14ac:dyDescent="0.25">
      <c r="A2461" s="1" t="s">
        <v>2474</v>
      </c>
      <c r="B2461" s="5">
        <v>45760.458333333336</v>
      </c>
      <c r="C2461" s="1" t="s">
        <v>23</v>
      </c>
      <c r="D2461" s="1" t="s">
        <v>9</v>
      </c>
      <c r="E2461" s="1">
        <v>12</v>
      </c>
      <c r="F2461" s="1">
        <v>148.19999999999999</v>
      </c>
      <c r="G2461" s="1">
        <v>32.83</v>
      </c>
      <c r="H2461">
        <f t="shared" si="38"/>
        <v>1778.3999999999999</v>
      </c>
    </row>
    <row r="2462" spans="1:8" x14ac:dyDescent="0.25">
      <c r="A2462" s="1" t="s">
        <v>2475</v>
      </c>
      <c r="B2462" s="5">
        <v>45760.5</v>
      </c>
      <c r="C2462" s="1" t="s">
        <v>11</v>
      </c>
      <c r="D2462" s="1" t="s">
        <v>16</v>
      </c>
      <c r="E2462" s="1">
        <v>18</v>
      </c>
      <c r="F2462" s="1">
        <v>317.83</v>
      </c>
      <c r="G2462" s="1">
        <v>22.76</v>
      </c>
      <c r="H2462">
        <f t="shared" si="38"/>
        <v>5720.94</v>
      </c>
    </row>
    <row r="2463" spans="1:8" x14ac:dyDescent="0.25">
      <c r="A2463" s="1" t="s">
        <v>2476</v>
      </c>
      <c r="B2463" s="5">
        <v>45760.541666666664</v>
      </c>
      <c r="C2463" s="1" t="s">
        <v>23</v>
      </c>
      <c r="D2463" s="1" t="s">
        <v>9</v>
      </c>
      <c r="E2463" s="1">
        <v>12</v>
      </c>
      <c r="F2463" s="1">
        <v>428.76</v>
      </c>
      <c r="G2463" s="1">
        <v>40.630000000000003</v>
      </c>
      <c r="H2463">
        <f t="shared" si="38"/>
        <v>5145.12</v>
      </c>
    </row>
    <row r="2464" spans="1:8" x14ac:dyDescent="0.25">
      <c r="A2464" s="1" t="s">
        <v>2477</v>
      </c>
      <c r="B2464" s="5">
        <v>45760.583333333336</v>
      </c>
      <c r="C2464" s="1" t="s">
        <v>8</v>
      </c>
      <c r="D2464" s="1" t="s">
        <v>37</v>
      </c>
      <c r="E2464" s="1">
        <v>16</v>
      </c>
      <c r="F2464" s="1">
        <v>48.97</v>
      </c>
      <c r="G2464" s="1">
        <v>26.07</v>
      </c>
      <c r="H2464">
        <f t="shared" si="38"/>
        <v>783.52</v>
      </c>
    </row>
    <row r="2465" spans="1:8" x14ac:dyDescent="0.25">
      <c r="A2465" s="1" t="s">
        <v>2478</v>
      </c>
      <c r="B2465" s="5">
        <v>45760.625</v>
      </c>
      <c r="C2465" s="1" t="s">
        <v>23</v>
      </c>
      <c r="D2465" s="1" t="s">
        <v>19</v>
      </c>
      <c r="E2465" s="1">
        <v>5</v>
      </c>
      <c r="F2465" s="1">
        <v>27.88</v>
      </c>
      <c r="G2465" s="1">
        <v>35.61</v>
      </c>
      <c r="H2465">
        <f t="shared" si="38"/>
        <v>139.4</v>
      </c>
    </row>
    <row r="2466" spans="1:8" x14ac:dyDescent="0.25">
      <c r="A2466" s="1" t="s">
        <v>2479</v>
      </c>
      <c r="B2466" s="5">
        <v>45760.666666666664</v>
      </c>
      <c r="C2466" s="1" t="s">
        <v>13</v>
      </c>
      <c r="D2466" s="1" t="s">
        <v>19</v>
      </c>
      <c r="E2466" s="1">
        <v>12</v>
      </c>
      <c r="F2466" s="1">
        <v>399.66</v>
      </c>
      <c r="G2466" s="1">
        <v>32.96</v>
      </c>
      <c r="H2466">
        <f t="shared" si="38"/>
        <v>4795.92</v>
      </c>
    </row>
    <row r="2467" spans="1:8" x14ac:dyDescent="0.25">
      <c r="A2467" s="1" t="s">
        <v>2480</v>
      </c>
      <c r="B2467" s="5">
        <v>45760.708333333336</v>
      </c>
      <c r="C2467" s="1" t="s">
        <v>8</v>
      </c>
      <c r="D2467" s="1" t="s">
        <v>9</v>
      </c>
      <c r="E2467" s="1">
        <v>11</v>
      </c>
      <c r="F2467" s="1">
        <v>340.57</v>
      </c>
      <c r="G2467" s="1">
        <v>36.6</v>
      </c>
      <c r="H2467">
        <f t="shared" si="38"/>
        <v>3746.27</v>
      </c>
    </row>
    <row r="2468" spans="1:8" x14ac:dyDescent="0.25">
      <c r="A2468" s="1" t="s">
        <v>2481</v>
      </c>
      <c r="B2468" s="5">
        <v>45760.75</v>
      </c>
      <c r="C2468" s="1" t="s">
        <v>11</v>
      </c>
      <c r="D2468" s="1" t="s">
        <v>37</v>
      </c>
      <c r="E2468" s="1">
        <v>9</v>
      </c>
      <c r="F2468" s="1">
        <v>446.63</v>
      </c>
      <c r="G2468" s="1">
        <v>40.33</v>
      </c>
      <c r="H2468">
        <f t="shared" si="38"/>
        <v>4019.67</v>
      </c>
    </row>
    <row r="2469" spans="1:8" x14ac:dyDescent="0.25">
      <c r="A2469" s="1" t="s">
        <v>2482</v>
      </c>
      <c r="B2469" s="5">
        <v>45760.791666666664</v>
      </c>
      <c r="C2469" s="1" t="s">
        <v>13</v>
      </c>
      <c r="D2469" s="1" t="s">
        <v>9</v>
      </c>
      <c r="E2469" s="1">
        <v>18</v>
      </c>
      <c r="F2469" s="1">
        <v>187.91</v>
      </c>
      <c r="G2469" s="1">
        <v>28.07</v>
      </c>
      <c r="H2469">
        <f t="shared" si="38"/>
        <v>3382.38</v>
      </c>
    </row>
    <row r="2470" spans="1:8" x14ac:dyDescent="0.25">
      <c r="A2470" s="1" t="s">
        <v>2483</v>
      </c>
      <c r="B2470" s="5">
        <v>45760.833333333336</v>
      </c>
      <c r="C2470" s="1" t="s">
        <v>13</v>
      </c>
      <c r="D2470" s="1" t="s">
        <v>37</v>
      </c>
      <c r="E2470" s="1">
        <v>3</v>
      </c>
      <c r="F2470" s="1">
        <v>196.27</v>
      </c>
      <c r="G2470" s="1">
        <v>41.59</v>
      </c>
      <c r="H2470">
        <f t="shared" si="38"/>
        <v>588.81000000000006</v>
      </c>
    </row>
    <row r="2471" spans="1:8" x14ac:dyDescent="0.25">
      <c r="A2471" s="1" t="s">
        <v>2484</v>
      </c>
      <c r="B2471" s="5">
        <v>45760.875</v>
      </c>
      <c r="C2471" s="1" t="s">
        <v>11</v>
      </c>
      <c r="D2471" s="1" t="s">
        <v>16</v>
      </c>
      <c r="E2471" s="1">
        <v>17</v>
      </c>
      <c r="F2471" s="1">
        <v>90.37</v>
      </c>
      <c r="G2471" s="1">
        <v>27.38</v>
      </c>
      <c r="H2471">
        <f t="shared" si="38"/>
        <v>1536.29</v>
      </c>
    </row>
    <row r="2472" spans="1:8" x14ac:dyDescent="0.25">
      <c r="A2472" s="1" t="s">
        <v>2485</v>
      </c>
      <c r="B2472" s="5">
        <v>45760.916666666664</v>
      </c>
      <c r="C2472" s="1" t="s">
        <v>11</v>
      </c>
      <c r="D2472" s="1" t="s">
        <v>37</v>
      </c>
      <c r="E2472" s="1">
        <v>14</v>
      </c>
      <c r="F2472" s="1">
        <v>65.84</v>
      </c>
      <c r="G2472" s="1">
        <v>48.05</v>
      </c>
      <c r="H2472">
        <f t="shared" si="38"/>
        <v>921.76</v>
      </c>
    </row>
    <row r="2473" spans="1:8" x14ac:dyDescent="0.25">
      <c r="A2473" s="1" t="s">
        <v>2486</v>
      </c>
      <c r="B2473" s="5">
        <v>45760.958333333336</v>
      </c>
      <c r="C2473" s="1" t="s">
        <v>23</v>
      </c>
      <c r="D2473" s="1" t="s">
        <v>37</v>
      </c>
      <c r="E2473" s="1">
        <v>1</v>
      </c>
      <c r="F2473" s="1">
        <v>266.95</v>
      </c>
      <c r="G2473" s="1">
        <v>38.869999999999997</v>
      </c>
      <c r="H2473">
        <f t="shared" si="38"/>
        <v>266.95</v>
      </c>
    </row>
    <row r="2474" spans="1:8" x14ac:dyDescent="0.25">
      <c r="A2474" s="1" t="s">
        <v>2487</v>
      </c>
      <c r="B2474" s="5">
        <v>45761</v>
      </c>
      <c r="C2474" s="1" t="s">
        <v>8</v>
      </c>
      <c r="D2474" s="1" t="s">
        <v>37</v>
      </c>
      <c r="E2474" s="1">
        <v>17</v>
      </c>
      <c r="F2474" s="1">
        <v>173.78</v>
      </c>
      <c r="G2474" s="1">
        <v>12.7</v>
      </c>
      <c r="H2474">
        <f t="shared" si="38"/>
        <v>2954.26</v>
      </c>
    </row>
    <row r="2475" spans="1:8" x14ac:dyDescent="0.25">
      <c r="A2475" s="1" t="s">
        <v>2488</v>
      </c>
      <c r="B2475" s="5">
        <v>45761.041666666664</v>
      </c>
      <c r="C2475" s="1" t="s">
        <v>11</v>
      </c>
      <c r="D2475" s="1" t="s">
        <v>19</v>
      </c>
      <c r="E2475" s="1">
        <v>8</v>
      </c>
      <c r="F2475" s="1">
        <v>50.4</v>
      </c>
      <c r="G2475" s="1">
        <v>42.33</v>
      </c>
      <c r="H2475">
        <f t="shared" si="38"/>
        <v>403.2</v>
      </c>
    </row>
    <row r="2476" spans="1:8" x14ac:dyDescent="0.25">
      <c r="A2476" s="1" t="s">
        <v>2489</v>
      </c>
      <c r="B2476" s="5">
        <v>45761.083333333336</v>
      </c>
      <c r="C2476" s="1" t="s">
        <v>11</v>
      </c>
      <c r="D2476" s="1" t="s">
        <v>37</v>
      </c>
      <c r="E2476" s="1">
        <v>5</v>
      </c>
      <c r="F2476" s="1">
        <v>400.9</v>
      </c>
      <c r="G2476" s="1">
        <v>29.82</v>
      </c>
      <c r="H2476">
        <f t="shared" si="38"/>
        <v>2004.5</v>
      </c>
    </row>
    <row r="2477" spans="1:8" x14ac:dyDescent="0.25">
      <c r="A2477" s="1" t="s">
        <v>2490</v>
      </c>
      <c r="B2477" s="5">
        <v>45761.125</v>
      </c>
      <c r="C2477" s="1" t="s">
        <v>8</v>
      </c>
      <c r="D2477" s="1" t="s">
        <v>16</v>
      </c>
      <c r="E2477" s="1">
        <v>5</v>
      </c>
      <c r="F2477" s="1">
        <v>101.69</v>
      </c>
      <c r="G2477" s="1">
        <v>49.3</v>
      </c>
      <c r="H2477">
        <f t="shared" si="38"/>
        <v>508.45</v>
      </c>
    </row>
    <row r="2478" spans="1:8" x14ac:dyDescent="0.25">
      <c r="A2478" s="1" t="s">
        <v>2491</v>
      </c>
      <c r="B2478" s="5">
        <v>45761.166666666664</v>
      </c>
      <c r="C2478" s="1" t="s">
        <v>11</v>
      </c>
      <c r="D2478" s="1" t="s">
        <v>16</v>
      </c>
      <c r="E2478" s="1">
        <v>9</v>
      </c>
      <c r="F2478" s="1">
        <v>340.76</v>
      </c>
      <c r="G2478" s="1">
        <v>37.35</v>
      </c>
      <c r="H2478">
        <f t="shared" si="38"/>
        <v>3066.84</v>
      </c>
    </row>
    <row r="2479" spans="1:8" x14ac:dyDescent="0.25">
      <c r="A2479" s="1" t="s">
        <v>2492</v>
      </c>
      <c r="B2479" s="5">
        <v>45761.208333333336</v>
      </c>
      <c r="C2479" s="1" t="s">
        <v>11</v>
      </c>
      <c r="D2479" s="1" t="s">
        <v>16</v>
      </c>
      <c r="E2479" s="1">
        <v>3</v>
      </c>
      <c r="F2479" s="1">
        <v>138.13</v>
      </c>
      <c r="G2479" s="1">
        <v>8.8000000000000007</v>
      </c>
      <c r="H2479">
        <f t="shared" si="38"/>
        <v>414.39</v>
      </c>
    </row>
    <row r="2480" spans="1:8" x14ac:dyDescent="0.25">
      <c r="A2480" s="1" t="s">
        <v>2493</v>
      </c>
      <c r="B2480" s="5">
        <v>45761.25</v>
      </c>
      <c r="C2480" s="1" t="s">
        <v>23</v>
      </c>
      <c r="D2480" s="1" t="s">
        <v>37</v>
      </c>
      <c r="E2480" s="1">
        <v>19</v>
      </c>
      <c r="F2480" s="1">
        <v>368.71</v>
      </c>
      <c r="G2480" s="1">
        <v>22.77</v>
      </c>
      <c r="H2480">
        <f t="shared" si="38"/>
        <v>7005.49</v>
      </c>
    </row>
    <row r="2481" spans="1:8" x14ac:dyDescent="0.25">
      <c r="A2481" s="1" t="s">
        <v>2494</v>
      </c>
      <c r="B2481" s="5">
        <v>45761.291666666664</v>
      </c>
      <c r="C2481" s="1" t="s">
        <v>13</v>
      </c>
      <c r="D2481" s="1" t="s">
        <v>9</v>
      </c>
      <c r="E2481" s="1">
        <v>9</v>
      </c>
      <c r="F2481" s="1">
        <v>66.94</v>
      </c>
      <c r="G2481" s="1">
        <v>28.28</v>
      </c>
      <c r="H2481">
        <f t="shared" si="38"/>
        <v>602.46</v>
      </c>
    </row>
    <row r="2482" spans="1:8" x14ac:dyDescent="0.25">
      <c r="A2482" s="1" t="s">
        <v>2495</v>
      </c>
      <c r="B2482" s="5">
        <v>45761.333333333336</v>
      </c>
      <c r="C2482" s="1" t="s">
        <v>13</v>
      </c>
      <c r="D2482" s="1" t="s">
        <v>9</v>
      </c>
      <c r="E2482" s="1">
        <v>18</v>
      </c>
      <c r="F2482" s="1">
        <v>344.01</v>
      </c>
      <c r="G2482" s="1">
        <v>42.76</v>
      </c>
      <c r="H2482">
        <f t="shared" si="38"/>
        <v>6192.18</v>
      </c>
    </row>
    <row r="2483" spans="1:8" x14ac:dyDescent="0.25">
      <c r="A2483" s="1" t="s">
        <v>2496</v>
      </c>
      <c r="B2483" s="5">
        <v>45761.375</v>
      </c>
      <c r="C2483" s="1" t="s">
        <v>13</v>
      </c>
      <c r="D2483" s="1" t="s">
        <v>16</v>
      </c>
      <c r="E2483" s="1">
        <v>16</v>
      </c>
      <c r="F2483" s="1">
        <v>58.13</v>
      </c>
      <c r="G2483" s="1">
        <v>37.82</v>
      </c>
      <c r="H2483">
        <f t="shared" si="38"/>
        <v>930.08</v>
      </c>
    </row>
    <row r="2484" spans="1:8" x14ac:dyDescent="0.25">
      <c r="A2484" s="1" t="s">
        <v>2497</v>
      </c>
      <c r="B2484" s="5">
        <v>45761.416666666664</v>
      </c>
      <c r="C2484" s="1" t="s">
        <v>13</v>
      </c>
      <c r="D2484" s="1" t="s">
        <v>19</v>
      </c>
      <c r="E2484" s="1">
        <v>1</v>
      </c>
      <c r="F2484" s="1">
        <v>209.68</v>
      </c>
      <c r="G2484" s="1">
        <v>21.62</v>
      </c>
      <c r="H2484">
        <f t="shared" si="38"/>
        <v>209.68</v>
      </c>
    </row>
    <row r="2485" spans="1:8" x14ac:dyDescent="0.25">
      <c r="A2485" s="1" t="s">
        <v>2498</v>
      </c>
      <c r="B2485" s="5">
        <v>45761.458333333336</v>
      </c>
      <c r="C2485" s="1" t="s">
        <v>11</v>
      </c>
      <c r="D2485" s="1" t="s">
        <v>9</v>
      </c>
      <c r="E2485" s="1">
        <v>2</v>
      </c>
      <c r="F2485" s="1">
        <v>334.42</v>
      </c>
      <c r="G2485" s="1">
        <v>34.4</v>
      </c>
      <c r="H2485">
        <f t="shared" si="38"/>
        <v>668.84</v>
      </c>
    </row>
    <row r="2486" spans="1:8" x14ac:dyDescent="0.25">
      <c r="A2486" s="1" t="s">
        <v>2499</v>
      </c>
      <c r="B2486" s="5">
        <v>45761.5</v>
      </c>
      <c r="C2486" s="1" t="s">
        <v>8</v>
      </c>
      <c r="D2486" s="1" t="s">
        <v>37</v>
      </c>
      <c r="E2486" s="1">
        <v>14</v>
      </c>
      <c r="F2486" s="1">
        <v>90.76</v>
      </c>
      <c r="G2486" s="1">
        <v>30.96</v>
      </c>
      <c r="H2486">
        <f t="shared" si="38"/>
        <v>1270.6400000000001</v>
      </c>
    </row>
    <row r="2487" spans="1:8" x14ac:dyDescent="0.25">
      <c r="A2487" s="1" t="s">
        <v>2500</v>
      </c>
      <c r="B2487" s="5">
        <v>45761.541666666664</v>
      </c>
      <c r="C2487" s="1" t="s">
        <v>8</v>
      </c>
      <c r="D2487" s="1" t="s">
        <v>9</v>
      </c>
      <c r="E2487" s="1">
        <v>14</v>
      </c>
      <c r="F2487" s="1">
        <v>139.62</v>
      </c>
      <c r="G2487" s="1">
        <v>10.67</v>
      </c>
      <c r="H2487">
        <f t="shared" si="38"/>
        <v>1954.68</v>
      </c>
    </row>
    <row r="2488" spans="1:8" x14ac:dyDescent="0.25">
      <c r="A2488" s="1" t="s">
        <v>2501</v>
      </c>
      <c r="B2488" s="5">
        <v>45761.583333333336</v>
      </c>
      <c r="C2488" s="1" t="s">
        <v>23</v>
      </c>
      <c r="D2488" s="1" t="s">
        <v>16</v>
      </c>
      <c r="E2488" s="1">
        <v>1</v>
      </c>
      <c r="F2488" s="1">
        <v>391.24</v>
      </c>
      <c r="G2488" s="1">
        <v>15.57</v>
      </c>
      <c r="H2488">
        <f t="shared" si="38"/>
        <v>391.24</v>
      </c>
    </row>
    <row r="2489" spans="1:8" x14ac:dyDescent="0.25">
      <c r="A2489" s="1" t="s">
        <v>2502</v>
      </c>
      <c r="B2489" s="5">
        <v>45761.625</v>
      </c>
      <c r="C2489" s="1" t="s">
        <v>23</v>
      </c>
      <c r="D2489" s="1" t="s">
        <v>19</v>
      </c>
      <c r="E2489" s="1">
        <v>16</v>
      </c>
      <c r="F2489" s="1">
        <v>400.08</v>
      </c>
      <c r="G2489" s="1">
        <v>20.350000000000001</v>
      </c>
      <c r="H2489">
        <f t="shared" si="38"/>
        <v>6401.28</v>
      </c>
    </row>
    <row r="2490" spans="1:8" x14ac:dyDescent="0.25">
      <c r="A2490" s="1" t="s">
        <v>2503</v>
      </c>
      <c r="B2490" s="5">
        <v>45761.666666666664</v>
      </c>
      <c r="C2490" s="1" t="s">
        <v>11</v>
      </c>
      <c r="D2490" s="1" t="s">
        <v>9</v>
      </c>
      <c r="E2490" s="1">
        <v>15</v>
      </c>
      <c r="F2490" s="1">
        <v>35.020000000000003</v>
      </c>
      <c r="G2490" s="1">
        <v>13.8</v>
      </c>
      <c r="H2490">
        <f t="shared" si="38"/>
        <v>525.30000000000007</v>
      </c>
    </row>
    <row r="2491" spans="1:8" x14ac:dyDescent="0.25">
      <c r="A2491" s="1" t="s">
        <v>2504</v>
      </c>
      <c r="B2491" s="5">
        <v>45761.708333333336</v>
      </c>
      <c r="C2491" s="1" t="s">
        <v>8</v>
      </c>
      <c r="D2491" s="1" t="s">
        <v>9</v>
      </c>
      <c r="E2491" s="1">
        <v>15</v>
      </c>
      <c r="F2491" s="1">
        <v>88.54</v>
      </c>
      <c r="G2491" s="1">
        <v>11.76</v>
      </c>
      <c r="H2491">
        <f t="shared" si="38"/>
        <v>1328.1000000000001</v>
      </c>
    </row>
    <row r="2492" spans="1:8" x14ac:dyDescent="0.25">
      <c r="A2492" s="1" t="s">
        <v>2505</v>
      </c>
      <c r="B2492" s="5">
        <v>45761.75</v>
      </c>
      <c r="C2492" s="1" t="s">
        <v>8</v>
      </c>
      <c r="D2492" s="1" t="s">
        <v>16</v>
      </c>
      <c r="E2492" s="1">
        <v>12</v>
      </c>
      <c r="F2492" s="1">
        <v>66.540000000000006</v>
      </c>
      <c r="G2492" s="1">
        <v>7.62</v>
      </c>
      <c r="H2492">
        <f t="shared" si="38"/>
        <v>798.48</v>
      </c>
    </row>
    <row r="2493" spans="1:8" x14ac:dyDescent="0.25">
      <c r="A2493" s="1" t="s">
        <v>2506</v>
      </c>
      <c r="B2493" s="5">
        <v>45761.791666666664</v>
      </c>
      <c r="C2493" s="1" t="s">
        <v>13</v>
      </c>
      <c r="D2493" s="1" t="s">
        <v>19</v>
      </c>
      <c r="E2493" s="1">
        <v>16</v>
      </c>
      <c r="F2493" s="1">
        <v>93.58</v>
      </c>
      <c r="G2493" s="1">
        <v>44.29</v>
      </c>
      <c r="H2493">
        <f t="shared" si="38"/>
        <v>1497.28</v>
      </c>
    </row>
    <row r="2494" spans="1:8" x14ac:dyDescent="0.25">
      <c r="A2494" s="1" t="s">
        <v>2507</v>
      </c>
      <c r="B2494" s="5">
        <v>45761.833333333336</v>
      </c>
      <c r="C2494" s="1" t="s">
        <v>11</v>
      </c>
      <c r="D2494" s="1" t="s">
        <v>19</v>
      </c>
      <c r="E2494" s="1">
        <v>14</v>
      </c>
      <c r="F2494" s="1">
        <v>437.05</v>
      </c>
      <c r="G2494" s="1">
        <v>18</v>
      </c>
      <c r="H2494">
        <f t="shared" si="38"/>
        <v>6118.7</v>
      </c>
    </row>
    <row r="2495" spans="1:8" x14ac:dyDescent="0.25">
      <c r="A2495" s="1" t="s">
        <v>2508</v>
      </c>
      <c r="B2495" s="5">
        <v>45761.875</v>
      </c>
      <c r="C2495" s="1" t="s">
        <v>11</v>
      </c>
      <c r="D2495" s="1" t="s">
        <v>16</v>
      </c>
      <c r="E2495" s="1">
        <v>15</v>
      </c>
      <c r="F2495" s="1">
        <v>255.19</v>
      </c>
      <c r="G2495" s="1">
        <v>18.059999999999999</v>
      </c>
      <c r="H2495">
        <f t="shared" si="38"/>
        <v>3827.85</v>
      </c>
    </row>
    <row r="2496" spans="1:8" x14ac:dyDescent="0.25">
      <c r="A2496" s="1" t="s">
        <v>2509</v>
      </c>
      <c r="B2496" s="5">
        <v>45761.916666666664</v>
      </c>
      <c r="C2496" s="1" t="s">
        <v>13</v>
      </c>
      <c r="D2496" s="1" t="s">
        <v>37</v>
      </c>
      <c r="E2496" s="1">
        <v>15</v>
      </c>
      <c r="F2496" s="1">
        <v>218.89</v>
      </c>
      <c r="G2496" s="1">
        <v>14.28</v>
      </c>
      <c r="H2496">
        <f t="shared" si="38"/>
        <v>3283.35</v>
      </c>
    </row>
    <row r="2497" spans="1:8" x14ac:dyDescent="0.25">
      <c r="A2497" s="1" t="s">
        <v>2510</v>
      </c>
      <c r="B2497" s="5">
        <v>45761.958333333336</v>
      </c>
      <c r="C2497" s="1" t="s">
        <v>11</v>
      </c>
      <c r="D2497" s="1" t="s">
        <v>9</v>
      </c>
      <c r="E2497" s="1">
        <v>19</v>
      </c>
      <c r="F2497" s="1">
        <v>443.25</v>
      </c>
      <c r="G2497" s="1">
        <v>26.39</v>
      </c>
      <c r="H2497">
        <f t="shared" si="38"/>
        <v>8421.75</v>
      </c>
    </row>
    <row r="2498" spans="1:8" x14ac:dyDescent="0.25">
      <c r="A2498" s="1" t="s">
        <v>2511</v>
      </c>
      <c r="B2498" s="5">
        <v>45762</v>
      </c>
      <c r="C2498" s="1" t="s">
        <v>11</v>
      </c>
      <c r="D2498" s="1" t="s">
        <v>37</v>
      </c>
      <c r="E2498" s="1">
        <v>8</v>
      </c>
      <c r="F2498" s="1">
        <v>257.5</v>
      </c>
      <c r="G2498" s="1">
        <v>28.14</v>
      </c>
      <c r="H2498">
        <f t="shared" ref="H2498:H2561" si="39">E2498*F2498</f>
        <v>2060</v>
      </c>
    </row>
    <row r="2499" spans="1:8" x14ac:dyDescent="0.25">
      <c r="A2499" s="1" t="s">
        <v>2512</v>
      </c>
      <c r="B2499" s="5">
        <v>45762.041666666664</v>
      </c>
      <c r="C2499" s="1" t="s">
        <v>23</v>
      </c>
      <c r="D2499" s="1" t="s">
        <v>9</v>
      </c>
      <c r="E2499" s="1">
        <v>2</v>
      </c>
      <c r="F2499" s="1">
        <v>302.76</v>
      </c>
      <c r="G2499" s="1">
        <v>14.37</v>
      </c>
      <c r="H2499">
        <f t="shared" si="39"/>
        <v>605.52</v>
      </c>
    </row>
    <row r="2500" spans="1:8" x14ac:dyDescent="0.25">
      <c r="A2500" s="1" t="s">
        <v>2513</v>
      </c>
      <c r="B2500" s="5">
        <v>45762.083333333336</v>
      </c>
      <c r="C2500" s="1" t="s">
        <v>8</v>
      </c>
      <c r="D2500" s="1" t="s">
        <v>9</v>
      </c>
      <c r="E2500" s="1">
        <v>2</v>
      </c>
      <c r="F2500" s="1">
        <v>160.09</v>
      </c>
      <c r="G2500" s="1">
        <v>32.39</v>
      </c>
      <c r="H2500">
        <f t="shared" si="39"/>
        <v>320.18</v>
      </c>
    </row>
    <row r="2501" spans="1:8" x14ac:dyDescent="0.25">
      <c r="A2501" s="1" t="s">
        <v>2514</v>
      </c>
      <c r="B2501" s="5">
        <v>45762.125</v>
      </c>
      <c r="C2501" s="1" t="s">
        <v>11</v>
      </c>
      <c r="D2501" s="1" t="s">
        <v>37</v>
      </c>
      <c r="E2501" s="1">
        <v>10</v>
      </c>
      <c r="F2501" s="1">
        <v>181.53</v>
      </c>
      <c r="G2501" s="1">
        <v>37.53</v>
      </c>
      <c r="H2501">
        <f t="shared" si="39"/>
        <v>1815.3</v>
      </c>
    </row>
    <row r="2502" spans="1:8" x14ac:dyDescent="0.25">
      <c r="A2502" s="1" t="s">
        <v>2515</v>
      </c>
      <c r="B2502" s="5">
        <v>45762.166666666664</v>
      </c>
      <c r="C2502" s="1" t="s">
        <v>23</v>
      </c>
      <c r="D2502" s="1" t="s">
        <v>16</v>
      </c>
      <c r="E2502" s="1">
        <v>3</v>
      </c>
      <c r="F2502" s="1">
        <v>273.77</v>
      </c>
      <c r="G2502" s="1">
        <v>21.82</v>
      </c>
      <c r="H2502">
        <f t="shared" si="39"/>
        <v>821.31</v>
      </c>
    </row>
    <row r="2503" spans="1:8" x14ac:dyDescent="0.25">
      <c r="A2503" s="1" t="s">
        <v>2516</v>
      </c>
      <c r="B2503" s="5">
        <v>45762.208333333336</v>
      </c>
      <c r="C2503" s="1" t="s">
        <v>8</v>
      </c>
      <c r="D2503" s="1" t="s">
        <v>16</v>
      </c>
      <c r="E2503" s="1">
        <v>17</v>
      </c>
      <c r="F2503" s="1">
        <v>45.82</v>
      </c>
      <c r="G2503" s="1">
        <v>31.35</v>
      </c>
      <c r="H2503">
        <f t="shared" si="39"/>
        <v>778.94</v>
      </c>
    </row>
    <row r="2504" spans="1:8" x14ac:dyDescent="0.25">
      <c r="A2504" s="1" t="s">
        <v>2517</v>
      </c>
      <c r="B2504" s="5">
        <v>45762.25</v>
      </c>
      <c r="C2504" s="1" t="s">
        <v>13</v>
      </c>
      <c r="D2504" s="1" t="s">
        <v>9</v>
      </c>
      <c r="E2504" s="1">
        <v>8</v>
      </c>
      <c r="F2504" s="1">
        <v>126.68</v>
      </c>
      <c r="G2504" s="1">
        <v>27.6</v>
      </c>
      <c r="H2504">
        <f t="shared" si="39"/>
        <v>1013.44</v>
      </c>
    </row>
    <row r="2505" spans="1:8" x14ac:dyDescent="0.25">
      <c r="A2505" s="1" t="s">
        <v>2518</v>
      </c>
      <c r="B2505" s="5">
        <v>45762.291666666664</v>
      </c>
      <c r="C2505" s="1" t="s">
        <v>23</v>
      </c>
      <c r="D2505" s="1" t="s">
        <v>16</v>
      </c>
      <c r="E2505" s="1">
        <v>4</v>
      </c>
      <c r="F2505" s="1">
        <v>101.01</v>
      </c>
      <c r="G2505" s="1">
        <v>13.8</v>
      </c>
      <c r="H2505">
        <f t="shared" si="39"/>
        <v>404.04</v>
      </c>
    </row>
    <row r="2506" spans="1:8" x14ac:dyDescent="0.25">
      <c r="A2506" s="1" t="s">
        <v>2519</v>
      </c>
      <c r="B2506" s="5">
        <v>45762.333333333336</v>
      </c>
      <c r="C2506" s="1" t="s">
        <v>23</v>
      </c>
      <c r="D2506" s="1" t="s">
        <v>9</v>
      </c>
      <c r="E2506" s="1">
        <v>14</v>
      </c>
      <c r="F2506" s="1">
        <v>22.41</v>
      </c>
      <c r="G2506" s="1">
        <v>37.85</v>
      </c>
      <c r="H2506">
        <f t="shared" si="39"/>
        <v>313.74</v>
      </c>
    </row>
    <row r="2507" spans="1:8" x14ac:dyDescent="0.25">
      <c r="A2507" s="1" t="s">
        <v>2520</v>
      </c>
      <c r="B2507" s="5">
        <v>45762.375</v>
      </c>
      <c r="C2507" s="1" t="s">
        <v>8</v>
      </c>
      <c r="D2507" s="1" t="s">
        <v>16</v>
      </c>
      <c r="E2507" s="1">
        <v>10</v>
      </c>
      <c r="F2507" s="1">
        <v>248.78</v>
      </c>
      <c r="G2507" s="1">
        <v>41.07</v>
      </c>
      <c r="H2507">
        <f t="shared" si="39"/>
        <v>2487.8000000000002</v>
      </c>
    </row>
    <row r="2508" spans="1:8" x14ac:dyDescent="0.25">
      <c r="A2508" s="1" t="s">
        <v>2521</v>
      </c>
      <c r="B2508" s="5">
        <v>45762.416666666664</v>
      </c>
      <c r="C2508" s="1" t="s">
        <v>13</v>
      </c>
      <c r="D2508" s="1" t="s">
        <v>9</v>
      </c>
      <c r="E2508" s="1">
        <v>1</v>
      </c>
      <c r="F2508" s="1">
        <v>259.27999999999997</v>
      </c>
      <c r="G2508" s="1">
        <v>34.200000000000003</v>
      </c>
      <c r="H2508">
        <f t="shared" si="39"/>
        <v>259.27999999999997</v>
      </c>
    </row>
    <row r="2509" spans="1:8" x14ac:dyDescent="0.25">
      <c r="A2509" s="1" t="s">
        <v>2522</v>
      </c>
      <c r="B2509" s="5">
        <v>45762.458333333336</v>
      </c>
      <c r="C2509" s="1" t="s">
        <v>23</v>
      </c>
      <c r="D2509" s="1" t="s">
        <v>16</v>
      </c>
      <c r="E2509" s="1">
        <v>4</v>
      </c>
      <c r="F2509" s="1">
        <v>182.32</v>
      </c>
      <c r="G2509" s="1">
        <v>19.579999999999998</v>
      </c>
      <c r="H2509">
        <f t="shared" si="39"/>
        <v>729.28</v>
      </c>
    </row>
    <row r="2510" spans="1:8" x14ac:dyDescent="0.25">
      <c r="A2510" s="1" t="s">
        <v>2523</v>
      </c>
      <c r="B2510" s="5">
        <v>45762.5</v>
      </c>
      <c r="C2510" s="1" t="s">
        <v>11</v>
      </c>
      <c r="D2510" s="1" t="s">
        <v>19</v>
      </c>
      <c r="E2510" s="1">
        <v>1</v>
      </c>
      <c r="F2510" s="1">
        <v>132.26</v>
      </c>
      <c r="G2510" s="1">
        <v>46.71</v>
      </c>
      <c r="H2510">
        <f t="shared" si="39"/>
        <v>132.26</v>
      </c>
    </row>
    <row r="2511" spans="1:8" x14ac:dyDescent="0.25">
      <c r="A2511" s="1" t="s">
        <v>2524</v>
      </c>
      <c r="B2511" s="5">
        <v>45762.541666666664</v>
      </c>
      <c r="C2511" s="1" t="s">
        <v>11</v>
      </c>
      <c r="D2511" s="1" t="s">
        <v>37</v>
      </c>
      <c r="E2511" s="1">
        <v>17</v>
      </c>
      <c r="F2511" s="1">
        <v>298.82</v>
      </c>
      <c r="G2511" s="1">
        <v>25.49</v>
      </c>
      <c r="H2511">
        <f t="shared" si="39"/>
        <v>5079.9399999999996</v>
      </c>
    </row>
    <row r="2512" spans="1:8" x14ac:dyDescent="0.25">
      <c r="A2512" s="1" t="s">
        <v>2525</v>
      </c>
      <c r="B2512" s="5">
        <v>45762.583333333336</v>
      </c>
      <c r="C2512" s="1" t="s">
        <v>11</v>
      </c>
      <c r="D2512" s="1" t="s">
        <v>19</v>
      </c>
      <c r="E2512" s="1">
        <v>17</v>
      </c>
      <c r="F2512" s="1">
        <v>74.010000000000005</v>
      </c>
      <c r="G2512" s="1">
        <v>16.96</v>
      </c>
      <c r="H2512">
        <f t="shared" si="39"/>
        <v>1258.17</v>
      </c>
    </row>
    <row r="2513" spans="1:8" x14ac:dyDescent="0.25">
      <c r="A2513" s="1" t="s">
        <v>2526</v>
      </c>
      <c r="B2513" s="5">
        <v>45762.625</v>
      </c>
      <c r="C2513" s="1" t="s">
        <v>13</v>
      </c>
      <c r="D2513" s="1" t="s">
        <v>37</v>
      </c>
      <c r="E2513" s="1">
        <v>7</v>
      </c>
      <c r="F2513" s="1">
        <v>240.84</v>
      </c>
      <c r="G2513" s="1">
        <v>23.37</v>
      </c>
      <c r="H2513">
        <f t="shared" si="39"/>
        <v>1685.88</v>
      </c>
    </row>
    <row r="2514" spans="1:8" x14ac:dyDescent="0.25">
      <c r="A2514" s="1" t="s">
        <v>2527</v>
      </c>
      <c r="B2514" s="5">
        <v>45762.666666666664</v>
      </c>
      <c r="C2514" s="1" t="s">
        <v>23</v>
      </c>
      <c r="D2514" s="1" t="s">
        <v>37</v>
      </c>
      <c r="E2514" s="1">
        <v>15</v>
      </c>
      <c r="F2514" s="1">
        <v>349.23</v>
      </c>
      <c r="G2514" s="1">
        <v>36.14</v>
      </c>
      <c r="H2514">
        <f t="shared" si="39"/>
        <v>5238.4500000000007</v>
      </c>
    </row>
    <row r="2515" spans="1:8" x14ac:dyDescent="0.25">
      <c r="A2515" s="1" t="s">
        <v>2528</v>
      </c>
      <c r="B2515" s="5">
        <v>45762.708333333336</v>
      </c>
      <c r="C2515" s="1" t="s">
        <v>11</v>
      </c>
      <c r="D2515" s="1" t="s">
        <v>9</v>
      </c>
      <c r="E2515" s="1">
        <v>13</v>
      </c>
      <c r="F2515" s="1">
        <v>86.89</v>
      </c>
      <c r="G2515" s="1">
        <v>43.07</v>
      </c>
      <c r="H2515">
        <f t="shared" si="39"/>
        <v>1129.57</v>
      </c>
    </row>
    <row r="2516" spans="1:8" x14ac:dyDescent="0.25">
      <c r="A2516" s="1" t="s">
        <v>2529</v>
      </c>
      <c r="B2516" s="5">
        <v>45762.75</v>
      </c>
      <c r="C2516" s="1" t="s">
        <v>13</v>
      </c>
      <c r="D2516" s="1" t="s">
        <v>37</v>
      </c>
      <c r="E2516" s="1">
        <v>2</v>
      </c>
      <c r="F2516" s="1">
        <v>342.79</v>
      </c>
      <c r="G2516" s="1">
        <v>21.05</v>
      </c>
      <c r="H2516">
        <f t="shared" si="39"/>
        <v>685.58</v>
      </c>
    </row>
    <row r="2517" spans="1:8" x14ac:dyDescent="0.25">
      <c r="A2517" s="1" t="s">
        <v>2530</v>
      </c>
      <c r="B2517" s="5">
        <v>45762.791666666664</v>
      </c>
      <c r="C2517" s="1" t="s">
        <v>11</v>
      </c>
      <c r="D2517" s="1" t="s">
        <v>19</v>
      </c>
      <c r="E2517" s="1">
        <v>19</v>
      </c>
      <c r="F2517" s="1">
        <v>346.07</v>
      </c>
      <c r="G2517" s="1">
        <v>15.47</v>
      </c>
      <c r="H2517">
        <f t="shared" si="39"/>
        <v>6575.33</v>
      </c>
    </row>
    <row r="2518" spans="1:8" x14ac:dyDescent="0.25">
      <c r="A2518" s="1" t="s">
        <v>2531</v>
      </c>
      <c r="B2518" s="5">
        <v>45762.833333333336</v>
      </c>
      <c r="C2518" s="1" t="s">
        <v>8</v>
      </c>
      <c r="D2518" s="1" t="s">
        <v>19</v>
      </c>
      <c r="E2518" s="1">
        <v>13</v>
      </c>
      <c r="F2518" s="1">
        <v>41.54</v>
      </c>
      <c r="G2518" s="1">
        <v>33.19</v>
      </c>
      <c r="H2518">
        <f t="shared" si="39"/>
        <v>540.02</v>
      </c>
    </row>
    <row r="2519" spans="1:8" x14ac:dyDescent="0.25">
      <c r="A2519" s="1" t="s">
        <v>2532</v>
      </c>
      <c r="B2519" s="5">
        <v>45762.875</v>
      </c>
      <c r="C2519" s="1" t="s">
        <v>23</v>
      </c>
      <c r="D2519" s="1" t="s">
        <v>16</v>
      </c>
      <c r="E2519" s="1">
        <v>11</v>
      </c>
      <c r="F2519" s="1">
        <v>23.66</v>
      </c>
      <c r="G2519" s="1">
        <v>46.45</v>
      </c>
      <c r="H2519">
        <f t="shared" si="39"/>
        <v>260.26</v>
      </c>
    </row>
    <row r="2520" spans="1:8" x14ac:dyDescent="0.25">
      <c r="A2520" s="1" t="s">
        <v>2533</v>
      </c>
      <c r="B2520" s="5">
        <v>45762.916666666664</v>
      </c>
      <c r="C2520" s="1" t="s">
        <v>23</v>
      </c>
      <c r="D2520" s="1" t="s">
        <v>19</v>
      </c>
      <c r="E2520" s="1">
        <v>15</v>
      </c>
      <c r="F2520" s="1">
        <v>438.67</v>
      </c>
      <c r="G2520" s="1">
        <v>13.25</v>
      </c>
      <c r="H2520">
        <f t="shared" si="39"/>
        <v>6580.05</v>
      </c>
    </row>
    <row r="2521" spans="1:8" x14ac:dyDescent="0.25">
      <c r="A2521" s="1" t="s">
        <v>2534</v>
      </c>
      <c r="B2521" s="5">
        <v>45762.958333333336</v>
      </c>
      <c r="C2521" s="1" t="s">
        <v>13</v>
      </c>
      <c r="D2521" s="1" t="s">
        <v>16</v>
      </c>
      <c r="E2521" s="1">
        <v>10</v>
      </c>
      <c r="F2521" s="1">
        <v>99.52</v>
      </c>
      <c r="G2521" s="1">
        <v>41.14</v>
      </c>
      <c r="H2521">
        <f t="shared" si="39"/>
        <v>995.19999999999993</v>
      </c>
    </row>
    <row r="2522" spans="1:8" x14ac:dyDescent="0.25">
      <c r="A2522" s="1" t="s">
        <v>2535</v>
      </c>
      <c r="B2522" s="5">
        <v>45763</v>
      </c>
      <c r="C2522" s="1" t="s">
        <v>13</v>
      </c>
      <c r="D2522" s="1" t="s">
        <v>37</v>
      </c>
      <c r="E2522" s="1">
        <v>9</v>
      </c>
      <c r="F2522" s="1">
        <v>372.72</v>
      </c>
      <c r="G2522" s="1">
        <v>26.45</v>
      </c>
      <c r="H2522">
        <f t="shared" si="39"/>
        <v>3354.4800000000005</v>
      </c>
    </row>
    <row r="2523" spans="1:8" x14ac:dyDescent="0.25">
      <c r="A2523" s="1" t="s">
        <v>2536</v>
      </c>
      <c r="B2523" s="5">
        <v>45763.041666666664</v>
      </c>
      <c r="C2523" s="1" t="s">
        <v>23</v>
      </c>
      <c r="D2523" s="1" t="s">
        <v>19</v>
      </c>
      <c r="E2523" s="1">
        <v>9</v>
      </c>
      <c r="F2523" s="1">
        <v>259.62</v>
      </c>
      <c r="G2523" s="1">
        <v>40.98</v>
      </c>
      <c r="H2523">
        <f t="shared" si="39"/>
        <v>2336.58</v>
      </c>
    </row>
    <row r="2524" spans="1:8" x14ac:dyDescent="0.25">
      <c r="A2524" s="1" t="s">
        <v>2537</v>
      </c>
      <c r="B2524" s="5">
        <v>45763.083333333336</v>
      </c>
      <c r="C2524" s="1" t="s">
        <v>11</v>
      </c>
      <c r="D2524" s="1" t="s">
        <v>37</v>
      </c>
      <c r="E2524" s="1">
        <v>1</v>
      </c>
      <c r="F2524" s="1">
        <v>130.41</v>
      </c>
      <c r="G2524" s="1">
        <v>27.75</v>
      </c>
      <c r="H2524">
        <f t="shared" si="39"/>
        <v>130.41</v>
      </c>
    </row>
    <row r="2525" spans="1:8" x14ac:dyDescent="0.25">
      <c r="A2525" s="1" t="s">
        <v>2538</v>
      </c>
      <c r="B2525" s="5">
        <v>45763.125</v>
      </c>
      <c r="C2525" s="1" t="s">
        <v>11</v>
      </c>
      <c r="D2525" s="1" t="s">
        <v>19</v>
      </c>
      <c r="E2525" s="1">
        <v>17</v>
      </c>
      <c r="F2525" s="1">
        <v>71.97</v>
      </c>
      <c r="G2525" s="1">
        <v>21.98</v>
      </c>
      <c r="H2525">
        <f t="shared" si="39"/>
        <v>1223.49</v>
      </c>
    </row>
    <row r="2526" spans="1:8" x14ac:dyDescent="0.25">
      <c r="A2526" s="1" t="s">
        <v>2539</v>
      </c>
      <c r="B2526" s="5">
        <v>45763.166666666664</v>
      </c>
      <c r="C2526" s="1" t="s">
        <v>8</v>
      </c>
      <c r="D2526" s="1" t="s">
        <v>19</v>
      </c>
      <c r="E2526" s="1">
        <v>12</v>
      </c>
      <c r="F2526" s="1">
        <v>231.31</v>
      </c>
      <c r="G2526" s="1">
        <v>36.35</v>
      </c>
      <c r="H2526">
        <f t="shared" si="39"/>
        <v>2775.7200000000003</v>
      </c>
    </row>
    <row r="2527" spans="1:8" x14ac:dyDescent="0.25">
      <c r="A2527" s="1" t="s">
        <v>2540</v>
      </c>
      <c r="B2527" s="5">
        <v>45763.208333333336</v>
      </c>
      <c r="C2527" s="1" t="s">
        <v>11</v>
      </c>
      <c r="D2527" s="1" t="s">
        <v>16</v>
      </c>
      <c r="E2527" s="1">
        <v>10</v>
      </c>
      <c r="F2527" s="1">
        <v>192.5</v>
      </c>
      <c r="G2527" s="1">
        <v>45.53</v>
      </c>
      <c r="H2527">
        <f t="shared" si="39"/>
        <v>1925</v>
      </c>
    </row>
    <row r="2528" spans="1:8" x14ac:dyDescent="0.25">
      <c r="A2528" s="1" t="s">
        <v>2541</v>
      </c>
      <c r="B2528" s="5">
        <v>45763.25</v>
      </c>
      <c r="C2528" s="1" t="s">
        <v>13</v>
      </c>
      <c r="D2528" s="1" t="s">
        <v>37</v>
      </c>
      <c r="E2528" s="1">
        <v>5</v>
      </c>
      <c r="F2528" s="1">
        <v>319.17</v>
      </c>
      <c r="G2528" s="1">
        <v>19.41</v>
      </c>
      <c r="H2528">
        <f t="shared" si="39"/>
        <v>1595.8500000000001</v>
      </c>
    </row>
    <row r="2529" spans="1:8" x14ac:dyDescent="0.25">
      <c r="A2529" s="1" t="s">
        <v>2542</v>
      </c>
      <c r="B2529" s="5">
        <v>45763.291666666664</v>
      </c>
      <c r="C2529" s="1" t="s">
        <v>13</v>
      </c>
      <c r="D2529" s="1" t="s">
        <v>19</v>
      </c>
      <c r="E2529" s="1">
        <v>18</v>
      </c>
      <c r="F2529" s="1">
        <v>408.36</v>
      </c>
      <c r="G2529" s="1">
        <v>25.73</v>
      </c>
      <c r="H2529">
        <f t="shared" si="39"/>
        <v>7350.4800000000005</v>
      </c>
    </row>
    <row r="2530" spans="1:8" x14ac:dyDescent="0.25">
      <c r="A2530" s="1" t="s">
        <v>2543</v>
      </c>
      <c r="B2530" s="5">
        <v>45763.333333333336</v>
      </c>
      <c r="C2530" s="1" t="s">
        <v>11</v>
      </c>
      <c r="D2530" s="1" t="s">
        <v>9</v>
      </c>
      <c r="E2530" s="1">
        <v>15</v>
      </c>
      <c r="F2530" s="1">
        <v>365.38</v>
      </c>
      <c r="G2530" s="1">
        <v>15.32</v>
      </c>
      <c r="H2530">
        <f t="shared" si="39"/>
        <v>5480.7</v>
      </c>
    </row>
    <row r="2531" spans="1:8" x14ac:dyDescent="0.25">
      <c r="A2531" s="1" t="s">
        <v>2544</v>
      </c>
      <c r="B2531" s="5">
        <v>45763.375</v>
      </c>
      <c r="C2531" s="1" t="s">
        <v>13</v>
      </c>
      <c r="D2531" s="1" t="s">
        <v>37</v>
      </c>
      <c r="E2531" s="1">
        <v>6</v>
      </c>
      <c r="F2531" s="1">
        <v>134.75</v>
      </c>
      <c r="G2531" s="1">
        <v>13.25</v>
      </c>
      <c r="H2531">
        <f t="shared" si="39"/>
        <v>808.5</v>
      </c>
    </row>
    <row r="2532" spans="1:8" x14ac:dyDescent="0.25">
      <c r="A2532" s="1" t="s">
        <v>2545</v>
      </c>
      <c r="B2532" s="5">
        <v>45763.416666666664</v>
      </c>
      <c r="C2532" s="1" t="s">
        <v>23</v>
      </c>
      <c r="D2532" s="1" t="s">
        <v>37</v>
      </c>
      <c r="E2532" s="1">
        <v>7</v>
      </c>
      <c r="F2532" s="1">
        <v>397.4</v>
      </c>
      <c r="G2532" s="1">
        <v>40.01</v>
      </c>
      <c r="H2532">
        <f t="shared" si="39"/>
        <v>2781.7999999999997</v>
      </c>
    </row>
    <row r="2533" spans="1:8" x14ac:dyDescent="0.25">
      <c r="A2533" s="1" t="s">
        <v>2546</v>
      </c>
      <c r="B2533" s="5">
        <v>45763.458333333336</v>
      </c>
      <c r="C2533" s="1" t="s">
        <v>23</v>
      </c>
      <c r="D2533" s="1" t="s">
        <v>37</v>
      </c>
      <c r="E2533" s="1">
        <v>17</v>
      </c>
      <c r="F2533" s="1">
        <v>377.61</v>
      </c>
      <c r="G2533" s="1">
        <v>14.03</v>
      </c>
      <c r="H2533">
        <f t="shared" si="39"/>
        <v>6419.37</v>
      </c>
    </row>
    <row r="2534" spans="1:8" x14ac:dyDescent="0.25">
      <c r="A2534" s="1" t="s">
        <v>2547</v>
      </c>
      <c r="B2534" s="5">
        <v>45763.5</v>
      </c>
      <c r="C2534" s="1" t="s">
        <v>11</v>
      </c>
      <c r="D2534" s="1" t="s">
        <v>16</v>
      </c>
      <c r="E2534" s="1">
        <v>6</v>
      </c>
      <c r="F2534" s="1">
        <v>419.21</v>
      </c>
      <c r="G2534" s="1">
        <v>40.700000000000003</v>
      </c>
      <c r="H2534">
        <f t="shared" si="39"/>
        <v>2515.2599999999998</v>
      </c>
    </row>
    <row r="2535" spans="1:8" x14ac:dyDescent="0.25">
      <c r="A2535" s="1" t="s">
        <v>2548</v>
      </c>
      <c r="B2535" s="5">
        <v>45763.541666666664</v>
      </c>
      <c r="C2535" s="1" t="s">
        <v>23</v>
      </c>
      <c r="D2535" s="1" t="s">
        <v>9</v>
      </c>
      <c r="E2535" s="1">
        <v>8</v>
      </c>
      <c r="F2535" s="1">
        <v>214.79</v>
      </c>
      <c r="G2535" s="1">
        <v>24.31</v>
      </c>
      <c r="H2535">
        <f t="shared" si="39"/>
        <v>1718.32</v>
      </c>
    </row>
    <row r="2536" spans="1:8" x14ac:dyDescent="0.25">
      <c r="A2536" s="1" t="s">
        <v>2549</v>
      </c>
      <c r="B2536" s="5">
        <v>45763.583333333336</v>
      </c>
      <c r="C2536" s="1" t="s">
        <v>23</v>
      </c>
      <c r="D2536" s="1" t="s">
        <v>37</v>
      </c>
      <c r="E2536" s="1">
        <v>12</v>
      </c>
      <c r="F2536" s="1">
        <v>349.45</v>
      </c>
      <c r="G2536" s="1">
        <v>49.78</v>
      </c>
      <c r="H2536">
        <f t="shared" si="39"/>
        <v>4193.3999999999996</v>
      </c>
    </row>
    <row r="2537" spans="1:8" x14ac:dyDescent="0.25">
      <c r="A2537" s="1" t="s">
        <v>2550</v>
      </c>
      <c r="B2537" s="5">
        <v>45763.625</v>
      </c>
      <c r="C2537" s="1" t="s">
        <v>8</v>
      </c>
      <c r="D2537" s="1" t="s">
        <v>19</v>
      </c>
      <c r="E2537" s="1">
        <v>14</v>
      </c>
      <c r="F2537" s="1">
        <v>272.58</v>
      </c>
      <c r="G2537" s="1">
        <v>13.88</v>
      </c>
      <c r="H2537">
        <f t="shared" si="39"/>
        <v>3816.12</v>
      </c>
    </row>
    <row r="2538" spans="1:8" x14ac:dyDescent="0.25">
      <c r="A2538" s="1" t="s">
        <v>2551</v>
      </c>
      <c r="B2538" s="5">
        <v>45763.666666666664</v>
      </c>
      <c r="C2538" s="1" t="s">
        <v>8</v>
      </c>
      <c r="D2538" s="1" t="s">
        <v>19</v>
      </c>
      <c r="E2538" s="1">
        <v>12</v>
      </c>
      <c r="F2538" s="1">
        <v>150.41</v>
      </c>
      <c r="G2538" s="1">
        <v>9.18</v>
      </c>
      <c r="H2538">
        <f t="shared" si="39"/>
        <v>1804.92</v>
      </c>
    </row>
    <row r="2539" spans="1:8" x14ac:dyDescent="0.25">
      <c r="A2539" s="1" t="s">
        <v>2552</v>
      </c>
      <c r="B2539" s="5">
        <v>45763.708333333336</v>
      </c>
      <c r="C2539" s="1" t="s">
        <v>23</v>
      </c>
      <c r="D2539" s="1" t="s">
        <v>16</v>
      </c>
      <c r="E2539" s="1">
        <v>10</v>
      </c>
      <c r="F2539" s="1">
        <v>447.58</v>
      </c>
      <c r="G2539" s="1">
        <v>8.39</v>
      </c>
      <c r="H2539">
        <f t="shared" si="39"/>
        <v>4475.8</v>
      </c>
    </row>
    <row r="2540" spans="1:8" x14ac:dyDescent="0.25">
      <c r="A2540" s="1" t="s">
        <v>2553</v>
      </c>
      <c r="B2540" s="5">
        <v>45763.75</v>
      </c>
      <c r="C2540" s="1" t="s">
        <v>11</v>
      </c>
      <c r="D2540" s="1" t="s">
        <v>19</v>
      </c>
      <c r="E2540" s="1">
        <v>15</v>
      </c>
      <c r="F2540" s="1">
        <v>32.14</v>
      </c>
      <c r="G2540" s="1">
        <v>42.59</v>
      </c>
      <c r="H2540">
        <f t="shared" si="39"/>
        <v>482.1</v>
      </c>
    </row>
    <row r="2541" spans="1:8" x14ac:dyDescent="0.25">
      <c r="A2541" s="1" t="s">
        <v>2554</v>
      </c>
      <c r="B2541" s="5">
        <v>45763.791666666664</v>
      </c>
      <c r="C2541" s="1" t="s">
        <v>8</v>
      </c>
      <c r="D2541" s="1" t="s">
        <v>37</v>
      </c>
      <c r="E2541" s="1">
        <v>7</v>
      </c>
      <c r="F2541" s="1">
        <v>86.01</v>
      </c>
      <c r="G2541" s="1">
        <v>24.7</v>
      </c>
      <c r="H2541">
        <f t="shared" si="39"/>
        <v>602.07000000000005</v>
      </c>
    </row>
    <row r="2542" spans="1:8" x14ac:dyDescent="0.25">
      <c r="A2542" s="1" t="s">
        <v>2555</v>
      </c>
      <c r="B2542" s="5">
        <v>45763.833333333336</v>
      </c>
      <c r="C2542" s="1" t="s">
        <v>13</v>
      </c>
      <c r="D2542" s="1" t="s">
        <v>19</v>
      </c>
      <c r="E2542" s="1">
        <v>9</v>
      </c>
      <c r="F2542" s="1">
        <v>403.31</v>
      </c>
      <c r="G2542" s="1">
        <v>5.14</v>
      </c>
      <c r="H2542">
        <f t="shared" si="39"/>
        <v>3629.79</v>
      </c>
    </row>
    <row r="2543" spans="1:8" x14ac:dyDescent="0.25">
      <c r="A2543" s="1" t="s">
        <v>2556</v>
      </c>
      <c r="B2543" s="5">
        <v>45763.875</v>
      </c>
      <c r="C2543" s="1" t="s">
        <v>13</v>
      </c>
      <c r="D2543" s="1" t="s">
        <v>37</v>
      </c>
      <c r="E2543" s="1">
        <v>10</v>
      </c>
      <c r="F2543" s="1">
        <v>41.81</v>
      </c>
      <c r="G2543" s="1">
        <v>44.36</v>
      </c>
      <c r="H2543">
        <f t="shared" si="39"/>
        <v>418.1</v>
      </c>
    </row>
    <row r="2544" spans="1:8" x14ac:dyDescent="0.25">
      <c r="A2544" s="1" t="s">
        <v>2557</v>
      </c>
      <c r="B2544" s="5">
        <v>45763.916666666664</v>
      </c>
      <c r="C2544" s="1" t="s">
        <v>13</v>
      </c>
      <c r="D2544" s="1" t="s">
        <v>19</v>
      </c>
      <c r="E2544" s="1">
        <v>10</v>
      </c>
      <c r="F2544" s="1">
        <v>400.82</v>
      </c>
      <c r="G2544" s="1">
        <v>44.46</v>
      </c>
      <c r="H2544">
        <f t="shared" si="39"/>
        <v>4008.2</v>
      </c>
    </row>
    <row r="2545" spans="1:8" x14ac:dyDescent="0.25">
      <c r="A2545" s="1" t="s">
        <v>2558</v>
      </c>
      <c r="B2545" s="5">
        <v>45763.958333333336</v>
      </c>
      <c r="C2545" s="1" t="s">
        <v>11</v>
      </c>
      <c r="D2545" s="1" t="s">
        <v>9</v>
      </c>
      <c r="E2545" s="1">
        <v>16</v>
      </c>
      <c r="F2545" s="1">
        <v>326.26</v>
      </c>
      <c r="G2545" s="1">
        <v>41.29</v>
      </c>
      <c r="H2545">
        <f t="shared" si="39"/>
        <v>5220.16</v>
      </c>
    </row>
    <row r="2546" spans="1:8" x14ac:dyDescent="0.25">
      <c r="A2546" s="1" t="s">
        <v>2559</v>
      </c>
      <c r="B2546" s="5">
        <v>45764</v>
      </c>
      <c r="C2546" s="1" t="s">
        <v>23</v>
      </c>
      <c r="D2546" s="1" t="s">
        <v>16</v>
      </c>
      <c r="E2546" s="1">
        <v>7</v>
      </c>
      <c r="F2546" s="1">
        <v>31.44</v>
      </c>
      <c r="G2546" s="1">
        <v>16.170000000000002</v>
      </c>
      <c r="H2546">
        <f t="shared" si="39"/>
        <v>220.08</v>
      </c>
    </row>
    <row r="2547" spans="1:8" x14ac:dyDescent="0.25">
      <c r="A2547" s="1" t="s">
        <v>2560</v>
      </c>
      <c r="B2547" s="5">
        <v>45764.041666666664</v>
      </c>
      <c r="C2547" s="1" t="s">
        <v>13</v>
      </c>
      <c r="D2547" s="1" t="s">
        <v>16</v>
      </c>
      <c r="E2547" s="1">
        <v>5</v>
      </c>
      <c r="F2547" s="1">
        <v>202.04</v>
      </c>
      <c r="G2547" s="1">
        <v>21.77</v>
      </c>
      <c r="H2547">
        <f t="shared" si="39"/>
        <v>1010.1999999999999</v>
      </c>
    </row>
    <row r="2548" spans="1:8" x14ac:dyDescent="0.25">
      <c r="A2548" s="1" t="s">
        <v>2561</v>
      </c>
      <c r="B2548" s="5">
        <v>45764.083333333336</v>
      </c>
      <c r="C2548" s="1" t="s">
        <v>11</v>
      </c>
      <c r="D2548" s="1" t="s">
        <v>9</v>
      </c>
      <c r="E2548" s="1">
        <v>3</v>
      </c>
      <c r="F2548" s="1">
        <v>343.32</v>
      </c>
      <c r="G2548" s="1">
        <v>38.520000000000003</v>
      </c>
      <c r="H2548">
        <f t="shared" si="39"/>
        <v>1029.96</v>
      </c>
    </row>
    <row r="2549" spans="1:8" x14ac:dyDescent="0.25">
      <c r="A2549" s="1" t="s">
        <v>2562</v>
      </c>
      <c r="B2549" s="5">
        <v>45764.125</v>
      </c>
      <c r="C2549" s="1" t="s">
        <v>8</v>
      </c>
      <c r="D2549" s="1" t="s">
        <v>9</v>
      </c>
      <c r="E2549" s="1">
        <v>18</v>
      </c>
      <c r="F2549" s="1">
        <v>268.86</v>
      </c>
      <c r="G2549" s="1">
        <v>27.02</v>
      </c>
      <c r="H2549">
        <f t="shared" si="39"/>
        <v>4839.4800000000005</v>
      </c>
    </row>
    <row r="2550" spans="1:8" x14ac:dyDescent="0.25">
      <c r="A2550" s="1" t="s">
        <v>2563</v>
      </c>
      <c r="B2550" s="5">
        <v>45764.166666666664</v>
      </c>
      <c r="C2550" s="1" t="s">
        <v>23</v>
      </c>
      <c r="D2550" s="1" t="s">
        <v>16</v>
      </c>
      <c r="E2550" s="1">
        <v>11</v>
      </c>
      <c r="F2550" s="1">
        <v>422.14</v>
      </c>
      <c r="G2550" s="1">
        <v>11.92</v>
      </c>
      <c r="H2550">
        <f t="shared" si="39"/>
        <v>4643.54</v>
      </c>
    </row>
    <row r="2551" spans="1:8" x14ac:dyDescent="0.25">
      <c r="A2551" s="1" t="s">
        <v>2564</v>
      </c>
      <c r="B2551" s="5">
        <v>45764.208333333336</v>
      </c>
      <c r="C2551" s="1" t="s">
        <v>8</v>
      </c>
      <c r="D2551" s="1" t="s">
        <v>9</v>
      </c>
      <c r="E2551" s="1">
        <v>15</v>
      </c>
      <c r="F2551" s="1">
        <v>392.49</v>
      </c>
      <c r="G2551" s="1">
        <v>15.93</v>
      </c>
      <c r="H2551">
        <f t="shared" si="39"/>
        <v>5887.35</v>
      </c>
    </row>
    <row r="2552" spans="1:8" x14ac:dyDescent="0.25">
      <c r="A2552" s="1" t="s">
        <v>2565</v>
      </c>
      <c r="B2552" s="5">
        <v>45764.25</v>
      </c>
      <c r="C2552" s="1" t="s">
        <v>11</v>
      </c>
      <c r="D2552" s="1" t="s">
        <v>37</v>
      </c>
      <c r="E2552" s="1">
        <v>5</v>
      </c>
      <c r="F2552" s="1">
        <v>160.04</v>
      </c>
      <c r="G2552" s="1">
        <v>48.77</v>
      </c>
      <c r="H2552">
        <f t="shared" si="39"/>
        <v>800.19999999999993</v>
      </c>
    </row>
    <row r="2553" spans="1:8" x14ac:dyDescent="0.25">
      <c r="A2553" s="1" t="s">
        <v>2566</v>
      </c>
      <c r="B2553" s="5">
        <v>45764.291666666664</v>
      </c>
      <c r="C2553" s="1" t="s">
        <v>13</v>
      </c>
      <c r="D2553" s="1" t="s">
        <v>19</v>
      </c>
      <c r="E2553" s="1">
        <v>12</v>
      </c>
      <c r="F2553" s="1">
        <v>52.27</v>
      </c>
      <c r="G2553" s="1">
        <v>11.8</v>
      </c>
      <c r="H2553">
        <f t="shared" si="39"/>
        <v>627.24</v>
      </c>
    </row>
    <row r="2554" spans="1:8" x14ac:dyDescent="0.25">
      <c r="A2554" s="1" t="s">
        <v>2567</v>
      </c>
      <c r="B2554" s="5">
        <v>45764.333333333336</v>
      </c>
      <c r="C2554" s="1" t="s">
        <v>13</v>
      </c>
      <c r="D2554" s="1" t="s">
        <v>16</v>
      </c>
      <c r="E2554" s="1">
        <v>4</v>
      </c>
      <c r="F2554" s="1">
        <v>425.78</v>
      </c>
      <c r="G2554" s="1">
        <v>37.67</v>
      </c>
      <c r="H2554">
        <f t="shared" si="39"/>
        <v>1703.12</v>
      </c>
    </row>
    <row r="2555" spans="1:8" x14ac:dyDescent="0.25">
      <c r="A2555" s="1" t="s">
        <v>2568</v>
      </c>
      <c r="B2555" s="5">
        <v>45764.375</v>
      </c>
      <c r="C2555" s="1" t="s">
        <v>11</v>
      </c>
      <c r="D2555" s="1" t="s">
        <v>9</v>
      </c>
      <c r="E2555" s="1">
        <v>15</v>
      </c>
      <c r="F2555" s="1">
        <v>240.26</v>
      </c>
      <c r="G2555" s="1">
        <v>26.51</v>
      </c>
      <c r="H2555">
        <f t="shared" si="39"/>
        <v>3603.8999999999996</v>
      </c>
    </row>
    <row r="2556" spans="1:8" x14ac:dyDescent="0.25">
      <c r="A2556" s="1" t="s">
        <v>2569</v>
      </c>
      <c r="B2556" s="5">
        <v>45764.416666666664</v>
      </c>
      <c r="C2556" s="1" t="s">
        <v>13</v>
      </c>
      <c r="D2556" s="1" t="s">
        <v>37</v>
      </c>
      <c r="E2556" s="1">
        <v>9</v>
      </c>
      <c r="F2556" s="1">
        <v>47.83</v>
      </c>
      <c r="G2556" s="1">
        <v>38.69</v>
      </c>
      <c r="H2556">
        <f t="shared" si="39"/>
        <v>430.46999999999997</v>
      </c>
    </row>
    <row r="2557" spans="1:8" x14ac:dyDescent="0.25">
      <c r="A2557" s="1" t="s">
        <v>2570</v>
      </c>
      <c r="B2557" s="5">
        <v>45764.458333333336</v>
      </c>
      <c r="C2557" s="1" t="s">
        <v>23</v>
      </c>
      <c r="D2557" s="1" t="s">
        <v>16</v>
      </c>
      <c r="E2557" s="1">
        <v>7</v>
      </c>
      <c r="F2557" s="1">
        <v>370.3</v>
      </c>
      <c r="G2557" s="1">
        <v>34.75</v>
      </c>
      <c r="H2557">
        <f t="shared" si="39"/>
        <v>2592.1</v>
      </c>
    </row>
    <row r="2558" spans="1:8" x14ac:dyDescent="0.25">
      <c r="A2558" s="1" t="s">
        <v>2571</v>
      </c>
      <c r="B2558" s="5">
        <v>45764.5</v>
      </c>
      <c r="C2558" s="1" t="s">
        <v>11</v>
      </c>
      <c r="D2558" s="1" t="s">
        <v>9</v>
      </c>
      <c r="E2558" s="1">
        <v>10</v>
      </c>
      <c r="F2558" s="1">
        <v>392.87</v>
      </c>
      <c r="G2558" s="1">
        <v>24.76</v>
      </c>
      <c r="H2558">
        <f t="shared" si="39"/>
        <v>3928.7</v>
      </c>
    </row>
    <row r="2559" spans="1:8" x14ac:dyDescent="0.25">
      <c r="A2559" s="1" t="s">
        <v>2572</v>
      </c>
      <c r="B2559" s="5">
        <v>45764.541666666664</v>
      </c>
      <c r="C2559" s="1" t="s">
        <v>8</v>
      </c>
      <c r="D2559" s="1" t="s">
        <v>16</v>
      </c>
      <c r="E2559" s="1">
        <v>13</v>
      </c>
      <c r="F2559" s="1">
        <v>293.33</v>
      </c>
      <c r="G2559" s="1">
        <v>20.93</v>
      </c>
      <c r="H2559">
        <f t="shared" si="39"/>
        <v>3813.29</v>
      </c>
    </row>
    <row r="2560" spans="1:8" x14ac:dyDescent="0.25">
      <c r="A2560" s="1" t="s">
        <v>2573</v>
      </c>
      <c r="B2560" s="5">
        <v>45764.583333333336</v>
      </c>
      <c r="C2560" s="1" t="s">
        <v>11</v>
      </c>
      <c r="D2560" s="1" t="s">
        <v>9</v>
      </c>
      <c r="E2560" s="1">
        <v>8</v>
      </c>
      <c r="F2560" s="1">
        <v>209.94</v>
      </c>
      <c r="G2560" s="1">
        <v>38.950000000000003</v>
      </c>
      <c r="H2560">
        <f t="shared" si="39"/>
        <v>1679.52</v>
      </c>
    </row>
    <row r="2561" spans="1:8" x14ac:dyDescent="0.25">
      <c r="A2561" s="1" t="s">
        <v>2574</v>
      </c>
      <c r="B2561" s="5">
        <v>45764.625</v>
      </c>
      <c r="C2561" s="1" t="s">
        <v>23</v>
      </c>
      <c r="D2561" s="1" t="s">
        <v>16</v>
      </c>
      <c r="E2561" s="1">
        <v>12</v>
      </c>
      <c r="F2561" s="1">
        <v>303.20999999999998</v>
      </c>
      <c r="G2561" s="1">
        <v>19.54</v>
      </c>
      <c r="H2561">
        <f t="shared" si="39"/>
        <v>3638.5199999999995</v>
      </c>
    </row>
    <row r="2562" spans="1:8" x14ac:dyDescent="0.25">
      <c r="A2562" s="1" t="s">
        <v>2575</v>
      </c>
      <c r="B2562" s="5">
        <v>45764.666666666664</v>
      </c>
      <c r="C2562" s="1" t="s">
        <v>23</v>
      </c>
      <c r="D2562" s="1" t="s">
        <v>37</v>
      </c>
      <c r="E2562" s="1">
        <v>19</v>
      </c>
      <c r="F2562" s="1">
        <v>322.55</v>
      </c>
      <c r="G2562" s="1">
        <v>40.450000000000003</v>
      </c>
      <c r="H2562">
        <f t="shared" ref="H2562:H2625" si="40">E2562*F2562</f>
        <v>6128.45</v>
      </c>
    </row>
    <row r="2563" spans="1:8" x14ac:dyDescent="0.25">
      <c r="A2563" s="1" t="s">
        <v>2576</v>
      </c>
      <c r="B2563" s="5">
        <v>45764.708333333336</v>
      </c>
      <c r="C2563" s="1" t="s">
        <v>11</v>
      </c>
      <c r="D2563" s="1" t="s">
        <v>37</v>
      </c>
      <c r="E2563" s="1">
        <v>1</v>
      </c>
      <c r="F2563" s="1">
        <v>403.52</v>
      </c>
      <c r="G2563" s="1">
        <v>35.590000000000003</v>
      </c>
      <c r="H2563">
        <f t="shared" si="40"/>
        <v>403.52</v>
      </c>
    </row>
    <row r="2564" spans="1:8" x14ac:dyDescent="0.25">
      <c r="A2564" s="1" t="s">
        <v>2577</v>
      </c>
      <c r="B2564" s="5">
        <v>45764.75</v>
      </c>
      <c r="C2564" s="1" t="s">
        <v>11</v>
      </c>
      <c r="D2564" s="1" t="s">
        <v>19</v>
      </c>
      <c r="E2564" s="1">
        <v>16</v>
      </c>
      <c r="F2564" s="1">
        <v>430.82</v>
      </c>
      <c r="G2564" s="1">
        <v>31</v>
      </c>
      <c r="H2564">
        <f t="shared" si="40"/>
        <v>6893.12</v>
      </c>
    </row>
    <row r="2565" spans="1:8" x14ac:dyDescent="0.25">
      <c r="A2565" s="1" t="s">
        <v>2578</v>
      </c>
      <c r="B2565" s="5">
        <v>45764.791666666664</v>
      </c>
      <c r="C2565" s="1" t="s">
        <v>13</v>
      </c>
      <c r="D2565" s="1" t="s">
        <v>16</v>
      </c>
      <c r="E2565" s="1">
        <v>17</v>
      </c>
      <c r="F2565" s="1">
        <v>238.97</v>
      </c>
      <c r="G2565" s="1">
        <v>21.6</v>
      </c>
      <c r="H2565">
        <f t="shared" si="40"/>
        <v>4062.49</v>
      </c>
    </row>
    <row r="2566" spans="1:8" x14ac:dyDescent="0.25">
      <c r="A2566" s="1" t="s">
        <v>2579</v>
      </c>
      <c r="B2566" s="5">
        <v>45764.833333333336</v>
      </c>
      <c r="C2566" s="1" t="s">
        <v>23</v>
      </c>
      <c r="D2566" s="1" t="s">
        <v>19</v>
      </c>
      <c r="E2566" s="1">
        <v>18</v>
      </c>
      <c r="F2566" s="1">
        <v>362.45</v>
      </c>
      <c r="G2566" s="1">
        <v>14.23</v>
      </c>
      <c r="H2566">
        <f t="shared" si="40"/>
        <v>6524.0999999999995</v>
      </c>
    </row>
    <row r="2567" spans="1:8" x14ac:dyDescent="0.25">
      <c r="A2567" s="1" t="s">
        <v>2580</v>
      </c>
      <c r="B2567" s="5">
        <v>45764.875</v>
      </c>
      <c r="C2567" s="1" t="s">
        <v>11</v>
      </c>
      <c r="D2567" s="1" t="s">
        <v>16</v>
      </c>
      <c r="E2567" s="1">
        <v>11</v>
      </c>
      <c r="F2567" s="1">
        <v>434.58</v>
      </c>
      <c r="G2567" s="1">
        <v>36.97</v>
      </c>
      <c r="H2567">
        <f t="shared" si="40"/>
        <v>4780.38</v>
      </c>
    </row>
    <row r="2568" spans="1:8" x14ac:dyDescent="0.25">
      <c r="A2568" s="1" t="s">
        <v>2581</v>
      </c>
      <c r="B2568" s="5">
        <v>45764.916666666664</v>
      </c>
      <c r="C2568" s="1" t="s">
        <v>11</v>
      </c>
      <c r="D2568" s="1" t="s">
        <v>9</v>
      </c>
      <c r="E2568" s="1">
        <v>18</v>
      </c>
      <c r="F2568" s="1">
        <v>81.22</v>
      </c>
      <c r="G2568" s="1">
        <v>9.11</v>
      </c>
      <c r="H2568">
        <f t="shared" si="40"/>
        <v>1461.96</v>
      </c>
    </row>
    <row r="2569" spans="1:8" x14ac:dyDescent="0.25">
      <c r="A2569" s="1" t="s">
        <v>2582</v>
      </c>
      <c r="B2569" s="5">
        <v>45764.958333333336</v>
      </c>
      <c r="C2569" s="1" t="s">
        <v>23</v>
      </c>
      <c r="D2569" s="1" t="s">
        <v>9</v>
      </c>
      <c r="E2569" s="1">
        <v>7</v>
      </c>
      <c r="F2569" s="1">
        <v>23.44</v>
      </c>
      <c r="G2569" s="1">
        <v>48.67</v>
      </c>
      <c r="H2569">
        <f t="shared" si="40"/>
        <v>164.08</v>
      </c>
    </row>
    <row r="2570" spans="1:8" x14ac:dyDescent="0.25">
      <c r="A2570" s="1" t="s">
        <v>2583</v>
      </c>
      <c r="B2570" s="5">
        <v>45765</v>
      </c>
      <c r="C2570" s="1" t="s">
        <v>11</v>
      </c>
      <c r="D2570" s="1" t="s">
        <v>19</v>
      </c>
      <c r="E2570" s="1">
        <v>18</v>
      </c>
      <c r="F2570" s="1">
        <v>393.06</v>
      </c>
      <c r="G2570" s="1">
        <v>49.04</v>
      </c>
      <c r="H2570">
        <f t="shared" si="40"/>
        <v>7075.08</v>
      </c>
    </row>
    <row r="2571" spans="1:8" x14ac:dyDescent="0.25">
      <c r="A2571" s="1" t="s">
        <v>2584</v>
      </c>
      <c r="B2571" s="5">
        <v>45765.041666666664</v>
      </c>
      <c r="C2571" s="1" t="s">
        <v>13</v>
      </c>
      <c r="D2571" s="1" t="s">
        <v>16</v>
      </c>
      <c r="E2571" s="1">
        <v>8</v>
      </c>
      <c r="F2571" s="1">
        <v>100.35</v>
      </c>
      <c r="G2571" s="1">
        <v>10.86</v>
      </c>
      <c r="H2571">
        <f t="shared" si="40"/>
        <v>802.8</v>
      </c>
    </row>
    <row r="2572" spans="1:8" x14ac:dyDescent="0.25">
      <c r="A2572" s="1" t="s">
        <v>2585</v>
      </c>
      <c r="B2572" s="5">
        <v>45765.083333333336</v>
      </c>
      <c r="C2572" s="1" t="s">
        <v>23</v>
      </c>
      <c r="D2572" s="1" t="s">
        <v>19</v>
      </c>
      <c r="E2572" s="1">
        <v>6</v>
      </c>
      <c r="F2572" s="1">
        <v>33.96</v>
      </c>
      <c r="G2572" s="1">
        <v>9.68</v>
      </c>
      <c r="H2572">
        <f t="shared" si="40"/>
        <v>203.76</v>
      </c>
    </row>
    <row r="2573" spans="1:8" x14ac:dyDescent="0.25">
      <c r="A2573" s="1" t="s">
        <v>2586</v>
      </c>
      <c r="B2573" s="5">
        <v>45765.125</v>
      </c>
      <c r="C2573" s="1" t="s">
        <v>13</v>
      </c>
      <c r="D2573" s="1" t="s">
        <v>37</v>
      </c>
      <c r="E2573" s="1">
        <v>7</v>
      </c>
      <c r="F2573" s="1">
        <v>85.06</v>
      </c>
      <c r="G2573" s="1">
        <v>23.57</v>
      </c>
      <c r="H2573">
        <f t="shared" si="40"/>
        <v>595.42000000000007</v>
      </c>
    </row>
    <row r="2574" spans="1:8" x14ac:dyDescent="0.25">
      <c r="A2574" s="1" t="s">
        <v>2587</v>
      </c>
      <c r="B2574" s="5">
        <v>45765.166666666664</v>
      </c>
      <c r="C2574" s="1" t="s">
        <v>13</v>
      </c>
      <c r="D2574" s="1" t="s">
        <v>19</v>
      </c>
      <c r="E2574" s="1">
        <v>10</v>
      </c>
      <c r="F2574" s="1">
        <v>182.4</v>
      </c>
      <c r="G2574" s="1">
        <v>48.37</v>
      </c>
      <c r="H2574">
        <f t="shared" si="40"/>
        <v>1824</v>
      </c>
    </row>
    <row r="2575" spans="1:8" x14ac:dyDescent="0.25">
      <c r="A2575" s="1" t="s">
        <v>2588</v>
      </c>
      <c r="B2575" s="5">
        <v>45765.208333333336</v>
      </c>
      <c r="C2575" s="1" t="s">
        <v>13</v>
      </c>
      <c r="D2575" s="1" t="s">
        <v>19</v>
      </c>
      <c r="E2575" s="1">
        <v>11</v>
      </c>
      <c r="F2575" s="1">
        <v>110.77</v>
      </c>
      <c r="G2575" s="1">
        <v>23.01</v>
      </c>
      <c r="H2575">
        <f t="shared" si="40"/>
        <v>1218.47</v>
      </c>
    </row>
    <row r="2576" spans="1:8" x14ac:dyDescent="0.25">
      <c r="A2576" s="1" t="s">
        <v>2589</v>
      </c>
      <c r="B2576" s="5">
        <v>45765.25</v>
      </c>
      <c r="C2576" s="1" t="s">
        <v>13</v>
      </c>
      <c r="D2576" s="1" t="s">
        <v>9</v>
      </c>
      <c r="E2576" s="1">
        <v>13</v>
      </c>
      <c r="F2576" s="1">
        <v>148.13</v>
      </c>
      <c r="G2576" s="1">
        <v>21.37</v>
      </c>
      <c r="H2576">
        <f t="shared" si="40"/>
        <v>1925.69</v>
      </c>
    </row>
    <row r="2577" spans="1:8" x14ac:dyDescent="0.25">
      <c r="A2577" s="1" t="s">
        <v>2590</v>
      </c>
      <c r="B2577" s="5">
        <v>45765.291666666664</v>
      </c>
      <c r="C2577" s="1" t="s">
        <v>23</v>
      </c>
      <c r="D2577" s="1" t="s">
        <v>19</v>
      </c>
      <c r="E2577" s="1">
        <v>9</v>
      </c>
      <c r="F2577" s="1">
        <v>439.27</v>
      </c>
      <c r="G2577" s="1">
        <v>36.659999999999997</v>
      </c>
      <c r="H2577">
        <f t="shared" si="40"/>
        <v>3953.43</v>
      </c>
    </row>
    <row r="2578" spans="1:8" x14ac:dyDescent="0.25">
      <c r="A2578" s="1" t="s">
        <v>2591</v>
      </c>
      <c r="B2578" s="5">
        <v>45765.333333333336</v>
      </c>
      <c r="C2578" s="1" t="s">
        <v>13</v>
      </c>
      <c r="D2578" s="1" t="s">
        <v>16</v>
      </c>
      <c r="E2578" s="1">
        <v>7</v>
      </c>
      <c r="F2578" s="1">
        <v>321.56</v>
      </c>
      <c r="G2578" s="1">
        <v>13.04</v>
      </c>
      <c r="H2578">
        <f t="shared" si="40"/>
        <v>2250.92</v>
      </c>
    </row>
    <row r="2579" spans="1:8" x14ac:dyDescent="0.25">
      <c r="A2579" s="1" t="s">
        <v>2592</v>
      </c>
      <c r="B2579" s="5">
        <v>45765.375</v>
      </c>
      <c r="C2579" s="1" t="s">
        <v>13</v>
      </c>
      <c r="D2579" s="1" t="s">
        <v>9</v>
      </c>
      <c r="E2579" s="1">
        <v>9</v>
      </c>
      <c r="F2579" s="1">
        <v>324.95</v>
      </c>
      <c r="G2579" s="1">
        <v>21.35</v>
      </c>
      <c r="H2579">
        <f t="shared" si="40"/>
        <v>2924.5499999999997</v>
      </c>
    </row>
    <row r="2580" spans="1:8" x14ac:dyDescent="0.25">
      <c r="A2580" s="1" t="s">
        <v>2593</v>
      </c>
      <c r="B2580" s="5">
        <v>45765.416666666664</v>
      </c>
      <c r="C2580" s="1" t="s">
        <v>11</v>
      </c>
      <c r="D2580" s="1" t="s">
        <v>19</v>
      </c>
      <c r="E2580" s="1">
        <v>13</v>
      </c>
      <c r="F2580" s="1">
        <v>56.64</v>
      </c>
      <c r="G2580" s="1">
        <v>18.11</v>
      </c>
      <c r="H2580">
        <f t="shared" si="40"/>
        <v>736.32</v>
      </c>
    </row>
    <row r="2581" spans="1:8" x14ac:dyDescent="0.25">
      <c r="A2581" s="1" t="s">
        <v>2594</v>
      </c>
      <c r="B2581" s="5">
        <v>45765.458333333336</v>
      </c>
      <c r="C2581" s="1" t="s">
        <v>23</v>
      </c>
      <c r="D2581" s="1" t="s">
        <v>37</v>
      </c>
      <c r="E2581" s="1">
        <v>3</v>
      </c>
      <c r="F2581" s="1">
        <v>333.6</v>
      </c>
      <c r="G2581" s="1">
        <v>32.07</v>
      </c>
      <c r="H2581">
        <f t="shared" si="40"/>
        <v>1000.8000000000001</v>
      </c>
    </row>
    <row r="2582" spans="1:8" x14ac:dyDescent="0.25">
      <c r="A2582" s="1" t="s">
        <v>2595</v>
      </c>
      <c r="B2582" s="5">
        <v>45765.5</v>
      </c>
      <c r="C2582" s="1" t="s">
        <v>23</v>
      </c>
      <c r="D2582" s="1" t="s">
        <v>19</v>
      </c>
      <c r="E2582" s="1">
        <v>3</v>
      </c>
      <c r="F2582" s="1">
        <v>336.75</v>
      </c>
      <c r="G2582" s="1">
        <v>12.32</v>
      </c>
      <c r="H2582">
        <f t="shared" si="40"/>
        <v>1010.25</v>
      </c>
    </row>
    <row r="2583" spans="1:8" x14ac:dyDescent="0.25">
      <c r="A2583" s="1" t="s">
        <v>2596</v>
      </c>
      <c r="B2583" s="5">
        <v>45765.541666666664</v>
      </c>
      <c r="C2583" s="1" t="s">
        <v>8</v>
      </c>
      <c r="D2583" s="1" t="s">
        <v>19</v>
      </c>
      <c r="E2583" s="1">
        <v>1</v>
      </c>
      <c r="F2583" s="1">
        <v>302.16000000000003</v>
      </c>
      <c r="G2583" s="1">
        <v>29.69</v>
      </c>
      <c r="H2583">
        <f t="shared" si="40"/>
        <v>302.16000000000003</v>
      </c>
    </row>
    <row r="2584" spans="1:8" x14ac:dyDescent="0.25">
      <c r="A2584" s="1" t="s">
        <v>2597</v>
      </c>
      <c r="B2584" s="5">
        <v>45765.583333333336</v>
      </c>
      <c r="C2584" s="1" t="s">
        <v>23</v>
      </c>
      <c r="D2584" s="1" t="s">
        <v>19</v>
      </c>
      <c r="E2584" s="1">
        <v>2</v>
      </c>
      <c r="F2584" s="1">
        <v>114.76</v>
      </c>
      <c r="G2584" s="1">
        <v>43.59</v>
      </c>
      <c r="H2584">
        <f t="shared" si="40"/>
        <v>229.52</v>
      </c>
    </row>
    <row r="2585" spans="1:8" x14ac:dyDescent="0.25">
      <c r="A2585" s="1" t="s">
        <v>2598</v>
      </c>
      <c r="B2585" s="5">
        <v>45765.625</v>
      </c>
      <c r="C2585" s="1" t="s">
        <v>23</v>
      </c>
      <c r="D2585" s="1" t="s">
        <v>9</v>
      </c>
      <c r="E2585" s="1">
        <v>3</v>
      </c>
      <c r="F2585" s="1">
        <v>199.31</v>
      </c>
      <c r="G2585" s="1">
        <v>28.14</v>
      </c>
      <c r="H2585">
        <f t="shared" si="40"/>
        <v>597.93000000000006</v>
      </c>
    </row>
    <row r="2586" spans="1:8" x14ac:dyDescent="0.25">
      <c r="A2586" s="1" t="s">
        <v>2599</v>
      </c>
      <c r="B2586" s="5">
        <v>45765.666666666664</v>
      </c>
      <c r="C2586" s="1" t="s">
        <v>8</v>
      </c>
      <c r="D2586" s="1" t="s">
        <v>16</v>
      </c>
      <c r="E2586" s="1">
        <v>15</v>
      </c>
      <c r="F2586" s="1">
        <v>383.21</v>
      </c>
      <c r="G2586" s="1">
        <v>35.76</v>
      </c>
      <c r="H2586">
        <f t="shared" si="40"/>
        <v>5748.15</v>
      </c>
    </row>
    <row r="2587" spans="1:8" x14ac:dyDescent="0.25">
      <c r="A2587" s="1" t="s">
        <v>2600</v>
      </c>
      <c r="B2587" s="5">
        <v>45765.708333333336</v>
      </c>
      <c r="C2587" s="1" t="s">
        <v>23</v>
      </c>
      <c r="D2587" s="1" t="s">
        <v>37</v>
      </c>
      <c r="E2587" s="1">
        <v>6</v>
      </c>
      <c r="F2587" s="1">
        <v>306.7</v>
      </c>
      <c r="G2587" s="1">
        <v>8.39</v>
      </c>
      <c r="H2587">
        <f t="shared" si="40"/>
        <v>1840.1999999999998</v>
      </c>
    </row>
    <row r="2588" spans="1:8" x14ac:dyDescent="0.25">
      <c r="A2588" s="1" t="s">
        <v>2601</v>
      </c>
      <c r="B2588" s="5">
        <v>45765.75</v>
      </c>
      <c r="C2588" s="1" t="s">
        <v>23</v>
      </c>
      <c r="D2588" s="1" t="s">
        <v>19</v>
      </c>
      <c r="E2588" s="1">
        <v>13</v>
      </c>
      <c r="F2588" s="1">
        <v>333.89</v>
      </c>
      <c r="G2588" s="1">
        <v>25.21</v>
      </c>
      <c r="H2588">
        <f t="shared" si="40"/>
        <v>4340.57</v>
      </c>
    </row>
    <row r="2589" spans="1:8" x14ac:dyDescent="0.25">
      <c r="A2589" s="1" t="s">
        <v>2602</v>
      </c>
      <c r="B2589" s="5">
        <v>45765.791666666664</v>
      </c>
      <c r="C2589" s="1" t="s">
        <v>23</v>
      </c>
      <c r="D2589" s="1" t="s">
        <v>16</v>
      </c>
      <c r="E2589" s="1">
        <v>1</v>
      </c>
      <c r="F2589" s="1">
        <v>270.70999999999998</v>
      </c>
      <c r="G2589" s="1">
        <v>9.27</v>
      </c>
      <c r="H2589">
        <f t="shared" si="40"/>
        <v>270.70999999999998</v>
      </c>
    </row>
    <row r="2590" spans="1:8" x14ac:dyDescent="0.25">
      <c r="A2590" s="1" t="s">
        <v>2603</v>
      </c>
      <c r="B2590" s="5">
        <v>45765.833333333336</v>
      </c>
      <c r="C2590" s="1" t="s">
        <v>23</v>
      </c>
      <c r="D2590" s="1" t="s">
        <v>16</v>
      </c>
      <c r="E2590" s="1">
        <v>19</v>
      </c>
      <c r="F2590" s="1">
        <v>210.85</v>
      </c>
      <c r="G2590" s="1">
        <v>31.98</v>
      </c>
      <c r="H2590">
        <f t="shared" si="40"/>
        <v>4006.15</v>
      </c>
    </row>
    <row r="2591" spans="1:8" x14ac:dyDescent="0.25">
      <c r="A2591" s="1" t="s">
        <v>2604</v>
      </c>
      <c r="B2591" s="5">
        <v>45765.875</v>
      </c>
      <c r="C2591" s="1" t="s">
        <v>8</v>
      </c>
      <c r="D2591" s="1" t="s">
        <v>9</v>
      </c>
      <c r="E2591" s="1">
        <v>1</v>
      </c>
      <c r="F2591" s="1">
        <v>345.31</v>
      </c>
      <c r="G2591" s="1">
        <v>17.649999999999999</v>
      </c>
      <c r="H2591">
        <f t="shared" si="40"/>
        <v>345.31</v>
      </c>
    </row>
    <row r="2592" spans="1:8" x14ac:dyDescent="0.25">
      <c r="A2592" s="1" t="s">
        <v>2605</v>
      </c>
      <c r="B2592" s="5">
        <v>45765.916666666664</v>
      </c>
      <c r="C2592" s="1" t="s">
        <v>23</v>
      </c>
      <c r="D2592" s="1" t="s">
        <v>37</v>
      </c>
      <c r="E2592" s="1">
        <v>2</v>
      </c>
      <c r="F2592" s="1">
        <v>45.01</v>
      </c>
      <c r="G2592" s="1">
        <v>17.93</v>
      </c>
      <c r="H2592">
        <f t="shared" si="40"/>
        <v>90.02</v>
      </c>
    </row>
    <row r="2593" spans="1:8" x14ac:dyDescent="0.25">
      <c r="A2593" s="1" t="s">
        <v>2606</v>
      </c>
      <c r="B2593" s="5">
        <v>45765.958333333336</v>
      </c>
      <c r="C2593" s="1" t="s">
        <v>23</v>
      </c>
      <c r="D2593" s="1" t="s">
        <v>9</v>
      </c>
      <c r="E2593" s="1">
        <v>15</v>
      </c>
      <c r="F2593" s="1">
        <v>307.99</v>
      </c>
      <c r="G2593" s="1">
        <v>8.4499999999999993</v>
      </c>
      <c r="H2593">
        <f t="shared" si="40"/>
        <v>4619.8500000000004</v>
      </c>
    </row>
    <row r="2594" spans="1:8" x14ac:dyDescent="0.25">
      <c r="A2594" s="1" t="s">
        <v>2607</v>
      </c>
      <c r="B2594" s="5">
        <v>45766</v>
      </c>
      <c r="C2594" s="1" t="s">
        <v>8</v>
      </c>
      <c r="D2594" s="1" t="s">
        <v>16</v>
      </c>
      <c r="E2594" s="1">
        <v>14</v>
      </c>
      <c r="F2594" s="1">
        <v>448.79</v>
      </c>
      <c r="G2594" s="1">
        <v>18.96</v>
      </c>
      <c r="H2594">
        <f t="shared" si="40"/>
        <v>6283.06</v>
      </c>
    </row>
    <row r="2595" spans="1:8" x14ac:dyDescent="0.25">
      <c r="A2595" s="1" t="s">
        <v>2608</v>
      </c>
      <c r="B2595" s="5">
        <v>45766.041666666664</v>
      </c>
      <c r="C2595" s="1" t="s">
        <v>11</v>
      </c>
      <c r="D2595" s="1" t="s">
        <v>16</v>
      </c>
      <c r="E2595" s="1">
        <v>19</v>
      </c>
      <c r="F2595" s="1">
        <v>354.49</v>
      </c>
      <c r="G2595" s="1">
        <v>27.8</v>
      </c>
      <c r="H2595">
        <f t="shared" si="40"/>
        <v>6735.31</v>
      </c>
    </row>
    <row r="2596" spans="1:8" x14ac:dyDescent="0.25">
      <c r="A2596" s="1" t="s">
        <v>2609</v>
      </c>
      <c r="B2596" s="5">
        <v>45766.083333333336</v>
      </c>
      <c r="C2596" s="1" t="s">
        <v>13</v>
      </c>
      <c r="D2596" s="1" t="s">
        <v>16</v>
      </c>
      <c r="E2596" s="1">
        <v>11</v>
      </c>
      <c r="F2596" s="1">
        <v>141.75</v>
      </c>
      <c r="G2596" s="1">
        <v>31.31</v>
      </c>
      <c r="H2596">
        <f t="shared" si="40"/>
        <v>1559.25</v>
      </c>
    </row>
    <row r="2597" spans="1:8" x14ac:dyDescent="0.25">
      <c r="A2597" s="1" t="s">
        <v>2610</v>
      </c>
      <c r="B2597" s="5">
        <v>45766.125</v>
      </c>
      <c r="C2597" s="1" t="s">
        <v>11</v>
      </c>
      <c r="D2597" s="1" t="s">
        <v>9</v>
      </c>
      <c r="E2597" s="1">
        <v>15</v>
      </c>
      <c r="F2597" s="1">
        <v>136.21</v>
      </c>
      <c r="G2597" s="1">
        <v>8</v>
      </c>
      <c r="H2597">
        <f t="shared" si="40"/>
        <v>2043.15</v>
      </c>
    </row>
    <row r="2598" spans="1:8" x14ac:dyDescent="0.25">
      <c r="A2598" s="1" t="s">
        <v>2611</v>
      </c>
      <c r="B2598" s="5">
        <v>45766.166666666664</v>
      </c>
      <c r="C2598" s="1" t="s">
        <v>8</v>
      </c>
      <c r="D2598" s="1" t="s">
        <v>37</v>
      </c>
      <c r="E2598" s="1">
        <v>6</v>
      </c>
      <c r="F2598" s="1">
        <v>305.41000000000003</v>
      </c>
      <c r="G2598" s="1">
        <v>34.32</v>
      </c>
      <c r="H2598">
        <f t="shared" si="40"/>
        <v>1832.46</v>
      </c>
    </row>
    <row r="2599" spans="1:8" x14ac:dyDescent="0.25">
      <c r="A2599" s="1" t="s">
        <v>2612</v>
      </c>
      <c r="B2599" s="5">
        <v>45766.208333333336</v>
      </c>
      <c r="C2599" s="1" t="s">
        <v>13</v>
      </c>
      <c r="D2599" s="1" t="s">
        <v>19</v>
      </c>
      <c r="E2599" s="1">
        <v>9</v>
      </c>
      <c r="F2599" s="1">
        <v>404.75</v>
      </c>
      <c r="G2599" s="1">
        <v>27</v>
      </c>
      <c r="H2599">
        <f t="shared" si="40"/>
        <v>3642.75</v>
      </c>
    </row>
    <row r="2600" spans="1:8" x14ac:dyDescent="0.25">
      <c r="A2600" s="1" t="s">
        <v>2613</v>
      </c>
      <c r="B2600" s="5">
        <v>45766.25</v>
      </c>
      <c r="C2600" s="1" t="s">
        <v>8</v>
      </c>
      <c r="D2600" s="1" t="s">
        <v>9</v>
      </c>
      <c r="E2600" s="1">
        <v>5</v>
      </c>
      <c r="F2600" s="1">
        <v>266.62</v>
      </c>
      <c r="G2600" s="1">
        <v>29.16</v>
      </c>
      <c r="H2600">
        <f t="shared" si="40"/>
        <v>1333.1</v>
      </c>
    </row>
    <row r="2601" spans="1:8" x14ac:dyDescent="0.25">
      <c r="A2601" s="1" t="s">
        <v>2614</v>
      </c>
      <c r="B2601" s="5">
        <v>45766.291666666664</v>
      </c>
      <c r="C2601" s="1" t="s">
        <v>8</v>
      </c>
      <c r="D2601" s="1" t="s">
        <v>16</v>
      </c>
      <c r="E2601" s="1">
        <v>2</v>
      </c>
      <c r="F2601" s="1">
        <v>244.66</v>
      </c>
      <c r="G2601" s="1">
        <v>42.48</v>
      </c>
      <c r="H2601">
        <f t="shared" si="40"/>
        <v>489.32</v>
      </c>
    </row>
    <row r="2602" spans="1:8" x14ac:dyDescent="0.25">
      <c r="A2602" s="1" t="s">
        <v>2615</v>
      </c>
      <c r="B2602" s="5">
        <v>45766.333333333336</v>
      </c>
      <c r="C2602" s="1" t="s">
        <v>23</v>
      </c>
      <c r="D2602" s="1" t="s">
        <v>9</v>
      </c>
      <c r="E2602" s="1">
        <v>6</v>
      </c>
      <c r="F2602" s="1">
        <v>85.19</v>
      </c>
      <c r="G2602" s="1">
        <v>20.399999999999999</v>
      </c>
      <c r="H2602">
        <f t="shared" si="40"/>
        <v>511.14</v>
      </c>
    </row>
    <row r="2603" spans="1:8" x14ac:dyDescent="0.25">
      <c r="A2603" s="1" t="s">
        <v>2616</v>
      </c>
      <c r="B2603" s="5">
        <v>45766.375</v>
      </c>
      <c r="C2603" s="1" t="s">
        <v>13</v>
      </c>
      <c r="D2603" s="1" t="s">
        <v>16</v>
      </c>
      <c r="E2603" s="1">
        <v>18</v>
      </c>
      <c r="F2603" s="1">
        <v>326.37</v>
      </c>
      <c r="G2603" s="1">
        <v>12.83</v>
      </c>
      <c r="H2603">
        <f t="shared" si="40"/>
        <v>5874.66</v>
      </c>
    </row>
    <row r="2604" spans="1:8" x14ac:dyDescent="0.25">
      <c r="A2604" s="1" t="s">
        <v>2617</v>
      </c>
      <c r="B2604" s="5">
        <v>45766.416666666664</v>
      </c>
      <c r="C2604" s="1" t="s">
        <v>23</v>
      </c>
      <c r="D2604" s="1" t="s">
        <v>19</v>
      </c>
      <c r="E2604" s="1">
        <v>19</v>
      </c>
      <c r="F2604" s="1">
        <v>320.64999999999998</v>
      </c>
      <c r="G2604" s="1">
        <v>29.83</v>
      </c>
      <c r="H2604">
        <f t="shared" si="40"/>
        <v>6092.3499999999995</v>
      </c>
    </row>
    <row r="2605" spans="1:8" x14ac:dyDescent="0.25">
      <c r="A2605" s="1" t="s">
        <v>2618</v>
      </c>
      <c r="B2605" s="5">
        <v>45766.458333333336</v>
      </c>
      <c r="C2605" s="1" t="s">
        <v>13</v>
      </c>
      <c r="D2605" s="1" t="s">
        <v>19</v>
      </c>
      <c r="E2605" s="1">
        <v>9</v>
      </c>
      <c r="F2605" s="1">
        <v>435.64</v>
      </c>
      <c r="G2605" s="1">
        <v>47.53</v>
      </c>
      <c r="H2605">
        <f t="shared" si="40"/>
        <v>3920.7599999999998</v>
      </c>
    </row>
    <row r="2606" spans="1:8" x14ac:dyDescent="0.25">
      <c r="A2606" s="1" t="s">
        <v>2619</v>
      </c>
      <c r="B2606" s="5">
        <v>45766.5</v>
      </c>
      <c r="C2606" s="1" t="s">
        <v>8</v>
      </c>
      <c r="D2606" s="1" t="s">
        <v>37</v>
      </c>
      <c r="E2606" s="1">
        <v>6</v>
      </c>
      <c r="F2606" s="1">
        <v>145.93</v>
      </c>
      <c r="G2606" s="1">
        <v>28.3</v>
      </c>
      <c r="H2606">
        <f t="shared" si="40"/>
        <v>875.58</v>
      </c>
    </row>
    <row r="2607" spans="1:8" x14ac:dyDescent="0.25">
      <c r="A2607" s="1" t="s">
        <v>2620</v>
      </c>
      <c r="B2607" s="5">
        <v>45766.541666666664</v>
      </c>
      <c r="C2607" s="1" t="s">
        <v>8</v>
      </c>
      <c r="D2607" s="1" t="s">
        <v>16</v>
      </c>
      <c r="E2607" s="1">
        <v>14</v>
      </c>
      <c r="F2607" s="1">
        <v>344.18</v>
      </c>
      <c r="G2607" s="1">
        <v>42.44</v>
      </c>
      <c r="H2607">
        <f t="shared" si="40"/>
        <v>4818.5200000000004</v>
      </c>
    </row>
    <row r="2608" spans="1:8" x14ac:dyDescent="0.25">
      <c r="A2608" s="1" t="s">
        <v>2621</v>
      </c>
      <c r="B2608" s="5">
        <v>45766.583333333336</v>
      </c>
      <c r="C2608" s="1" t="s">
        <v>11</v>
      </c>
      <c r="D2608" s="1" t="s">
        <v>37</v>
      </c>
      <c r="E2608" s="1">
        <v>13</v>
      </c>
      <c r="F2608" s="1">
        <v>204.1</v>
      </c>
      <c r="G2608" s="1">
        <v>39.07</v>
      </c>
      <c r="H2608">
        <f t="shared" si="40"/>
        <v>2653.2999999999997</v>
      </c>
    </row>
    <row r="2609" spans="1:8" x14ac:dyDescent="0.25">
      <c r="A2609" s="1" t="s">
        <v>2622</v>
      </c>
      <c r="B2609" s="5">
        <v>45766.625</v>
      </c>
      <c r="C2609" s="1" t="s">
        <v>13</v>
      </c>
      <c r="D2609" s="1" t="s">
        <v>37</v>
      </c>
      <c r="E2609" s="1">
        <v>11</v>
      </c>
      <c r="F2609" s="1">
        <v>258.16000000000003</v>
      </c>
      <c r="G2609" s="1">
        <v>28.32</v>
      </c>
      <c r="H2609">
        <f t="shared" si="40"/>
        <v>2839.76</v>
      </c>
    </row>
    <row r="2610" spans="1:8" x14ac:dyDescent="0.25">
      <c r="A2610" s="1" t="s">
        <v>2623</v>
      </c>
      <c r="B2610" s="5">
        <v>45766.666666666664</v>
      </c>
      <c r="C2610" s="1" t="s">
        <v>23</v>
      </c>
      <c r="D2610" s="1" t="s">
        <v>19</v>
      </c>
      <c r="E2610" s="1">
        <v>12</v>
      </c>
      <c r="F2610" s="1">
        <v>370.25</v>
      </c>
      <c r="G2610" s="1">
        <v>34.14</v>
      </c>
      <c r="H2610">
        <f t="shared" si="40"/>
        <v>4443</v>
      </c>
    </row>
    <row r="2611" spans="1:8" x14ac:dyDescent="0.25">
      <c r="A2611" s="1" t="s">
        <v>2624</v>
      </c>
      <c r="B2611" s="5">
        <v>45766.708333333336</v>
      </c>
      <c r="C2611" s="1" t="s">
        <v>11</v>
      </c>
      <c r="D2611" s="1" t="s">
        <v>9</v>
      </c>
      <c r="E2611" s="1">
        <v>19</v>
      </c>
      <c r="F2611" s="1">
        <v>111.96</v>
      </c>
      <c r="G2611" s="1">
        <v>23.3</v>
      </c>
      <c r="H2611">
        <f t="shared" si="40"/>
        <v>2127.2399999999998</v>
      </c>
    </row>
    <row r="2612" spans="1:8" x14ac:dyDescent="0.25">
      <c r="A2612" s="1" t="s">
        <v>2625</v>
      </c>
      <c r="B2612" s="5">
        <v>45766.75</v>
      </c>
      <c r="C2612" s="1" t="s">
        <v>11</v>
      </c>
      <c r="D2612" s="1" t="s">
        <v>9</v>
      </c>
      <c r="E2612" s="1">
        <v>19</v>
      </c>
      <c r="F2612" s="1">
        <v>164.48</v>
      </c>
      <c r="G2612" s="1">
        <v>28.88</v>
      </c>
      <c r="H2612">
        <f t="shared" si="40"/>
        <v>3125.12</v>
      </c>
    </row>
    <row r="2613" spans="1:8" x14ac:dyDescent="0.25">
      <c r="A2613" s="1" t="s">
        <v>2626</v>
      </c>
      <c r="B2613" s="5">
        <v>45766.791666666664</v>
      </c>
      <c r="C2613" s="1" t="s">
        <v>11</v>
      </c>
      <c r="D2613" s="1" t="s">
        <v>37</v>
      </c>
      <c r="E2613" s="1">
        <v>19</v>
      </c>
      <c r="F2613" s="1">
        <v>351.5</v>
      </c>
      <c r="G2613" s="1">
        <v>27.83</v>
      </c>
      <c r="H2613">
        <f t="shared" si="40"/>
        <v>6678.5</v>
      </c>
    </row>
    <row r="2614" spans="1:8" x14ac:dyDescent="0.25">
      <c r="A2614" s="1" t="s">
        <v>2627</v>
      </c>
      <c r="B2614" s="5">
        <v>45766.833333333336</v>
      </c>
      <c r="C2614" s="1" t="s">
        <v>23</v>
      </c>
      <c r="D2614" s="1" t="s">
        <v>19</v>
      </c>
      <c r="E2614" s="1">
        <v>13</v>
      </c>
      <c r="F2614" s="1">
        <v>263.36</v>
      </c>
      <c r="G2614" s="1">
        <v>36.909999999999997</v>
      </c>
      <c r="H2614">
        <f t="shared" si="40"/>
        <v>3423.6800000000003</v>
      </c>
    </row>
    <row r="2615" spans="1:8" x14ac:dyDescent="0.25">
      <c r="A2615" s="1" t="s">
        <v>2628</v>
      </c>
      <c r="B2615" s="5">
        <v>45766.875</v>
      </c>
      <c r="C2615" s="1" t="s">
        <v>11</v>
      </c>
      <c r="D2615" s="1" t="s">
        <v>16</v>
      </c>
      <c r="E2615" s="1">
        <v>14</v>
      </c>
      <c r="F2615" s="1">
        <v>55.66</v>
      </c>
      <c r="G2615" s="1">
        <v>23.45</v>
      </c>
      <c r="H2615">
        <f t="shared" si="40"/>
        <v>779.24</v>
      </c>
    </row>
    <row r="2616" spans="1:8" x14ac:dyDescent="0.25">
      <c r="A2616" s="1" t="s">
        <v>2629</v>
      </c>
      <c r="B2616" s="5">
        <v>45766.916666666664</v>
      </c>
      <c r="C2616" s="1" t="s">
        <v>23</v>
      </c>
      <c r="D2616" s="1" t="s">
        <v>9</v>
      </c>
      <c r="E2616" s="1">
        <v>18</v>
      </c>
      <c r="F2616" s="1">
        <v>202.42</v>
      </c>
      <c r="G2616" s="1">
        <v>9.49</v>
      </c>
      <c r="H2616">
        <f t="shared" si="40"/>
        <v>3643.56</v>
      </c>
    </row>
    <row r="2617" spans="1:8" x14ac:dyDescent="0.25">
      <c r="A2617" s="1" t="s">
        <v>2630</v>
      </c>
      <c r="B2617" s="5">
        <v>45766.958333333336</v>
      </c>
      <c r="C2617" s="1" t="s">
        <v>11</v>
      </c>
      <c r="D2617" s="1" t="s">
        <v>37</v>
      </c>
      <c r="E2617" s="1">
        <v>12</v>
      </c>
      <c r="F2617" s="1">
        <v>270.39</v>
      </c>
      <c r="G2617" s="1">
        <v>40.49</v>
      </c>
      <c r="H2617">
        <f t="shared" si="40"/>
        <v>3244.68</v>
      </c>
    </row>
    <row r="2618" spans="1:8" x14ac:dyDescent="0.25">
      <c r="A2618" s="1" t="s">
        <v>2631</v>
      </c>
      <c r="B2618" s="5">
        <v>45767</v>
      </c>
      <c r="C2618" s="1" t="s">
        <v>23</v>
      </c>
      <c r="D2618" s="1" t="s">
        <v>9</v>
      </c>
      <c r="E2618" s="1">
        <v>4</v>
      </c>
      <c r="F2618" s="1">
        <v>410.69</v>
      </c>
      <c r="G2618" s="1">
        <v>35.82</v>
      </c>
      <c r="H2618">
        <f t="shared" si="40"/>
        <v>1642.76</v>
      </c>
    </row>
    <row r="2619" spans="1:8" x14ac:dyDescent="0.25">
      <c r="A2619" s="1" t="s">
        <v>2632</v>
      </c>
      <c r="B2619" s="5">
        <v>45767.041666666664</v>
      </c>
      <c r="C2619" s="1" t="s">
        <v>8</v>
      </c>
      <c r="D2619" s="1" t="s">
        <v>9</v>
      </c>
      <c r="E2619" s="1">
        <v>10</v>
      </c>
      <c r="F2619" s="1">
        <v>97.4</v>
      </c>
      <c r="G2619" s="1">
        <v>47.76</v>
      </c>
      <c r="H2619">
        <f t="shared" si="40"/>
        <v>974</v>
      </c>
    </row>
    <row r="2620" spans="1:8" x14ac:dyDescent="0.25">
      <c r="A2620" s="1" t="s">
        <v>2633</v>
      </c>
      <c r="B2620" s="5">
        <v>45767.083333333336</v>
      </c>
      <c r="C2620" s="1" t="s">
        <v>8</v>
      </c>
      <c r="D2620" s="1" t="s">
        <v>16</v>
      </c>
      <c r="E2620" s="1">
        <v>17</v>
      </c>
      <c r="F2620" s="1">
        <v>365.69</v>
      </c>
      <c r="G2620" s="1">
        <v>24.29</v>
      </c>
      <c r="H2620">
        <f t="shared" si="40"/>
        <v>6216.73</v>
      </c>
    </row>
    <row r="2621" spans="1:8" x14ac:dyDescent="0.25">
      <c r="A2621" s="1" t="s">
        <v>2634</v>
      </c>
      <c r="B2621" s="5">
        <v>45767.125</v>
      </c>
      <c r="C2621" s="1" t="s">
        <v>8</v>
      </c>
      <c r="D2621" s="1" t="s">
        <v>19</v>
      </c>
      <c r="E2621" s="1">
        <v>4</v>
      </c>
      <c r="F2621" s="1">
        <v>72.260000000000005</v>
      </c>
      <c r="G2621" s="1">
        <v>8.52</v>
      </c>
      <c r="H2621">
        <f t="shared" si="40"/>
        <v>289.04000000000002</v>
      </c>
    </row>
    <row r="2622" spans="1:8" x14ac:dyDescent="0.25">
      <c r="A2622" s="1" t="s">
        <v>2635</v>
      </c>
      <c r="B2622" s="5">
        <v>45767.166666666664</v>
      </c>
      <c r="C2622" s="1" t="s">
        <v>8</v>
      </c>
      <c r="D2622" s="1" t="s">
        <v>16</v>
      </c>
      <c r="E2622" s="1">
        <v>12</v>
      </c>
      <c r="F2622" s="1">
        <v>120.75</v>
      </c>
      <c r="G2622" s="1">
        <v>10.47</v>
      </c>
      <c r="H2622">
        <f t="shared" si="40"/>
        <v>1449</v>
      </c>
    </row>
    <row r="2623" spans="1:8" x14ac:dyDescent="0.25">
      <c r="A2623" s="1" t="s">
        <v>2636</v>
      </c>
      <c r="B2623" s="5">
        <v>45767.208333333336</v>
      </c>
      <c r="C2623" s="1" t="s">
        <v>8</v>
      </c>
      <c r="D2623" s="1" t="s">
        <v>19</v>
      </c>
      <c r="E2623" s="1">
        <v>13</v>
      </c>
      <c r="F2623" s="1">
        <v>121.23</v>
      </c>
      <c r="G2623" s="1">
        <v>39.799999999999997</v>
      </c>
      <c r="H2623">
        <f t="shared" si="40"/>
        <v>1575.99</v>
      </c>
    </row>
    <row r="2624" spans="1:8" x14ac:dyDescent="0.25">
      <c r="A2624" s="1" t="s">
        <v>2637</v>
      </c>
      <c r="B2624" s="5">
        <v>45767.25</v>
      </c>
      <c r="C2624" s="1" t="s">
        <v>11</v>
      </c>
      <c r="D2624" s="1" t="s">
        <v>9</v>
      </c>
      <c r="E2624" s="1">
        <v>4</v>
      </c>
      <c r="F2624" s="1">
        <v>396.76</v>
      </c>
      <c r="G2624" s="1">
        <v>8.0500000000000007</v>
      </c>
      <c r="H2624">
        <f t="shared" si="40"/>
        <v>1587.04</v>
      </c>
    </row>
    <row r="2625" spans="1:8" x14ac:dyDescent="0.25">
      <c r="A2625" s="1" t="s">
        <v>2638</v>
      </c>
      <c r="B2625" s="5">
        <v>45767.291666666664</v>
      </c>
      <c r="C2625" s="1" t="s">
        <v>11</v>
      </c>
      <c r="D2625" s="1" t="s">
        <v>37</v>
      </c>
      <c r="E2625" s="1">
        <v>10</v>
      </c>
      <c r="F2625" s="1">
        <v>101.97</v>
      </c>
      <c r="G2625" s="1">
        <v>45.85</v>
      </c>
      <c r="H2625">
        <f t="shared" si="40"/>
        <v>1019.7</v>
      </c>
    </row>
    <row r="2626" spans="1:8" x14ac:dyDescent="0.25">
      <c r="A2626" s="1" t="s">
        <v>2639</v>
      </c>
      <c r="B2626" s="5">
        <v>45767.333333333336</v>
      </c>
      <c r="C2626" s="1" t="s">
        <v>11</v>
      </c>
      <c r="D2626" s="1" t="s">
        <v>16</v>
      </c>
      <c r="E2626" s="1">
        <v>3</v>
      </c>
      <c r="F2626" s="1">
        <v>357.43</v>
      </c>
      <c r="G2626" s="1">
        <v>17.670000000000002</v>
      </c>
      <c r="H2626">
        <f t="shared" ref="H2626:H2689" si="41">E2626*F2626</f>
        <v>1072.29</v>
      </c>
    </row>
    <row r="2627" spans="1:8" x14ac:dyDescent="0.25">
      <c r="A2627" s="1" t="s">
        <v>2640</v>
      </c>
      <c r="B2627" s="5">
        <v>45767.375</v>
      </c>
      <c r="C2627" s="1" t="s">
        <v>23</v>
      </c>
      <c r="D2627" s="1" t="s">
        <v>19</v>
      </c>
      <c r="E2627" s="1">
        <v>15</v>
      </c>
      <c r="F2627" s="1">
        <v>216.15</v>
      </c>
      <c r="G2627" s="1">
        <v>45.45</v>
      </c>
      <c r="H2627">
        <f t="shared" si="41"/>
        <v>3242.25</v>
      </c>
    </row>
    <row r="2628" spans="1:8" x14ac:dyDescent="0.25">
      <c r="A2628" s="1" t="s">
        <v>2641</v>
      </c>
      <c r="B2628" s="5">
        <v>45767.416666666664</v>
      </c>
      <c r="C2628" s="1" t="s">
        <v>23</v>
      </c>
      <c r="D2628" s="1" t="s">
        <v>9</v>
      </c>
      <c r="E2628" s="1">
        <v>2</v>
      </c>
      <c r="F2628" s="1">
        <v>449.6</v>
      </c>
      <c r="G2628" s="1">
        <v>39.81</v>
      </c>
      <c r="H2628">
        <f t="shared" si="41"/>
        <v>899.2</v>
      </c>
    </row>
    <row r="2629" spans="1:8" x14ac:dyDescent="0.25">
      <c r="A2629" s="1" t="s">
        <v>2642</v>
      </c>
      <c r="B2629" s="5">
        <v>45767.458333333336</v>
      </c>
      <c r="C2629" s="1" t="s">
        <v>23</v>
      </c>
      <c r="D2629" s="1" t="s">
        <v>19</v>
      </c>
      <c r="E2629" s="1">
        <v>17</v>
      </c>
      <c r="F2629" s="1">
        <v>380.09</v>
      </c>
      <c r="G2629" s="1">
        <v>44.2</v>
      </c>
      <c r="H2629">
        <f t="shared" si="41"/>
        <v>6461.53</v>
      </c>
    </row>
    <row r="2630" spans="1:8" x14ac:dyDescent="0.25">
      <c r="A2630" s="1" t="s">
        <v>2643</v>
      </c>
      <c r="B2630" s="5">
        <v>45767.5</v>
      </c>
      <c r="C2630" s="1" t="s">
        <v>23</v>
      </c>
      <c r="D2630" s="1" t="s">
        <v>19</v>
      </c>
      <c r="E2630" s="1">
        <v>6</v>
      </c>
      <c r="F2630" s="1">
        <v>336.9</v>
      </c>
      <c r="G2630" s="1">
        <v>14.63</v>
      </c>
      <c r="H2630">
        <f t="shared" si="41"/>
        <v>2021.3999999999999</v>
      </c>
    </row>
    <row r="2631" spans="1:8" x14ac:dyDescent="0.25">
      <c r="A2631" s="1" t="s">
        <v>2644</v>
      </c>
      <c r="B2631" s="5">
        <v>45767.541666666664</v>
      </c>
      <c r="C2631" s="1" t="s">
        <v>8</v>
      </c>
      <c r="D2631" s="1" t="s">
        <v>19</v>
      </c>
      <c r="E2631" s="1">
        <v>8</v>
      </c>
      <c r="F2631" s="1">
        <v>393.83</v>
      </c>
      <c r="G2631" s="1">
        <v>31.81</v>
      </c>
      <c r="H2631">
        <f t="shared" si="41"/>
        <v>3150.64</v>
      </c>
    </row>
    <row r="2632" spans="1:8" x14ac:dyDescent="0.25">
      <c r="A2632" s="1" t="s">
        <v>2645</v>
      </c>
      <c r="B2632" s="5">
        <v>45767.583333333336</v>
      </c>
      <c r="C2632" s="1" t="s">
        <v>8</v>
      </c>
      <c r="D2632" s="1" t="s">
        <v>9</v>
      </c>
      <c r="E2632" s="1">
        <v>3</v>
      </c>
      <c r="F2632" s="1">
        <v>290.99</v>
      </c>
      <c r="G2632" s="1">
        <v>9.2100000000000009</v>
      </c>
      <c r="H2632">
        <f t="shared" si="41"/>
        <v>872.97</v>
      </c>
    </row>
    <row r="2633" spans="1:8" x14ac:dyDescent="0.25">
      <c r="A2633" s="1" t="s">
        <v>2646</v>
      </c>
      <c r="B2633" s="5">
        <v>45767.625</v>
      </c>
      <c r="C2633" s="1" t="s">
        <v>8</v>
      </c>
      <c r="D2633" s="1" t="s">
        <v>37</v>
      </c>
      <c r="E2633" s="1">
        <v>18</v>
      </c>
      <c r="F2633" s="1">
        <v>382.07</v>
      </c>
      <c r="G2633" s="1">
        <v>14.1</v>
      </c>
      <c r="H2633">
        <f t="shared" si="41"/>
        <v>6877.26</v>
      </c>
    </row>
    <row r="2634" spans="1:8" x14ac:dyDescent="0.25">
      <c r="A2634" s="1" t="s">
        <v>2647</v>
      </c>
      <c r="B2634" s="5">
        <v>45767.666666666664</v>
      </c>
      <c r="C2634" s="1" t="s">
        <v>13</v>
      </c>
      <c r="D2634" s="1" t="s">
        <v>37</v>
      </c>
      <c r="E2634" s="1">
        <v>1</v>
      </c>
      <c r="F2634" s="1">
        <v>128.96</v>
      </c>
      <c r="G2634" s="1">
        <v>18.95</v>
      </c>
      <c r="H2634">
        <f t="shared" si="41"/>
        <v>128.96</v>
      </c>
    </row>
    <row r="2635" spans="1:8" x14ac:dyDescent="0.25">
      <c r="A2635" s="1" t="s">
        <v>2648</v>
      </c>
      <c r="B2635" s="5">
        <v>45767.708333333336</v>
      </c>
      <c r="C2635" s="1" t="s">
        <v>11</v>
      </c>
      <c r="D2635" s="1" t="s">
        <v>37</v>
      </c>
      <c r="E2635" s="1">
        <v>16</v>
      </c>
      <c r="F2635" s="1">
        <v>57.95</v>
      </c>
      <c r="G2635" s="1">
        <v>38.340000000000003</v>
      </c>
      <c r="H2635">
        <f t="shared" si="41"/>
        <v>927.2</v>
      </c>
    </row>
    <row r="2636" spans="1:8" x14ac:dyDescent="0.25">
      <c r="A2636" s="1" t="s">
        <v>2649</v>
      </c>
      <c r="B2636" s="5">
        <v>45767.75</v>
      </c>
      <c r="C2636" s="1" t="s">
        <v>23</v>
      </c>
      <c r="D2636" s="1" t="s">
        <v>19</v>
      </c>
      <c r="E2636" s="1">
        <v>7</v>
      </c>
      <c r="F2636" s="1">
        <v>283.12</v>
      </c>
      <c r="G2636" s="1">
        <v>6.11</v>
      </c>
      <c r="H2636">
        <f t="shared" si="41"/>
        <v>1981.8400000000001</v>
      </c>
    </row>
    <row r="2637" spans="1:8" x14ac:dyDescent="0.25">
      <c r="A2637" s="1" t="s">
        <v>2650</v>
      </c>
      <c r="B2637" s="5">
        <v>45767.791666666664</v>
      </c>
      <c r="C2637" s="1" t="s">
        <v>23</v>
      </c>
      <c r="D2637" s="1" t="s">
        <v>9</v>
      </c>
      <c r="E2637" s="1">
        <v>3</v>
      </c>
      <c r="F2637" s="1">
        <v>204.37</v>
      </c>
      <c r="G2637" s="1">
        <v>45.64</v>
      </c>
      <c r="H2637">
        <f t="shared" si="41"/>
        <v>613.11</v>
      </c>
    </row>
    <row r="2638" spans="1:8" x14ac:dyDescent="0.25">
      <c r="A2638" s="1" t="s">
        <v>2651</v>
      </c>
      <c r="B2638" s="5">
        <v>45767.833333333336</v>
      </c>
      <c r="C2638" s="1" t="s">
        <v>8</v>
      </c>
      <c r="D2638" s="1" t="s">
        <v>19</v>
      </c>
      <c r="E2638" s="1">
        <v>4</v>
      </c>
      <c r="F2638" s="1">
        <v>200.79</v>
      </c>
      <c r="G2638" s="1">
        <v>8.19</v>
      </c>
      <c r="H2638">
        <f t="shared" si="41"/>
        <v>803.16</v>
      </c>
    </row>
    <row r="2639" spans="1:8" x14ac:dyDescent="0.25">
      <c r="A2639" s="1" t="s">
        <v>2652</v>
      </c>
      <c r="B2639" s="5">
        <v>45767.875</v>
      </c>
      <c r="C2639" s="1" t="s">
        <v>23</v>
      </c>
      <c r="D2639" s="1" t="s">
        <v>37</v>
      </c>
      <c r="E2639" s="1">
        <v>9</v>
      </c>
      <c r="F2639" s="1">
        <v>244.37</v>
      </c>
      <c r="G2639" s="1">
        <v>21.94</v>
      </c>
      <c r="H2639">
        <f t="shared" si="41"/>
        <v>2199.33</v>
      </c>
    </row>
    <row r="2640" spans="1:8" x14ac:dyDescent="0.25">
      <c r="A2640" s="1" t="s">
        <v>2653</v>
      </c>
      <c r="B2640" s="5">
        <v>45767.916666666664</v>
      </c>
      <c r="C2640" s="1" t="s">
        <v>23</v>
      </c>
      <c r="D2640" s="1" t="s">
        <v>37</v>
      </c>
      <c r="E2640" s="1">
        <v>5</v>
      </c>
      <c r="F2640" s="1">
        <v>172.52</v>
      </c>
      <c r="G2640" s="1">
        <v>8.65</v>
      </c>
      <c r="H2640">
        <f t="shared" si="41"/>
        <v>862.6</v>
      </c>
    </row>
    <row r="2641" spans="1:8" x14ac:dyDescent="0.25">
      <c r="A2641" s="1" t="s">
        <v>2654</v>
      </c>
      <c r="B2641" s="5">
        <v>45767.958333333336</v>
      </c>
      <c r="C2641" s="1" t="s">
        <v>11</v>
      </c>
      <c r="D2641" s="1" t="s">
        <v>9</v>
      </c>
      <c r="E2641" s="1">
        <v>19</v>
      </c>
      <c r="F2641" s="1">
        <v>287.52</v>
      </c>
      <c r="G2641" s="1">
        <v>39.6</v>
      </c>
      <c r="H2641">
        <f t="shared" si="41"/>
        <v>5462.8799999999992</v>
      </c>
    </row>
    <row r="2642" spans="1:8" x14ac:dyDescent="0.25">
      <c r="A2642" s="1" t="s">
        <v>2655</v>
      </c>
      <c r="B2642" s="5">
        <v>45768</v>
      </c>
      <c r="C2642" s="1" t="s">
        <v>8</v>
      </c>
      <c r="D2642" s="1" t="s">
        <v>19</v>
      </c>
      <c r="E2642" s="1">
        <v>15</v>
      </c>
      <c r="F2642" s="1">
        <v>28.78</v>
      </c>
      <c r="G2642" s="1">
        <v>11.36</v>
      </c>
      <c r="H2642">
        <f t="shared" si="41"/>
        <v>431.70000000000005</v>
      </c>
    </row>
    <row r="2643" spans="1:8" x14ac:dyDescent="0.25">
      <c r="A2643" s="1" t="s">
        <v>2656</v>
      </c>
      <c r="B2643" s="5">
        <v>45768.041666666664</v>
      </c>
      <c r="C2643" s="1" t="s">
        <v>11</v>
      </c>
      <c r="D2643" s="1" t="s">
        <v>16</v>
      </c>
      <c r="E2643" s="1">
        <v>8</v>
      </c>
      <c r="F2643" s="1">
        <v>436.92</v>
      </c>
      <c r="G2643" s="1">
        <v>44.81</v>
      </c>
      <c r="H2643">
        <f t="shared" si="41"/>
        <v>3495.36</v>
      </c>
    </row>
    <row r="2644" spans="1:8" x14ac:dyDescent="0.25">
      <c r="A2644" s="1" t="s">
        <v>2657</v>
      </c>
      <c r="B2644" s="5">
        <v>45768.083333333336</v>
      </c>
      <c r="C2644" s="1" t="s">
        <v>13</v>
      </c>
      <c r="D2644" s="1" t="s">
        <v>16</v>
      </c>
      <c r="E2644" s="1">
        <v>6</v>
      </c>
      <c r="F2644" s="1">
        <v>417.29</v>
      </c>
      <c r="G2644" s="1">
        <v>28.86</v>
      </c>
      <c r="H2644">
        <f t="shared" si="41"/>
        <v>2503.7400000000002</v>
      </c>
    </row>
    <row r="2645" spans="1:8" x14ac:dyDescent="0.25">
      <c r="A2645" s="1" t="s">
        <v>2658</v>
      </c>
      <c r="B2645" s="5">
        <v>45768.125</v>
      </c>
      <c r="C2645" s="1" t="s">
        <v>13</v>
      </c>
      <c r="D2645" s="1" t="s">
        <v>37</v>
      </c>
      <c r="E2645" s="1">
        <v>18</v>
      </c>
      <c r="F2645" s="1">
        <v>421.87</v>
      </c>
      <c r="G2645" s="1">
        <v>47.68</v>
      </c>
      <c r="H2645">
        <f t="shared" si="41"/>
        <v>7593.66</v>
      </c>
    </row>
    <row r="2646" spans="1:8" x14ac:dyDescent="0.25">
      <c r="A2646" s="1" t="s">
        <v>2659</v>
      </c>
      <c r="B2646" s="5">
        <v>45768.166666666664</v>
      </c>
      <c r="C2646" s="1" t="s">
        <v>13</v>
      </c>
      <c r="D2646" s="1" t="s">
        <v>9</v>
      </c>
      <c r="E2646" s="1">
        <v>19</v>
      </c>
      <c r="F2646" s="1">
        <v>174.09</v>
      </c>
      <c r="G2646" s="1">
        <v>18.07</v>
      </c>
      <c r="H2646">
        <f t="shared" si="41"/>
        <v>3307.71</v>
      </c>
    </row>
    <row r="2647" spans="1:8" x14ac:dyDescent="0.25">
      <c r="A2647" s="1" t="s">
        <v>2660</v>
      </c>
      <c r="B2647" s="5">
        <v>45768.208333333336</v>
      </c>
      <c r="C2647" s="1" t="s">
        <v>8</v>
      </c>
      <c r="D2647" s="1" t="s">
        <v>19</v>
      </c>
      <c r="E2647" s="1">
        <v>15</v>
      </c>
      <c r="F2647" s="1">
        <v>246.61</v>
      </c>
      <c r="G2647" s="1">
        <v>25.44</v>
      </c>
      <c r="H2647">
        <f t="shared" si="41"/>
        <v>3699.15</v>
      </c>
    </row>
    <row r="2648" spans="1:8" x14ac:dyDescent="0.25">
      <c r="A2648" s="1" t="s">
        <v>2661</v>
      </c>
      <c r="B2648" s="5">
        <v>45768.25</v>
      </c>
      <c r="C2648" s="1" t="s">
        <v>23</v>
      </c>
      <c r="D2648" s="1" t="s">
        <v>19</v>
      </c>
      <c r="E2648" s="1">
        <v>7</v>
      </c>
      <c r="F2648" s="1">
        <v>430.07</v>
      </c>
      <c r="G2648" s="1">
        <v>36.24</v>
      </c>
      <c r="H2648">
        <f t="shared" si="41"/>
        <v>3010.49</v>
      </c>
    </row>
    <row r="2649" spans="1:8" x14ac:dyDescent="0.25">
      <c r="A2649" s="1" t="s">
        <v>2662</v>
      </c>
      <c r="B2649" s="5">
        <v>45768.291666666664</v>
      </c>
      <c r="C2649" s="1" t="s">
        <v>8</v>
      </c>
      <c r="D2649" s="1" t="s">
        <v>37</v>
      </c>
      <c r="E2649" s="1">
        <v>10</v>
      </c>
      <c r="F2649" s="1">
        <v>407.57</v>
      </c>
      <c r="G2649" s="1">
        <v>42.44</v>
      </c>
      <c r="H2649">
        <f t="shared" si="41"/>
        <v>4075.7</v>
      </c>
    </row>
    <row r="2650" spans="1:8" x14ac:dyDescent="0.25">
      <c r="A2650" s="1" t="s">
        <v>2663</v>
      </c>
      <c r="B2650" s="5">
        <v>45768.333333333336</v>
      </c>
      <c r="C2650" s="1" t="s">
        <v>8</v>
      </c>
      <c r="D2650" s="1" t="s">
        <v>37</v>
      </c>
      <c r="E2650" s="1">
        <v>6</v>
      </c>
      <c r="F2650" s="1">
        <v>358.86</v>
      </c>
      <c r="G2650" s="1">
        <v>23.96</v>
      </c>
      <c r="H2650">
        <f t="shared" si="41"/>
        <v>2153.16</v>
      </c>
    </row>
    <row r="2651" spans="1:8" x14ac:dyDescent="0.25">
      <c r="A2651" s="1" t="s">
        <v>2664</v>
      </c>
      <c r="B2651" s="5">
        <v>45768.375</v>
      </c>
      <c r="C2651" s="1" t="s">
        <v>23</v>
      </c>
      <c r="D2651" s="1" t="s">
        <v>19</v>
      </c>
      <c r="E2651" s="1">
        <v>14</v>
      </c>
      <c r="F2651" s="1">
        <v>192.49</v>
      </c>
      <c r="G2651" s="1">
        <v>45.16</v>
      </c>
      <c r="H2651">
        <f t="shared" si="41"/>
        <v>2694.86</v>
      </c>
    </row>
    <row r="2652" spans="1:8" x14ac:dyDescent="0.25">
      <c r="A2652" s="1" t="s">
        <v>2665</v>
      </c>
      <c r="B2652" s="5">
        <v>45768.416666666664</v>
      </c>
      <c r="C2652" s="1" t="s">
        <v>11</v>
      </c>
      <c r="D2652" s="1" t="s">
        <v>19</v>
      </c>
      <c r="E2652" s="1">
        <v>17</v>
      </c>
      <c r="F2652" s="1">
        <v>260.70999999999998</v>
      </c>
      <c r="G2652" s="1">
        <v>10.31</v>
      </c>
      <c r="H2652">
        <f t="shared" si="41"/>
        <v>4432.07</v>
      </c>
    </row>
    <row r="2653" spans="1:8" x14ac:dyDescent="0.25">
      <c r="A2653" s="1" t="s">
        <v>2666</v>
      </c>
      <c r="B2653" s="5">
        <v>45768.458333333336</v>
      </c>
      <c r="C2653" s="1" t="s">
        <v>13</v>
      </c>
      <c r="D2653" s="1" t="s">
        <v>37</v>
      </c>
      <c r="E2653" s="1">
        <v>9</v>
      </c>
      <c r="F2653" s="1">
        <v>360.02</v>
      </c>
      <c r="G2653" s="1">
        <v>36.89</v>
      </c>
      <c r="H2653">
        <f t="shared" si="41"/>
        <v>3240.18</v>
      </c>
    </row>
    <row r="2654" spans="1:8" x14ac:dyDescent="0.25">
      <c r="A2654" s="1" t="s">
        <v>2667</v>
      </c>
      <c r="B2654" s="5">
        <v>45768.5</v>
      </c>
      <c r="C2654" s="1" t="s">
        <v>11</v>
      </c>
      <c r="D2654" s="1" t="s">
        <v>19</v>
      </c>
      <c r="E2654" s="1">
        <v>19</v>
      </c>
      <c r="F2654" s="1">
        <v>134.12</v>
      </c>
      <c r="G2654" s="1">
        <v>20.67</v>
      </c>
      <c r="H2654">
        <f t="shared" si="41"/>
        <v>2548.2800000000002</v>
      </c>
    </row>
    <row r="2655" spans="1:8" x14ac:dyDescent="0.25">
      <c r="A2655" s="1" t="s">
        <v>2668</v>
      </c>
      <c r="B2655" s="5">
        <v>45768.541666666664</v>
      </c>
      <c r="C2655" s="1" t="s">
        <v>13</v>
      </c>
      <c r="D2655" s="1" t="s">
        <v>16</v>
      </c>
      <c r="E2655" s="1">
        <v>5</v>
      </c>
      <c r="F2655" s="1">
        <v>287.69</v>
      </c>
      <c r="G2655" s="1">
        <v>9.56</v>
      </c>
      <c r="H2655">
        <f t="shared" si="41"/>
        <v>1438.45</v>
      </c>
    </row>
    <row r="2656" spans="1:8" x14ac:dyDescent="0.25">
      <c r="A2656" s="1" t="s">
        <v>2669</v>
      </c>
      <c r="B2656" s="5">
        <v>45768.583333333336</v>
      </c>
      <c r="C2656" s="1" t="s">
        <v>8</v>
      </c>
      <c r="D2656" s="1" t="s">
        <v>37</v>
      </c>
      <c r="E2656" s="1">
        <v>7</v>
      </c>
      <c r="F2656" s="1">
        <v>375.24</v>
      </c>
      <c r="G2656" s="1">
        <v>22.4</v>
      </c>
      <c r="H2656">
        <f t="shared" si="41"/>
        <v>2626.6800000000003</v>
      </c>
    </row>
    <row r="2657" spans="1:8" x14ac:dyDescent="0.25">
      <c r="A2657" s="1" t="s">
        <v>2670</v>
      </c>
      <c r="B2657" s="5">
        <v>45768.625</v>
      </c>
      <c r="C2657" s="1" t="s">
        <v>13</v>
      </c>
      <c r="D2657" s="1" t="s">
        <v>19</v>
      </c>
      <c r="E2657" s="1">
        <v>19</v>
      </c>
      <c r="F2657" s="1">
        <v>322.89</v>
      </c>
      <c r="G2657" s="1">
        <v>44.61</v>
      </c>
      <c r="H2657">
        <f t="shared" si="41"/>
        <v>6134.91</v>
      </c>
    </row>
    <row r="2658" spans="1:8" x14ac:dyDescent="0.25">
      <c r="A2658" s="1" t="s">
        <v>2671</v>
      </c>
      <c r="B2658" s="5">
        <v>45768.666666666664</v>
      </c>
      <c r="C2658" s="1" t="s">
        <v>8</v>
      </c>
      <c r="D2658" s="1" t="s">
        <v>37</v>
      </c>
      <c r="E2658" s="1">
        <v>7</v>
      </c>
      <c r="F2658" s="1">
        <v>223.83</v>
      </c>
      <c r="G2658" s="1">
        <v>49.12</v>
      </c>
      <c r="H2658">
        <f t="shared" si="41"/>
        <v>1566.8100000000002</v>
      </c>
    </row>
    <row r="2659" spans="1:8" x14ac:dyDescent="0.25">
      <c r="A2659" s="1" t="s">
        <v>2672</v>
      </c>
      <c r="B2659" s="5">
        <v>45768.708333333336</v>
      </c>
      <c r="C2659" s="1" t="s">
        <v>11</v>
      </c>
      <c r="D2659" s="1" t="s">
        <v>9</v>
      </c>
      <c r="E2659" s="1">
        <v>2</v>
      </c>
      <c r="F2659" s="1">
        <v>269.51</v>
      </c>
      <c r="G2659" s="1">
        <v>22.68</v>
      </c>
      <c r="H2659">
        <f t="shared" si="41"/>
        <v>539.02</v>
      </c>
    </row>
    <row r="2660" spans="1:8" x14ac:dyDescent="0.25">
      <c r="A2660" s="1" t="s">
        <v>2673</v>
      </c>
      <c r="B2660" s="5">
        <v>45768.75</v>
      </c>
      <c r="C2660" s="1" t="s">
        <v>8</v>
      </c>
      <c r="D2660" s="1" t="s">
        <v>37</v>
      </c>
      <c r="E2660" s="1">
        <v>16</v>
      </c>
      <c r="F2660" s="1">
        <v>445.08</v>
      </c>
      <c r="G2660" s="1">
        <v>44.89</v>
      </c>
      <c r="H2660">
        <f t="shared" si="41"/>
        <v>7121.28</v>
      </c>
    </row>
    <row r="2661" spans="1:8" x14ac:dyDescent="0.25">
      <c r="A2661" s="1" t="s">
        <v>2674</v>
      </c>
      <c r="B2661" s="5">
        <v>45768.791666666664</v>
      </c>
      <c r="C2661" s="1" t="s">
        <v>11</v>
      </c>
      <c r="D2661" s="1" t="s">
        <v>37</v>
      </c>
      <c r="E2661" s="1">
        <v>13</v>
      </c>
      <c r="F2661" s="1">
        <v>277.06</v>
      </c>
      <c r="G2661" s="1">
        <v>27.93</v>
      </c>
      <c r="H2661">
        <f t="shared" si="41"/>
        <v>3601.78</v>
      </c>
    </row>
    <row r="2662" spans="1:8" x14ac:dyDescent="0.25">
      <c r="A2662" s="1" t="s">
        <v>2675</v>
      </c>
      <c r="B2662" s="5">
        <v>45768.833333333336</v>
      </c>
      <c r="C2662" s="1" t="s">
        <v>23</v>
      </c>
      <c r="D2662" s="1" t="s">
        <v>9</v>
      </c>
      <c r="E2662" s="1">
        <v>8</v>
      </c>
      <c r="F2662" s="1">
        <v>356.85</v>
      </c>
      <c r="G2662" s="1">
        <v>37.270000000000003</v>
      </c>
      <c r="H2662">
        <f t="shared" si="41"/>
        <v>2854.8</v>
      </c>
    </row>
    <row r="2663" spans="1:8" x14ac:dyDescent="0.25">
      <c r="A2663" s="1" t="s">
        <v>2676</v>
      </c>
      <c r="B2663" s="5">
        <v>45768.875</v>
      </c>
      <c r="C2663" s="1" t="s">
        <v>23</v>
      </c>
      <c r="D2663" s="1" t="s">
        <v>16</v>
      </c>
      <c r="E2663" s="1">
        <v>6</v>
      </c>
      <c r="F2663" s="1">
        <v>331.21</v>
      </c>
      <c r="G2663" s="1">
        <v>7.04</v>
      </c>
      <c r="H2663">
        <f t="shared" si="41"/>
        <v>1987.2599999999998</v>
      </c>
    </row>
    <row r="2664" spans="1:8" x14ac:dyDescent="0.25">
      <c r="A2664" s="1" t="s">
        <v>2677</v>
      </c>
      <c r="B2664" s="5">
        <v>45768.916666666664</v>
      </c>
      <c r="C2664" s="1" t="s">
        <v>23</v>
      </c>
      <c r="D2664" s="1" t="s">
        <v>19</v>
      </c>
      <c r="E2664" s="1">
        <v>6</v>
      </c>
      <c r="F2664" s="1">
        <v>320.3</v>
      </c>
      <c r="G2664" s="1">
        <v>30.08</v>
      </c>
      <c r="H2664">
        <f t="shared" si="41"/>
        <v>1921.8000000000002</v>
      </c>
    </row>
    <row r="2665" spans="1:8" x14ac:dyDescent="0.25">
      <c r="A2665" s="1" t="s">
        <v>2678</v>
      </c>
      <c r="B2665" s="5">
        <v>45768.958333333336</v>
      </c>
      <c r="C2665" s="1" t="s">
        <v>8</v>
      </c>
      <c r="D2665" s="1" t="s">
        <v>9</v>
      </c>
      <c r="E2665" s="1">
        <v>9</v>
      </c>
      <c r="F2665" s="1">
        <v>326.76</v>
      </c>
      <c r="G2665" s="1">
        <v>8.16</v>
      </c>
      <c r="H2665">
        <f t="shared" si="41"/>
        <v>2940.84</v>
      </c>
    </row>
    <row r="2666" spans="1:8" x14ac:dyDescent="0.25">
      <c r="A2666" s="1" t="s">
        <v>2679</v>
      </c>
      <c r="B2666" s="5">
        <v>45769</v>
      </c>
      <c r="C2666" s="1" t="s">
        <v>23</v>
      </c>
      <c r="D2666" s="1" t="s">
        <v>37</v>
      </c>
      <c r="E2666" s="1">
        <v>4</v>
      </c>
      <c r="F2666" s="1">
        <v>212.94</v>
      </c>
      <c r="G2666" s="1">
        <v>17.09</v>
      </c>
      <c r="H2666">
        <f t="shared" si="41"/>
        <v>851.76</v>
      </c>
    </row>
    <row r="2667" spans="1:8" x14ac:dyDescent="0.25">
      <c r="A2667" s="1" t="s">
        <v>2680</v>
      </c>
      <c r="B2667" s="5">
        <v>45769.041666666664</v>
      </c>
      <c r="C2667" s="1" t="s">
        <v>13</v>
      </c>
      <c r="D2667" s="1" t="s">
        <v>19</v>
      </c>
      <c r="E2667" s="1">
        <v>11</v>
      </c>
      <c r="F2667" s="1">
        <v>221.52</v>
      </c>
      <c r="G2667" s="1">
        <v>30.51</v>
      </c>
      <c r="H2667">
        <f t="shared" si="41"/>
        <v>2436.7200000000003</v>
      </c>
    </row>
    <row r="2668" spans="1:8" x14ac:dyDescent="0.25">
      <c r="A2668" s="1" t="s">
        <v>2681</v>
      </c>
      <c r="B2668" s="5">
        <v>45769.083333333336</v>
      </c>
      <c r="C2668" s="1" t="s">
        <v>11</v>
      </c>
      <c r="D2668" s="1" t="s">
        <v>9</v>
      </c>
      <c r="E2668" s="1">
        <v>5</v>
      </c>
      <c r="F2668" s="1">
        <v>218.79</v>
      </c>
      <c r="G2668" s="1">
        <v>41.32</v>
      </c>
      <c r="H2668">
        <f t="shared" si="41"/>
        <v>1093.95</v>
      </c>
    </row>
    <row r="2669" spans="1:8" x14ac:dyDescent="0.25">
      <c r="A2669" s="1" t="s">
        <v>2682</v>
      </c>
      <c r="B2669" s="5">
        <v>45769.125</v>
      </c>
      <c r="C2669" s="1" t="s">
        <v>11</v>
      </c>
      <c r="D2669" s="1" t="s">
        <v>19</v>
      </c>
      <c r="E2669" s="1">
        <v>17</v>
      </c>
      <c r="F2669" s="1">
        <v>29.95</v>
      </c>
      <c r="G2669" s="1">
        <v>30.24</v>
      </c>
      <c r="H2669">
        <f t="shared" si="41"/>
        <v>509.15</v>
      </c>
    </row>
    <row r="2670" spans="1:8" x14ac:dyDescent="0.25">
      <c r="A2670" s="1" t="s">
        <v>2683</v>
      </c>
      <c r="B2670" s="5">
        <v>45769.166666666664</v>
      </c>
      <c r="C2670" s="1" t="s">
        <v>13</v>
      </c>
      <c r="D2670" s="1" t="s">
        <v>19</v>
      </c>
      <c r="E2670" s="1">
        <v>7</v>
      </c>
      <c r="F2670" s="1">
        <v>120.24</v>
      </c>
      <c r="G2670" s="1">
        <v>47.13</v>
      </c>
      <c r="H2670">
        <f t="shared" si="41"/>
        <v>841.68</v>
      </c>
    </row>
    <row r="2671" spans="1:8" x14ac:dyDescent="0.25">
      <c r="A2671" s="1" t="s">
        <v>2684</v>
      </c>
      <c r="B2671" s="5">
        <v>45769.208333333336</v>
      </c>
      <c r="C2671" s="1" t="s">
        <v>8</v>
      </c>
      <c r="D2671" s="1" t="s">
        <v>9</v>
      </c>
      <c r="E2671" s="1">
        <v>15</v>
      </c>
      <c r="F2671" s="1">
        <v>82.66</v>
      </c>
      <c r="G2671" s="1">
        <v>41.46</v>
      </c>
      <c r="H2671">
        <f t="shared" si="41"/>
        <v>1239.8999999999999</v>
      </c>
    </row>
    <row r="2672" spans="1:8" x14ac:dyDescent="0.25">
      <c r="A2672" s="1" t="s">
        <v>2685</v>
      </c>
      <c r="B2672" s="5">
        <v>45769.25</v>
      </c>
      <c r="C2672" s="1" t="s">
        <v>8</v>
      </c>
      <c r="D2672" s="1" t="s">
        <v>19</v>
      </c>
      <c r="E2672" s="1">
        <v>15</v>
      </c>
      <c r="F2672" s="1">
        <v>400.66</v>
      </c>
      <c r="G2672" s="1">
        <v>12.03</v>
      </c>
      <c r="H2672">
        <f t="shared" si="41"/>
        <v>6009.9000000000005</v>
      </c>
    </row>
    <row r="2673" spans="1:8" x14ac:dyDescent="0.25">
      <c r="A2673" s="1" t="s">
        <v>2686</v>
      </c>
      <c r="B2673" s="5">
        <v>45769.291666666664</v>
      </c>
      <c r="C2673" s="1" t="s">
        <v>11</v>
      </c>
      <c r="D2673" s="1" t="s">
        <v>16</v>
      </c>
      <c r="E2673" s="1">
        <v>14</v>
      </c>
      <c r="F2673" s="1">
        <v>134.97</v>
      </c>
      <c r="G2673" s="1">
        <v>22.5</v>
      </c>
      <c r="H2673">
        <f t="shared" si="41"/>
        <v>1889.58</v>
      </c>
    </row>
    <row r="2674" spans="1:8" x14ac:dyDescent="0.25">
      <c r="A2674" s="1" t="s">
        <v>2687</v>
      </c>
      <c r="B2674" s="5">
        <v>45769.333333333336</v>
      </c>
      <c r="C2674" s="1" t="s">
        <v>23</v>
      </c>
      <c r="D2674" s="1" t="s">
        <v>9</v>
      </c>
      <c r="E2674" s="1">
        <v>13</v>
      </c>
      <c r="F2674" s="1">
        <v>75.650000000000006</v>
      </c>
      <c r="G2674" s="1">
        <v>35.08</v>
      </c>
      <c r="H2674">
        <f t="shared" si="41"/>
        <v>983.45</v>
      </c>
    </row>
    <row r="2675" spans="1:8" x14ac:dyDescent="0.25">
      <c r="A2675" s="1" t="s">
        <v>2688</v>
      </c>
      <c r="B2675" s="5">
        <v>45769.375</v>
      </c>
      <c r="C2675" s="1" t="s">
        <v>8</v>
      </c>
      <c r="D2675" s="1" t="s">
        <v>16</v>
      </c>
      <c r="E2675" s="1">
        <v>11</v>
      </c>
      <c r="F2675" s="1">
        <v>67.540000000000006</v>
      </c>
      <c r="G2675" s="1">
        <v>47.23</v>
      </c>
      <c r="H2675">
        <f t="shared" si="41"/>
        <v>742.94</v>
      </c>
    </row>
    <row r="2676" spans="1:8" x14ac:dyDescent="0.25">
      <c r="A2676" s="1" t="s">
        <v>2689</v>
      </c>
      <c r="B2676" s="5">
        <v>45769.416666666664</v>
      </c>
      <c r="C2676" s="1" t="s">
        <v>8</v>
      </c>
      <c r="D2676" s="1" t="s">
        <v>37</v>
      </c>
      <c r="E2676" s="1">
        <v>13</v>
      </c>
      <c r="F2676" s="1">
        <v>319.64999999999998</v>
      </c>
      <c r="G2676" s="1">
        <v>49.45</v>
      </c>
      <c r="H2676">
        <f t="shared" si="41"/>
        <v>4155.45</v>
      </c>
    </row>
    <row r="2677" spans="1:8" x14ac:dyDescent="0.25">
      <c r="A2677" s="1" t="s">
        <v>2690</v>
      </c>
      <c r="B2677" s="5">
        <v>45769.458333333336</v>
      </c>
      <c r="C2677" s="1" t="s">
        <v>13</v>
      </c>
      <c r="D2677" s="1" t="s">
        <v>19</v>
      </c>
      <c r="E2677" s="1">
        <v>9</v>
      </c>
      <c r="F2677" s="1">
        <v>18.14</v>
      </c>
      <c r="G2677" s="1">
        <v>39.340000000000003</v>
      </c>
      <c r="H2677">
        <f t="shared" si="41"/>
        <v>163.26</v>
      </c>
    </row>
    <row r="2678" spans="1:8" x14ac:dyDescent="0.25">
      <c r="A2678" s="1" t="s">
        <v>2691</v>
      </c>
      <c r="B2678" s="5">
        <v>45769.5</v>
      </c>
      <c r="C2678" s="1" t="s">
        <v>13</v>
      </c>
      <c r="D2678" s="1" t="s">
        <v>37</v>
      </c>
      <c r="E2678" s="1">
        <v>10</v>
      </c>
      <c r="F2678" s="1">
        <v>220.28</v>
      </c>
      <c r="G2678" s="1">
        <v>30.82</v>
      </c>
      <c r="H2678">
        <f t="shared" si="41"/>
        <v>2202.8000000000002</v>
      </c>
    </row>
    <row r="2679" spans="1:8" x14ac:dyDescent="0.25">
      <c r="A2679" s="1" t="s">
        <v>2692</v>
      </c>
      <c r="B2679" s="5">
        <v>45769.541666666664</v>
      </c>
      <c r="C2679" s="1" t="s">
        <v>23</v>
      </c>
      <c r="D2679" s="1" t="s">
        <v>37</v>
      </c>
      <c r="E2679" s="1">
        <v>4</v>
      </c>
      <c r="F2679" s="1">
        <v>67.150000000000006</v>
      </c>
      <c r="G2679" s="1">
        <v>39.049999999999997</v>
      </c>
      <c r="H2679">
        <f t="shared" si="41"/>
        <v>268.60000000000002</v>
      </c>
    </row>
    <row r="2680" spans="1:8" x14ac:dyDescent="0.25">
      <c r="A2680" s="1" t="s">
        <v>2693</v>
      </c>
      <c r="B2680" s="5">
        <v>45769.583333333336</v>
      </c>
      <c r="C2680" s="1" t="s">
        <v>8</v>
      </c>
      <c r="D2680" s="1" t="s">
        <v>19</v>
      </c>
      <c r="E2680" s="1">
        <v>17</v>
      </c>
      <c r="F2680" s="1">
        <v>384.68</v>
      </c>
      <c r="G2680" s="1">
        <v>17.3</v>
      </c>
      <c r="H2680">
        <f t="shared" si="41"/>
        <v>6539.56</v>
      </c>
    </row>
    <row r="2681" spans="1:8" x14ac:dyDescent="0.25">
      <c r="A2681" s="1" t="s">
        <v>2694</v>
      </c>
      <c r="B2681" s="5">
        <v>45769.625</v>
      </c>
      <c r="C2681" s="1" t="s">
        <v>8</v>
      </c>
      <c r="D2681" s="1" t="s">
        <v>9</v>
      </c>
      <c r="E2681" s="1">
        <v>14</v>
      </c>
      <c r="F2681" s="1">
        <v>431.95</v>
      </c>
      <c r="G2681" s="1">
        <v>17.760000000000002</v>
      </c>
      <c r="H2681">
        <f t="shared" si="41"/>
        <v>6047.3</v>
      </c>
    </row>
    <row r="2682" spans="1:8" x14ac:dyDescent="0.25">
      <c r="A2682" s="1" t="s">
        <v>2695</v>
      </c>
      <c r="B2682" s="5">
        <v>45769.666666666664</v>
      </c>
      <c r="C2682" s="1" t="s">
        <v>13</v>
      </c>
      <c r="D2682" s="1" t="s">
        <v>19</v>
      </c>
      <c r="E2682" s="1">
        <v>18</v>
      </c>
      <c r="F2682" s="1">
        <v>432.08</v>
      </c>
      <c r="G2682" s="1">
        <v>34.450000000000003</v>
      </c>
      <c r="H2682">
        <f t="shared" si="41"/>
        <v>7777.44</v>
      </c>
    </row>
    <row r="2683" spans="1:8" x14ac:dyDescent="0.25">
      <c r="A2683" s="1" t="s">
        <v>2696</v>
      </c>
      <c r="B2683" s="5">
        <v>45769.708333333336</v>
      </c>
      <c r="C2683" s="1" t="s">
        <v>8</v>
      </c>
      <c r="D2683" s="1" t="s">
        <v>37</v>
      </c>
      <c r="E2683" s="1">
        <v>11</v>
      </c>
      <c r="F2683" s="1">
        <v>207.53</v>
      </c>
      <c r="G2683" s="1">
        <v>44.23</v>
      </c>
      <c r="H2683">
        <f t="shared" si="41"/>
        <v>2282.83</v>
      </c>
    </row>
    <row r="2684" spans="1:8" x14ac:dyDescent="0.25">
      <c r="A2684" s="1" t="s">
        <v>2697</v>
      </c>
      <c r="B2684" s="5">
        <v>45769.75</v>
      </c>
      <c r="C2684" s="1" t="s">
        <v>11</v>
      </c>
      <c r="D2684" s="1" t="s">
        <v>37</v>
      </c>
      <c r="E2684" s="1">
        <v>16</v>
      </c>
      <c r="F2684" s="1">
        <v>295.54000000000002</v>
      </c>
      <c r="G2684" s="1">
        <v>48.64</v>
      </c>
      <c r="H2684">
        <f t="shared" si="41"/>
        <v>4728.6400000000003</v>
      </c>
    </row>
    <row r="2685" spans="1:8" x14ac:dyDescent="0.25">
      <c r="A2685" s="1" t="s">
        <v>2698</v>
      </c>
      <c r="B2685" s="5">
        <v>45769.791666666664</v>
      </c>
      <c r="C2685" s="1" t="s">
        <v>13</v>
      </c>
      <c r="D2685" s="1" t="s">
        <v>9</v>
      </c>
      <c r="E2685" s="1">
        <v>1</v>
      </c>
      <c r="F2685" s="1">
        <v>276.07</v>
      </c>
      <c r="G2685" s="1">
        <v>20.36</v>
      </c>
      <c r="H2685">
        <f t="shared" si="41"/>
        <v>276.07</v>
      </c>
    </row>
    <row r="2686" spans="1:8" x14ac:dyDescent="0.25">
      <c r="A2686" s="1" t="s">
        <v>2699</v>
      </c>
      <c r="B2686" s="5">
        <v>45769.833333333336</v>
      </c>
      <c r="C2686" s="1" t="s">
        <v>23</v>
      </c>
      <c r="D2686" s="1" t="s">
        <v>19</v>
      </c>
      <c r="E2686" s="1">
        <v>7</v>
      </c>
      <c r="F2686" s="1">
        <v>167.59</v>
      </c>
      <c r="G2686" s="1">
        <v>40.840000000000003</v>
      </c>
      <c r="H2686">
        <f t="shared" si="41"/>
        <v>1173.1300000000001</v>
      </c>
    </row>
    <row r="2687" spans="1:8" x14ac:dyDescent="0.25">
      <c r="A2687" s="1" t="s">
        <v>2700</v>
      </c>
      <c r="B2687" s="5">
        <v>45769.875</v>
      </c>
      <c r="C2687" s="1" t="s">
        <v>13</v>
      </c>
      <c r="D2687" s="1" t="s">
        <v>37</v>
      </c>
      <c r="E2687" s="1">
        <v>10</v>
      </c>
      <c r="F2687" s="1">
        <v>208.45</v>
      </c>
      <c r="G2687" s="1">
        <v>43.32</v>
      </c>
      <c r="H2687">
        <f t="shared" si="41"/>
        <v>2084.5</v>
      </c>
    </row>
    <row r="2688" spans="1:8" x14ac:dyDescent="0.25">
      <c r="A2688" s="1" t="s">
        <v>2701</v>
      </c>
      <c r="B2688" s="5">
        <v>45769.916666666664</v>
      </c>
      <c r="C2688" s="1" t="s">
        <v>8</v>
      </c>
      <c r="D2688" s="1" t="s">
        <v>16</v>
      </c>
      <c r="E2688" s="1">
        <v>9</v>
      </c>
      <c r="F2688" s="1">
        <v>43.45</v>
      </c>
      <c r="G2688" s="1">
        <v>33.04</v>
      </c>
      <c r="H2688">
        <f t="shared" si="41"/>
        <v>391.05</v>
      </c>
    </row>
    <row r="2689" spans="1:8" x14ac:dyDescent="0.25">
      <c r="A2689" s="1" t="s">
        <v>2702</v>
      </c>
      <c r="B2689" s="5">
        <v>45769.958333333336</v>
      </c>
      <c r="C2689" s="1" t="s">
        <v>23</v>
      </c>
      <c r="D2689" s="1" t="s">
        <v>37</v>
      </c>
      <c r="E2689" s="1">
        <v>3</v>
      </c>
      <c r="F2689" s="1">
        <v>361.23</v>
      </c>
      <c r="G2689" s="1">
        <v>20.64</v>
      </c>
      <c r="H2689">
        <f t="shared" si="41"/>
        <v>1083.69</v>
      </c>
    </row>
    <row r="2690" spans="1:8" x14ac:dyDescent="0.25">
      <c r="A2690" s="1" t="s">
        <v>2703</v>
      </c>
      <c r="B2690" s="5">
        <v>45770</v>
      </c>
      <c r="C2690" s="1" t="s">
        <v>13</v>
      </c>
      <c r="D2690" s="1" t="s">
        <v>37</v>
      </c>
      <c r="E2690" s="1">
        <v>14</v>
      </c>
      <c r="F2690" s="1">
        <v>120.13</v>
      </c>
      <c r="G2690" s="1">
        <v>32.86</v>
      </c>
      <c r="H2690">
        <f t="shared" ref="H2690:H2753" si="42">E2690*F2690</f>
        <v>1681.82</v>
      </c>
    </row>
    <row r="2691" spans="1:8" x14ac:dyDescent="0.25">
      <c r="A2691" s="1" t="s">
        <v>2704</v>
      </c>
      <c r="B2691" s="5">
        <v>45770.041666666664</v>
      </c>
      <c r="C2691" s="1" t="s">
        <v>11</v>
      </c>
      <c r="D2691" s="1" t="s">
        <v>9</v>
      </c>
      <c r="E2691" s="1">
        <v>15</v>
      </c>
      <c r="F2691" s="1">
        <v>215.6</v>
      </c>
      <c r="G2691" s="1">
        <v>31.3</v>
      </c>
      <c r="H2691">
        <f t="shared" si="42"/>
        <v>3234</v>
      </c>
    </row>
    <row r="2692" spans="1:8" x14ac:dyDescent="0.25">
      <c r="A2692" s="1" t="s">
        <v>2705</v>
      </c>
      <c r="B2692" s="5">
        <v>45770.083333333336</v>
      </c>
      <c r="C2692" s="1" t="s">
        <v>11</v>
      </c>
      <c r="D2692" s="1" t="s">
        <v>16</v>
      </c>
      <c r="E2692" s="1">
        <v>2</v>
      </c>
      <c r="F2692" s="1">
        <v>224.33</v>
      </c>
      <c r="G2692" s="1">
        <v>32.29</v>
      </c>
      <c r="H2692">
        <f t="shared" si="42"/>
        <v>448.66</v>
      </c>
    </row>
    <row r="2693" spans="1:8" x14ac:dyDescent="0.25">
      <c r="A2693" s="1" t="s">
        <v>2706</v>
      </c>
      <c r="B2693" s="5">
        <v>45770.125</v>
      </c>
      <c r="C2693" s="1" t="s">
        <v>13</v>
      </c>
      <c r="D2693" s="1" t="s">
        <v>37</v>
      </c>
      <c r="E2693" s="1">
        <v>14</v>
      </c>
      <c r="F2693" s="1">
        <v>259.13</v>
      </c>
      <c r="G2693" s="1">
        <v>32.869999999999997</v>
      </c>
      <c r="H2693">
        <f t="shared" si="42"/>
        <v>3627.8199999999997</v>
      </c>
    </row>
    <row r="2694" spans="1:8" x14ac:dyDescent="0.25">
      <c r="A2694" s="1" t="s">
        <v>2707</v>
      </c>
      <c r="B2694" s="5">
        <v>45770.166666666664</v>
      </c>
      <c r="C2694" s="1" t="s">
        <v>11</v>
      </c>
      <c r="D2694" s="1" t="s">
        <v>37</v>
      </c>
      <c r="E2694" s="1">
        <v>16</v>
      </c>
      <c r="F2694" s="1">
        <v>370.87</v>
      </c>
      <c r="G2694" s="1">
        <v>43.12</v>
      </c>
      <c r="H2694">
        <f t="shared" si="42"/>
        <v>5933.92</v>
      </c>
    </row>
    <row r="2695" spans="1:8" x14ac:dyDescent="0.25">
      <c r="A2695" s="1" t="s">
        <v>2708</v>
      </c>
      <c r="B2695" s="5">
        <v>45770.208333333336</v>
      </c>
      <c r="C2695" s="1" t="s">
        <v>11</v>
      </c>
      <c r="D2695" s="1" t="s">
        <v>16</v>
      </c>
      <c r="E2695" s="1">
        <v>7</v>
      </c>
      <c r="F2695" s="1">
        <v>316.12</v>
      </c>
      <c r="G2695" s="1">
        <v>12.65</v>
      </c>
      <c r="H2695">
        <f t="shared" si="42"/>
        <v>2212.84</v>
      </c>
    </row>
    <row r="2696" spans="1:8" x14ac:dyDescent="0.25">
      <c r="A2696" s="1" t="s">
        <v>2709</v>
      </c>
      <c r="B2696" s="5">
        <v>45770.25</v>
      </c>
      <c r="C2696" s="1" t="s">
        <v>11</v>
      </c>
      <c r="D2696" s="1" t="s">
        <v>19</v>
      </c>
      <c r="E2696" s="1">
        <v>4</v>
      </c>
      <c r="F2696" s="1">
        <v>303.60000000000002</v>
      </c>
      <c r="G2696" s="1">
        <v>21.53</v>
      </c>
      <c r="H2696">
        <f t="shared" si="42"/>
        <v>1214.4000000000001</v>
      </c>
    </row>
    <row r="2697" spans="1:8" x14ac:dyDescent="0.25">
      <c r="A2697" s="1" t="s">
        <v>2710</v>
      </c>
      <c r="B2697" s="5">
        <v>45770.291666666664</v>
      </c>
      <c r="C2697" s="1" t="s">
        <v>23</v>
      </c>
      <c r="D2697" s="1" t="s">
        <v>19</v>
      </c>
      <c r="E2697" s="1">
        <v>18</v>
      </c>
      <c r="F2697" s="1">
        <v>244.37</v>
      </c>
      <c r="G2697" s="1">
        <v>31.37</v>
      </c>
      <c r="H2697">
        <f t="shared" si="42"/>
        <v>4398.66</v>
      </c>
    </row>
    <row r="2698" spans="1:8" x14ac:dyDescent="0.25">
      <c r="A2698" s="1" t="s">
        <v>2711</v>
      </c>
      <c r="B2698" s="5">
        <v>45770.333333333336</v>
      </c>
      <c r="C2698" s="1" t="s">
        <v>11</v>
      </c>
      <c r="D2698" s="1" t="s">
        <v>37</v>
      </c>
      <c r="E2698" s="1">
        <v>5</v>
      </c>
      <c r="F2698" s="1">
        <v>57.19</v>
      </c>
      <c r="G2698" s="1">
        <v>17.75</v>
      </c>
      <c r="H2698">
        <f t="shared" si="42"/>
        <v>285.95</v>
      </c>
    </row>
    <row r="2699" spans="1:8" x14ac:dyDescent="0.25">
      <c r="A2699" s="1" t="s">
        <v>2712</v>
      </c>
      <c r="B2699" s="5">
        <v>45770.375</v>
      </c>
      <c r="C2699" s="1" t="s">
        <v>11</v>
      </c>
      <c r="D2699" s="1" t="s">
        <v>37</v>
      </c>
      <c r="E2699" s="1">
        <v>6</v>
      </c>
      <c r="F2699" s="1">
        <v>190.17</v>
      </c>
      <c r="G2699" s="1">
        <v>49.02</v>
      </c>
      <c r="H2699">
        <f t="shared" si="42"/>
        <v>1141.02</v>
      </c>
    </row>
    <row r="2700" spans="1:8" x14ac:dyDescent="0.25">
      <c r="A2700" s="1" t="s">
        <v>2713</v>
      </c>
      <c r="B2700" s="5">
        <v>45770.416666666664</v>
      </c>
      <c r="C2700" s="1" t="s">
        <v>11</v>
      </c>
      <c r="D2700" s="1" t="s">
        <v>19</v>
      </c>
      <c r="E2700" s="1">
        <v>7</v>
      </c>
      <c r="F2700" s="1">
        <v>431.45</v>
      </c>
      <c r="G2700" s="1">
        <v>16.84</v>
      </c>
      <c r="H2700">
        <f t="shared" si="42"/>
        <v>3020.15</v>
      </c>
    </row>
    <row r="2701" spans="1:8" x14ac:dyDescent="0.25">
      <c r="A2701" s="1" t="s">
        <v>2714</v>
      </c>
      <c r="B2701" s="5">
        <v>45770.458333333336</v>
      </c>
      <c r="C2701" s="1" t="s">
        <v>23</v>
      </c>
      <c r="D2701" s="1" t="s">
        <v>9</v>
      </c>
      <c r="E2701" s="1">
        <v>15</v>
      </c>
      <c r="F2701" s="1">
        <v>448.07</v>
      </c>
      <c r="G2701" s="1">
        <v>26.13</v>
      </c>
      <c r="H2701">
        <f t="shared" si="42"/>
        <v>6721.05</v>
      </c>
    </row>
    <row r="2702" spans="1:8" x14ac:dyDescent="0.25">
      <c r="A2702" s="1" t="s">
        <v>2715</v>
      </c>
      <c r="B2702" s="5">
        <v>45770.5</v>
      </c>
      <c r="C2702" s="1" t="s">
        <v>13</v>
      </c>
      <c r="D2702" s="1" t="s">
        <v>16</v>
      </c>
      <c r="E2702" s="1">
        <v>1</v>
      </c>
      <c r="F2702" s="1">
        <v>332.9</v>
      </c>
      <c r="G2702" s="1">
        <v>44.48</v>
      </c>
      <c r="H2702">
        <f t="shared" si="42"/>
        <v>332.9</v>
      </c>
    </row>
    <row r="2703" spans="1:8" x14ac:dyDescent="0.25">
      <c r="A2703" s="1" t="s">
        <v>2716</v>
      </c>
      <c r="B2703" s="5">
        <v>45770.541666666664</v>
      </c>
      <c r="C2703" s="1" t="s">
        <v>8</v>
      </c>
      <c r="D2703" s="1" t="s">
        <v>16</v>
      </c>
      <c r="E2703" s="1">
        <v>4</v>
      </c>
      <c r="F2703" s="1">
        <v>114.36</v>
      </c>
      <c r="G2703" s="1">
        <v>8.6</v>
      </c>
      <c r="H2703">
        <f t="shared" si="42"/>
        <v>457.44</v>
      </c>
    </row>
    <row r="2704" spans="1:8" x14ac:dyDescent="0.25">
      <c r="A2704" s="1" t="s">
        <v>2717</v>
      </c>
      <c r="B2704" s="5">
        <v>45770.583333333336</v>
      </c>
      <c r="C2704" s="1" t="s">
        <v>11</v>
      </c>
      <c r="D2704" s="1" t="s">
        <v>9</v>
      </c>
      <c r="E2704" s="1">
        <v>1</v>
      </c>
      <c r="F2704" s="1">
        <v>59.77</v>
      </c>
      <c r="G2704" s="1">
        <v>41.93</v>
      </c>
      <c r="H2704">
        <f t="shared" si="42"/>
        <v>59.77</v>
      </c>
    </row>
    <row r="2705" spans="1:8" x14ac:dyDescent="0.25">
      <c r="A2705" s="1" t="s">
        <v>2718</v>
      </c>
      <c r="B2705" s="5">
        <v>45770.625</v>
      </c>
      <c r="C2705" s="1" t="s">
        <v>13</v>
      </c>
      <c r="D2705" s="1" t="s">
        <v>9</v>
      </c>
      <c r="E2705" s="1">
        <v>11</v>
      </c>
      <c r="F2705" s="1">
        <v>195.72</v>
      </c>
      <c r="G2705" s="1">
        <v>30.7</v>
      </c>
      <c r="H2705">
        <f t="shared" si="42"/>
        <v>2152.92</v>
      </c>
    </row>
    <row r="2706" spans="1:8" x14ac:dyDescent="0.25">
      <c r="A2706" s="1" t="s">
        <v>2719</v>
      </c>
      <c r="B2706" s="5">
        <v>45770.666666666664</v>
      </c>
      <c r="C2706" s="1" t="s">
        <v>11</v>
      </c>
      <c r="D2706" s="1" t="s">
        <v>9</v>
      </c>
      <c r="E2706" s="1">
        <v>18</v>
      </c>
      <c r="F2706" s="1">
        <v>387.68</v>
      </c>
      <c r="G2706" s="1">
        <v>6.43</v>
      </c>
      <c r="H2706">
        <f t="shared" si="42"/>
        <v>6978.24</v>
      </c>
    </row>
    <row r="2707" spans="1:8" x14ac:dyDescent="0.25">
      <c r="A2707" s="1" t="s">
        <v>2720</v>
      </c>
      <c r="B2707" s="5">
        <v>45770.708333333336</v>
      </c>
      <c r="C2707" s="1" t="s">
        <v>23</v>
      </c>
      <c r="D2707" s="1" t="s">
        <v>9</v>
      </c>
      <c r="E2707" s="1">
        <v>14</v>
      </c>
      <c r="F2707" s="1">
        <v>329.15</v>
      </c>
      <c r="G2707" s="1">
        <v>45.63</v>
      </c>
      <c r="H2707">
        <f t="shared" si="42"/>
        <v>4608.0999999999995</v>
      </c>
    </row>
    <row r="2708" spans="1:8" x14ac:dyDescent="0.25">
      <c r="A2708" s="1" t="s">
        <v>2721</v>
      </c>
      <c r="B2708" s="5">
        <v>45770.75</v>
      </c>
      <c r="C2708" s="1" t="s">
        <v>13</v>
      </c>
      <c r="D2708" s="1" t="s">
        <v>9</v>
      </c>
      <c r="E2708" s="1">
        <v>11</v>
      </c>
      <c r="F2708" s="1">
        <v>399.55</v>
      </c>
      <c r="G2708" s="1">
        <v>6.76</v>
      </c>
      <c r="H2708">
        <f t="shared" si="42"/>
        <v>4395.05</v>
      </c>
    </row>
    <row r="2709" spans="1:8" x14ac:dyDescent="0.25">
      <c r="A2709" s="1" t="s">
        <v>2722</v>
      </c>
      <c r="B2709" s="5">
        <v>45770.791666666664</v>
      </c>
      <c r="C2709" s="1" t="s">
        <v>23</v>
      </c>
      <c r="D2709" s="1" t="s">
        <v>9</v>
      </c>
      <c r="E2709" s="1">
        <v>10</v>
      </c>
      <c r="F2709" s="1">
        <v>283.05</v>
      </c>
      <c r="G2709" s="1">
        <v>28.18</v>
      </c>
      <c r="H2709">
        <f t="shared" si="42"/>
        <v>2830.5</v>
      </c>
    </row>
    <row r="2710" spans="1:8" x14ac:dyDescent="0.25">
      <c r="A2710" s="1" t="s">
        <v>2723</v>
      </c>
      <c r="B2710" s="5">
        <v>45770.833333333336</v>
      </c>
      <c r="C2710" s="1" t="s">
        <v>11</v>
      </c>
      <c r="D2710" s="1" t="s">
        <v>16</v>
      </c>
      <c r="E2710" s="1">
        <v>17</v>
      </c>
      <c r="F2710" s="1">
        <v>72.13</v>
      </c>
      <c r="G2710" s="1">
        <v>7.21</v>
      </c>
      <c r="H2710">
        <f t="shared" si="42"/>
        <v>1226.21</v>
      </c>
    </row>
    <row r="2711" spans="1:8" x14ac:dyDescent="0.25">
      <c r="A2711" s="1" t="s">
        <v>2724</v>
      </c>
      <c r="B2711" s="5">
        <v>45770.875</v>
      </c>
      <c r="C2711" s="1" t="s">
        <v>11</v>
      </c>
      <c r="D2711" s="1" t="s">
        <v>9</v>
      </c>
      <c r="E2711" s="1">
        <v>4</v>
      </c>
      <c r="F2711" s="1">
        <v>65.38</v>
      </c>
      <c r="G2711" s="1">
        <v>8.1999999999999993</v>
      </c>
      <c r="H2711">
        <f t="shared" si="42"/>
        <v>261.52</v>
      </c>
    </row>
    <row r="2712" spans="1:8" x14ac:dyDescent="0.25">
      <c r="A2712" s="1" t="s">
        <v>2725</v>
      </c>
      <c r="B2712" s="5">
        <v>45770.916666666664</v>
      </c>
      <c r="C2712" s="1" t="s">
        <v>23</v>
      </c>
      <c r="D2712" s="1" t="s">
        <v>19</v>
      </c>
      <c r="E2712" s="1">
        <v>15</v>
      </c>
      <c r="F2712" s="1">
        <v>36.36</v>
      </c>
      <c r="G2712" s="1">
        <v>44.92</v>
      </c>
      <c r="H2712">
        <f t="shared" si="42"/>
        <v>545.4</v>
      </c>
    </row>
    <row r="2713" spans="1:8" x14ac:dyDescent="0.25">
      <c r="A2713" s="1" t="s">
        <v>2726</v>
      </c>
      <c r="B2713" s="5">
        <v>45770.958333333336</v>
      </c>
      <c r="C2713" s="1" t="s">
        <v>8</v>
      </c>
      <c r="D2713" s="1" t="s">
        <v>9</v>
      </c>
      <c r="E2713" s="1">
        <v>16</v>
      </c>
      <c r="F2713" s="1">
        <v>261.89999999999998</v>
      </c>
      <c r="G2713" s="1">
        <v>39.46</v>
      </c>
      <c r="H2713">
        <f t="shared" si="42"/>
        <v>4190.3999999999996</v>
      </c>
    </row>
    <row r="2714" spans="1:8" x14ac:dyDescent="0.25">
      <c r="A2714" s="1" t="s">
        <v>2727</v>
      </c>
      <c r="B2714" s="5">
        <v>45771</v>
      </c>
      <c r="C2714" s="1" t="s">
        <v>23</v>
      </c>
      <c r="D2714" s="1" t="s">
        <v>9</v>
      </c>
      <c r="E2714" s="1">
        <v>13</v>
      </c>
      <c r="F2714" s="1">
        <v>121.03</v>
      </c>
      <c r="G2714" s="1">
        <v>13.86</v>
      </c>
      <c r="H2714">
        <f t="shared" si="42"/>
        <v>1573.39</v>
      </c>
    </row>
    <row r="2715" spans="1:8" x14ac:dyDescent="0.25">
      <c r="A2715" s="1" t="s">
        <v>2728</v>
      </c>
      <c r="B2715" s="5">
        <v>45771.041666666664</v>
      </c>
      <c r="C2715" s="1" t="s">
        <v>11</v>
      </c>
      <c r="D2715" s="1" t="s">
        <v>16</v>
      </c>
      <c r="E2715" s="1">
        <v>9</v>
      </c>
      <c r="F2715" s="1">
        <v>334.59</v>
      </c>
      <c r="G2715" s="1">
        <v>32.92</v>
      </c>
      <c r="H2715">
        <f t="shared" si="42"/>
        <v>3011.31</v>
      </c>
    </row>
    <row r="2716" spans="1:8" x14ac:dyDescent="0.25">
      <c r="A2716" s="1" t="s">
        <v>2729</v>
      </c>
      <c r="B2716" s="5">
        <v>45771.083333333336</v>
      </c>
      <c r="C2716" s="1" t="s">
        <v>23</v>
      </c>
      <c r="D2716" s="1" t="s">
        <v>16</v>
      </c>
      <c r="E2716" s="1">
        <v>11</v>
      </c>
      <c r="F2716" s="1">
        <v>313.68</v>
      </c>
      <c r="G2716" s="1">
        <v>40.76</v>
      </c>
      <c r="H2716">
        <f t="shared" si="42"/>
        <v>3450.48</v>
      </c>
    </row>
    <row r="2717" spans="1:8" x14ac:dyDescent="0.25">
      <c r="A2717" s="1" t="s">
        <v>2730</v>
      </c>
      <c r="B2717" s="5">
        <v>45771.125</v>
      </c>
      <c r="C2717" s="1" t="s">
        <v>8</v>
      </c>
      <c r="D2717" s="1" t="s">
        <v>9</v>
      </c>
      <c r="E2717" s="1">
        <v>11</v>
      </c>
      <c r="F2717" s="1">
        <v>153.72</v>
      </c>
      <c r="G2717" s="1">
        <v>45.03</v>
      </c>
      <c r="H2717">
        <f t="shared" si="42"/>
        <v>1690.92</v>
      </c>
    </row>
    <row r="2718" spans="1:8" x14ac:dyDescent="0.25">
      <c r="A2718" s="1" t="s">
        <v>2731</v>
      </c>
      <c r="B2718" s="5">
        <v>45771.166666666664</v>
      </c>
      <c r="C2718" s="1" t="s">
        <v>23</v>
      </c>
      <c r="D2718" s="1" t="s">
        <v>16</v>
      </c>
      <c r="E2718" s="1">
        <v>6</v>
      </c>
      <c r="F2718" s="1">
        <v>92.32</v>
      </c>
      <c r="G2718" s="1">
        <v>26.07</v>
      </c>
      <c r="H2718">
        <f t="shared" si="42"/>
        <v>553.91999999999996</v>
      </c>
    </row>
    <row r="2719" spans="1:8" x14ac:dyDescent="0.25">
      <c r="A2719" s="1" t="s">
        <v>2732</v>
      </c>
      <c r="B2719" s="5">
        <v>45771.208333333336</v>
      </c>
      <c r="C2719" s="1" t="s">
        <v>8</v>
      </c>
      <c r="D2719" s="1" t="s">
        <v>37</v>
      </c>
      <c r="E2719" s="1">
        <v>1</v>
      </c>
      <c r="F2719" s="1">
        <v>59.99</v>
      </c>
      <c r="G2719" s="1">
        <v>45.39</v>
      </c>
      <c r="H2719">
        <f t="shared" si="42"/>
        <v>59.99</v>
      </c>
    </row>
    <row r="2720" spans="1:8" x14ac:dyDescent="0.25">
      <c r="A2720" s="1" t="s">
        <v>2733</v>
      </c>
      <c r="B2720" s="5">
        <v>45771.25</v>
      </c>
      <c r="C2720" s="1" t="s">
        <v>8</v>
      </c>
      <c r="D2720" s="1" t="s">
        <v>16</v>
      </c>
      <c r="E2720" s="1">
        <v>6</v>
      </c>
      <c r="F2720" s="1">
        <v>335.86</v>
      </c>
      <c r="G2720" s="1">
        <v>27.85</v>
      </c>
      <c r="H2720">
        <f t="shared" si="42"/>
        <v>2015.16</v>
      </c>
    </row>
    <row r="2721" spans="1:8" x14ac:dyDescent="0.25">
      <c r="A2721" s="1" t="s">
        <v>2734</v>
      </c>
      <c r="B2721" s="5">
        <v>45771.291666666664</v>
      </c>
      <c r="C2721" s="1" t="s">
        <v>23</v>
      </c>
      <c r="D2721" s="1" t="s">
        <v>16</v>
      </c>
      <c r="E2721" s="1">
        <v>13</v>
      </c>
      <c r="F2721" s="1">
        <v>211.22</v>
      </c>
      <c r="G2721" s="1">
        <v>35.97</v>
      </c>
      <c r="H2721">
        <f t="shared" si="42"/>
        <v>2745.86</v>
      </c>
    </row>
    <row r="2722" spans="1:8" x14ac:dyDescent="0.25">
      <c r="A2722" s="1" t="s">
        <v>2735</v>
      </c>
      <c r="B2722" s="5">
        <v>45771.333333333336</v>
      </c>
      <c r="C2722" s="1" t="s">
        <v>23</v>
      </c>
      <c r="D2722" s="1" t="s">
        <v>16</v>
      </c>
      <c r="E2722" s="1">
        <v>5</v>
      </c>
      <c r="F2722" s="1">
        <v>156.07</v>
      </c>
      <c r="G2722" s="1">
        <v>49.06</v>
      </c>
      <c r="H2722">
        <f t="shared" si="42"/>
        <v>780.34999999999991</v>
      </c>
    </row>
    <row r="2723" spans="1:8" x14ac:dyDescent="0.25">
      <c r="A2723" s="1" t="s">
        <v>2736</v>
      </c>
      <c r="B2723" s="5">
        <v>45771.375</v>
      </c>
      <c r="C2723" s="1" t="s">
        <v>13</v>
      </c>
      <c r="D2723" s="1" t="s">
        <v>16</v>
      </c>
      <c r="E2723" s="1">
        <v>15</v>
      </c>
      <c r="F2723" s="1">
        <v>387.72</v>
      </c>
      <c r="G2723" s="1">
        <v>15.62</v>
      </c>
      <c r="H2723">
        <f t="shared" si="42"/>
        <v>5815.8</v>
      </c>
    </row>
    <row r="2724" spans="1:8" x14ac:dyDescent="0.25">
      <c r="A2724" s="1" t="s">
        <v>2737</v>
      </c>
      <c r="B2724" s="5">
        <v>45771.416666666664</v>
      </c>
      <c r="C2724" s="1" t="s">
        <v>11</v>
      </c>
      <c r="D2724" s="1" t="s">
        <v>19</v>
      </c>
      <c r="E2724" s="1">
        <v>18</v>
      </c>
      <c r="F2724" s="1">
        <v>273.42</v>
      </c>
      <c r="G2724" s="1">
        <v>12.58</v>
      </c>
      <c r="H2724">
        <f t="shared" si="42"/>
        <v>4921.5600000000004</v>
      </c>
    </row>
    <row r="2725" spans="1:8" x14ac:dyDescent="0.25">
      <c r="A2725" s="1" t="s">
        <v>2738</v>
      </c>
      <c r="B2725" s="5">
        <v>45771.458333333336</v>
      </c>
      <c r="C2725" s="1" t="s">
        <v>8</v>
      </c>
      <c r="D2725" s="1" t="s">
        <v>19</v>
      </c>
      <c r="E2725" s="1">
        <v>14</v>
      </c>
      <c r="F2725" s="1">
        <v>240.57</v>
      </c>
      <c r="G2725" s="1">
        <v>20.39</v>
      </c>
      <c r="H2725">
        <f t="shared" si="42"/>
        <v>3367.98</v>
      </c>
    </row>
    <row r="2726" spans="1:8" x14ac:dyDescent="0.25">
      <c r="A2726" s="1" t="s">
        <v>2739</v>
      </c>
      <c r="B2726" s="5">
        <v>45771.5</v>
      </c>
      <c r="C2726" s="1" t="s">
        <v>13</v>
      </c>
      <c r="D2726" s="1" t="s">
        <v>19</v>
      </c>
      <c r="E2726" s="1">
        <v>15</v>
      </c>
      <c r="F2726" s="1">
        <v>338.5</v>
      </c>
      <c r="G2726" s="1">
        <v>12.4</v>
      </c>
      <c r="H2726">
        <f t="shared" si="42"/>
        <v>5077.5</v>
      </c>
    </row>
    <row r="2727" spans="1:8" x14ac:dyDescent="0.25">
      <c r="A2727" s="1" t="s">
        <v>2740</v>
      </c>
      <c r="B2727" s="5">
        <v>45771.541666666664</v>
      </c>
      <c r="C2727" s="1" t="s">
        <v>23</v>
      </c>
      <c r="D2727" s="1" t="s">
        <v>9</v>
      </c>
      <c r="E2727" s="1">
        <v>5</v>
      </c>
      <c r="F2727" s="1">
        <v>369.87</v>
      </c>
      <c r="G2727" s="1">
        <v>17.79</v>
      </c>
      <c r="H2727">
        <f t="shared" si="42"/>
        <v>1849.35</v>
      </c>
    </row>
    <row r="2728" spans="1:8" x14ac:dyDescent="0.25">
      <c r="A2728" s="1" t="s">
        <v>2741</v>
      </c>
      <c r="B2728" s="5">
        <v>45771.583333333336</v>
      </c>
      <c r="C2728" s="1" t="s">
        <v>11</v>
      </c>
      <c r="D2728" s="1" t="s">
        <v>9</v>
      </c>
      <c r="E2728" s="1">
        <v>4</v>
      </c>
      <c r="F2728" s="1">
        <v>313.60000000000002</v>
      </c>
      <c r="G2728" s="1">
        <v>38.43</v>
      </c>
      <c r="H2728">
        <f t="shared" si="42"/>
        <v>1254.4000000000001</v>
      </c>
    </row>
    <row r="2729" spans="1:8" x14ac:dyDescent="0.25">
      <c r="A2729" s="1" t="s">
        <v>2742</v>
      </c>
      <c r="B2729" s="5">
        <v>45771.625</v>
      </c>
      <c r="C2729" s="1" t="s">
        <v>13</v>
      </c>
      <c r="D2729" s="1" t="s">
        <v>37</v>
      </c>
      <c r="E2729" s="1">
        <v>2</v>
      </c>
      <c r="F2729" s="1">
        <v>206.68</v>
      </c>
      <c r="G2729" s="1">
        <v>26.49</v>
      </c>
      <c r="H2729">
        <f t="shared" si="42"/>
        <v>413.36</v>
      </c>
    </row>
    <row r="2730" spans="1:8" x14ac:dyDescent="0.25">
      <c r="A2730" s="1" t="s">
        <v>2743</v>
      </c>
      <c r="B2730" s="5">
        <v>45771.666666666664</v>
      </c>
      <c r="C2730" s="1" t="s">
        <v>8</v>
      </c>
      <c r="D2730" s="1" t="s">
        <v>19</v>
      </c>
      <c r="E2730" s="1">
        <v>7</v>
      </c>
      <c r="F2730" s="1">
        <v>180.31</v>
      </c>
      <c r="G2730" s="1">
        <v>21.88</v>
      </c>
      <c r="H2730">
        <f t="shared" si="42"/>
        <v>1262.17</v>
      </c>
    </row>
    <row r="2731" spans="1:8" x14ac:dyDescent="0.25">
      <c r="A2731" s="1" t="s">
        <v>2744</v>
      </c>
      <c r="B2731" s="5">
        <v>45771.708333333336</v>
      </c>
      <c r="C2731" s="1" t="s">
        <v>13</v>
      </c>
      <c r="D2731" s="1" t="s">
        <v>9</v>
      </c>
      <c r="E2731" s="1">
        <v>10</v>
      </c>
      <c r="F2731" s="1">
        <v>350.79</v>
      </c>
      <c r="G2731" s="1">
        <v>21.59</v>
      </c>
      <c r="H2731">
        <f t="shared" si="42"/>
        <v>3507.9</v>
      </c>
    </row>
    <row r="2732" spans="1:8" x14ac:dyDescent="0.25">
      <c r="A2732" s="1" t="s">
        <v>2745</v>
      </c>
      <c r="B2732" s="5">
        <v>45771.75</v>
      </c>
      <c r="C2732" s="1" t="s">
        <v>8</v>
      </c>
      <c r="D2732" s="1" t="s">
        <v>16</v>
      </c>
      <c r="E2732" s="1">
        <v>16</v>
      </c>
      <c r="F2732" s="1">
        <v>240.53</v>
      </c>
      <c r="G2732" s="1">
        <v>13.75</v>
      </c>
      <c r="H2732">
        <f t="shared" si="42"/>
        <v>3848.48</v>
      </c>
    </row>
    <row r="2733" spans="1:8" x14ac:dyDescent="0.25">
      <c r="A2733" s="1" t="s">
        <v>2746</v>
      </c>
      <c r="B2733" s="5">
        <v>45771.791666666664</v>
      </c>
      <c r="C2733" s="1" t="s">
        <v>23</v>
      </c>
      <c r="D2733" s="1" t="s">
        <v>16</v>
      </c>
      <c r="E2733" s="1">
        <v>10</v>
      </c>
      <c r="F2733" s="1">
        <v>321.56</v>
      </c>
      <c r="G2733" s="1">
        <v>25.13</v>
      </c>
      <c r="H2733">
        <f t="shared" si="42"/>
        <v>3215.6</v>
      </c>
    </row>
    <row r="2734" spans="1:8" x14ac:dyDescent="0.25">
      <c r="A2734" s="1" t="s">
        <v>2747</v>
      </c>
      <c r="B2734" s="5">
        <v>45771.833333333336</v>
      </c>
      <c r="C2734" s="1" t="s">
        <v>11</v>
      </c>
      <c r="D2734" s="1" t="s">
        <v>19</v>
      </c>
      <c r="E2734" s="1">
        <v>18</v>
      </c>
      <c r="F2734" s="1">
        <v>402.38</v>
      </c>
      <c r="G2734" s="1">
        <v>33.11</v>
      </c>
      <c r="H2734">
        <f t="shared" si="42"/>
        <v>7242.84</v>
      </c>
    </row>
    <row r="2735" spans="1:8" x14ac:dyDescent="0.25">
      <c r="A2735" s="1" t="s">
        <v>2748</v>
      </c>
      <c r="B2735" s="5">
        <v>45771.875</v>
      </c>
      <c r="C2735" s="1" t="s">
        <v>11</v>
      </c>
      <c r="D2735" s="1" t="s">
        <v>37</v>
      </c>
      <c r="E2735" s="1">
        <v>17</v>
      </c>
      <c r="F2735" s="1">
        <v>413.45</v>
      </c>
      <c r="G2735" s="1">
        <v>11.26</v>
      </c>
      <c r="H2735">
        <f t="shared" si="42"/>
        <v>7028.65</v>
      </c>
    </row>
    <row r="2736" spans="1:8" x14ac:dyDescent="0.25">
      <c r="A2736" s="1" t="s">
        <v>2749</v>
      </c>
      <c r="B2736" s="5">
        <v>45771.916666666664</v>
      </c>
      <c r="C2736" s="1" t="s">
        <v>11</v>
      </c>
      <c r="D2736" s="1" t="s">
        <v>37</v>
      </c>
      <c r="E2736" s="1">
        <v>13</v>
      </c>
      <c r="F2736" s="1">
        <v>136.16999999999999</v>
      </c>
      <c r="G2736" s="1">
        <v>48.78</v>
      </c>
      <c r="H2736">
        <f t="shared" si="42"/>
        <v>1770.2099999999998</v>
      </c>
    </row>
    <row r="2737" spans="1:8" x14ac:dyDescent="0.25">
      <c r="A2737" s="1" t="s">
        <v>2750</v>
      </c>
      <c r="B2737" s="5">
        <v>45771.958333333336</v>
      </c>
      <c r="C2737" s="1" t="s">
        <v>23</v>
      </c>
      <c r="D2737" s="1" t="s">
        <v>16</v>
      </c>
      <c r="E2737" s="1">
        <v>1</v>
      </c>
      <c r="F2737" s="1">
        <v>97.14</v>
      </c>
      <c r="G2737" s="1">
        <v>24.95</v>
      </c>
      <c r="H2737">
        <f t="shared" si="42"/>
        <v>97.14</v>
      </c>
    </row>
    <row r="2738" spans="1:8" x14ac:dyDescent="0.25">
      <c r="A2738" s="1" t="s">
        <v>2751</v>
      </c>
      <c r="B2738" s="5">
        <v>45772</v>
      </c>
      <c r="C2738" s="1" t="s">
        <v>8</v>
      </c>
      <c r="D2738" s="1" t="s">
        <v>37</v>
      </c>
      <c r="E2738" s="1">
        <v>1</v>
      </c>
      <c r="F2738" s="1">
        <v>129.03</v>
      </c>
      <c r="G2738" s="1">
        <v>47.66</v>
      </c>
      <c r="H2738">
        <f t="shared" si="42"/>
        <v>129.03</v>
      </c>
    </row>
    <row r="2739" spans="1:8" x14ac:dyDescent="0.25">
      <c r="A2739" s="1" t="s">
        <v>2752</v>
      </c>
      <c r="B2739" s="5">
        <v>45772.041666666664</v>
      </c>
      <c r="C2739" s="1" t="s">
        <v>23</v>
      </c>
      <c r="D2739" s="1" t="s">
        <v>19</v>
      </c>
      <c r="E2739" s="1">
        <v>15</v>
      </c>
      <c r="F2739" s="1">
        <v>341.97</v>
      </c>
      <c r="G2739" s="1">
        <v>11.06</v>
      </c>
      <c r="H2739">
        <f t="shared" si="42"/>
        <v>5129.55</v>
      </c>
    </row>
    <row r="2740" spans="1:8" x14ac:dyDescent="0.25">
      <c r="A2740" s="1" t="s">
        <v>2753</v>
      </c>
      <c r="B2740" s="5">
        <v>45772.083333333336</v>
      </c>
      <c r="C2740" s="1" t="s">
        <v>11</v>
      </c>
      <c r="D2740" s="1" t="s">
        <v>16</v>
      </c>
      <c r="E2740" s="1">
        <v>1</v>
      </c>
      <c r="F2740" s="1">
        <v>176.29</v>
      </c>
      <c r="G2740" s="1">
        <v>39.520000000000003</v>
      </c>
      <c r="H2740">
        <f t="shared" si="42"/>
        <v>176.29</v>
      </c>
    </row>
    <row r="2741" spans="1:8" x14ac:dyDescent="0.25">
      <c r="A2741" s="1" t="s">
        <v>2754</v>
      </c>
      <c r="B2741" s="5">
        <v>45772.125</v>
      </c>
      <c r="C2741" s="1" t="s">
        <v>23</v>
      </c>
      <c r="D2741" s="1" t="s">
        <v>9</v>
      </c>
      <c r="E2741" s="1">
        <v>6</v>
      </c>
      <c r="F2741" s="1">
        <v>90.84</v>
      </c>
      <c r="G2741" s="1">
        <v>32.79</v>
      </c>
      <c r="H2741">
        <f t="shared" si="42"/>
        <v>545.04</v>
      </c>
    </row>
    <row r="2742" spans="1:8" x14ac:dyDescent="0.25">
      <c r="A2742" s="1" t="s">
        <v>2755</v>
      </c>
      <c r="B2742" s="5">
        <v>45772.166666666664</v>
      </c>
      <c r="C2742" s="1" t="s">
        <v>23</v>
      </c>
      <c r="D2742" s="1" t="s">
        <v>9</v>
      </c>
      <c r="E2742" s="1">
        <v>13</v>
      </c>
      <c r="F2742" s="1">
        <v>58.25</v>
      </c>
      <c r="G2742" s="1">
        <v>41.9</v>
      </c>
      <c r="H2742">
        <f t="shared" si="42"/>
        <v>757.25</v>
      </c>
    </row>
    <row r="2743" spans="1:8" x14ac:dyDescent="0.25">
      <c r="A2743" s="1" t="s">
        <v>2756</v>
      </c>
      <c r="B2743" s="5">
        <v>45772.208333333336</v>
      </c>
      <c r="C2743" s="1" t="s">
        <v>23</v>
      </c>
      <c r="D2743" s="1" t="s">
        <v>37</v>
      </c>
      <c r="E2743" s="1">
        <v>1</v>
      </c>
      <c r="F2743" s="1">
        <v>157.72</v>
      </c>
      <c r="G2743" s="1">
        <v>32.03</v>
      </c>
      <c r="H2743">
        <f t="shared" si="42"/>
        <v>157.72</v>
      </c>
    </row>
    <row r="2744" spans="1:8" x14ac:dyDescent="0.25">
      <c r="A2744" s="1" t="s">
        <v>2757</v>
      </c>
      <c r="B2744" s="5">
        <v>45772.25</v>
      </c>
      <c r="C2744" s="1" t="s">
        <v>8</v>
      </c>
      <c r="D2744" s="1" t="s">
        <v>16</v>
      </c>
      <c r="E2744" s="1">
        <v>5</v>
      </c>
      <c r="F2744" s="1">
        <v>74.650000000000006</v>
      </c>
      <c r="G2744" s="1">
        <v>48.33</v>
      </c>
      <c r="H2744">
        <f t="shared" si="42"/>
        <v>373.25</v>
      </c>
    </row>
    <row r="2745" spans="1:8" x14ac:dyDescent="0.25">
      <c r="A2745" s="1" t="s">
        <v>2758</v>
      </c>
      <c r="B2745" s="5">
        <v>45772.291666666664</v>
      </c>
      <c r="C2745" s="1" t="s">
        <v>13</v>
      </c>
      <c r="D2745" s="1" t="s">
        <v>16</v>
      </c>
      <c r="E2745" s="1">
        <v>9</v>
      </c>
      <c r="F2745" s="1">
        <v>83.44</v>
      </c>
      <c r="G2745" s="1">
        <v>33.21</v>
      </c>
      <c r="H2745">
        <f t="shared" si="42"/>
        <v>750.96</v>
      </c>
    </row>
    <row r="2746" spans="1:8" x14ac:dyDescent="0.25">
      <c r="A2746" s="1" t="s">
        <v>2759</v>
      </c>
      <c r="B2746" s="5">
        <v>45772.333333333336</v>
      </c>
      <c r="C2746" s="1" t="s">
        <v>13</v>
      </c>
      <c r="D2746" s="1" t="s">
        <v>9</v>
      </c>
      <c r="E2746" s="1">
        <v>17</v>
      </c>
      <c r="F2746" s="1">
        <v>312.64999999999998</v>
      </c>
      <c r="G2746" s="1">
        <v>40.31</v>
      </c>
      <c r="H2746">
        <f t="shared" si="42"/>
        <v>5315.0499999999993</v>
      </c>
    </row>
    <row r="2747" spans="1:8" x14ac:dyDescent="0.25">
      <c r="A2747" s="1" t="s">
        <v>2760</v>
      </c>
      <c r="B2747" s="5">
        <v>45772.375</v>
      </c>
      <c r="C2747" s="1" t="s">
        <v>23</v>
      </c>
      <c r="D2747" s="1" t="s">
        <v>16</v>
      </c>
      <c r="E2747" s="1">
        <v>16</v>
      </c>
      <c r="F2747" s="1">
        <v>24.07</v>
      </c>
      <c r="G2747" s="1">
        <v>44.49</v>
      </c>
      <c r="H2747">
        <f t="shared" si="42"/>
        <v>385.12</v>
      </c>
    </row>
    <row r="2748" spans="1:8" x14ac:dyDescent="0.25">
      <c r="A2748" s="1" t="s">
        <v>2761</v>
      </c>
      <c r="B2748" s="5">
        <v>45772.416666666664</v>
      </c>
      <c r="C2748" s="1" t="s">
        <v>13</v>
      </c>
      <c r="D2748" s="1" t="s">
        <v>16</v>
      </c>
      <c r="E2748" s="1">
        <v>8</v>
      </c>
      <c r="F2748" s="1">
        <v>66.58</v>
      </c>
      <c r="G2748" s="1">
        <v>37.159999999999997</v>
      </c>
      <c r="H2748">
        <f t="shared" si="42"/>
        <v>532.64</v>
      </c>
    </row>
    <row r="2749" spans="1:8" x14ac:dyDescent="0.25">
      <c r="A2749" s="1" t="s">
        <v>2762</v>
      </c>
      <c r="B2749" s="5">
        <v>45772.458333333336</v>
      </c>
      <c r="C2749" s="1" t="s">
        <v>13</v>
      </c>
      <c r="D2749" s="1" t="s">
        <v>16</v>
      </c>
      <c r="E2749" s="1">
        <v>17</v>
      </c>
      <c r="F2749" s="1">
        <v>382.38</v>
      </c>
      <c r="G2749" s="1">
        <v>28.59</v>
      </c>
      <c r="H2749">
        <f t="shared" si="42"/>
        <v>6500.46</v>
      </c>
    </row>
    <row r="2750" spans="1:8" x14ac:dyDescent="0.25">
      <c r="A2750" s="1" t="s">
        <v>2763</v>
      </c>
      <c r="B2750" s="5">
        <v>45772.5</v>
      </c>
      <c r="C2750" s="1" t="s">
        <v>23</v>
      </c>
      <c r="D2750" s="1" t="s">
        <v>37</v>
      </c>
      <c r="E2750" s="1">
        <v>15</v>
      </c>
      <c r="F2750" s="1">
        <v>382.62</v>
      </c>
      <c r="G2750" s="1">
        <v>17.28</v>
      </c>
      <c r="H2750">
        <f t="shared" si="42"/>
        <v>5739.3</v>
      </c>
    </row>
    <row r="2751" spans="1:8" x14ac:dyDescent="0.25">
      <c r="A2751" s="1" t="s">
        <v>2764</v>
      </c>
      <c r="B2751" s="5">
        <v>45772.541666666664</v>
      </c>
      <c r="C2751" s="1" t="s">
        <v>23</v>
      </c>
      <c r="D2751" s="1" t="s">
        <v>16</v>
      </c>
      <c r="E2751" s="1">
        <v>1</v>
      </c>
      <c r="F2751" s="1">
        <v>158.56</v>
      </c>
      <c r="G2751" s="1">
        <v>43.45</v>
      </c>
      <c r="H2751">
        <f t="shared" si="42"/>
        <v>158.56</v>
      </c>
    </row>
    <row r="2752" spans="1:8" x14ac:dyDescent="0.25">
      <c r="A2752" s="1" t="s">
        <v>2765</v>
      </c>
      <c r="B2752" s="5">
        <v>45772.583333333336</v>
      </c>
      <c r="C2752" s="1" t="s">
        <v>11</v>
      </c>
      <c r="D2752" s="1" t="s">
        <v>19</v>
      </c>
      <c r="E2752" s="1">
        <v>12</v>
      </c>
      <c r="F2752" s="1">
        <v>53.72</v>
      </c>
      <c r="G2752" s="1">
        <v>26.63</v>
      </c>
      <c r="H2752">
        <f t="shared" si="42"/>
        <v>644.64</v>
      </c>
    </row>
    <row r="2753" spans="1:8" x14ac:dyDescent="0.25">
      <c r="A2753" s="1" t="s">
        <v>2766</v>
      </c>
      <c r="B2753" s="5">
        <v>45772.625</v>
      </c>
      <c r="C2753" s="1" t="s">
        <v>13</v>
      </c>
      <c r="D2753" s="1" t="s">
        <v>37</v>
      </c>
      <c r="E2753" s="1">
        <v>5</v>
      </c>
      <c r="F2753" s="1">
        <v>321.81</v>
      </c>
      <c r="G2753" s="1">
        <v>32.93</v>
      </c>
      <c r="H2753">
        <f t="shared" si="42"/>
        <v>1609.05</v>
      </c>
    </row>
    <row r="2754" spans="1:8" x14ac:dyDescent="0.25">
      <c r="A2754" s="1" t="s">
        <v>2767</v>
      </c>
      <c r="B2754" s="5">
        <v>45772.666666666664</v>
      </c>
      <c r="C2754" s="1" t="s">
        <v>8</v>
      </c>
      <c r="D2754" s="1" t="s">
        <v>16</v>
      </c>
      <c r="E2754" s="1">
        <v>6</v>
      </c>
      <c r="F2754" s="1">
        <v>171.98</v>
      </c>
      <c r="G2754" s="1">
        <v>8.57</v>
      </c>
      <c r="H2754">
        <f t="shared" ref="H2754:H2817" si="43">E2754*F2754</f>
        <v>1031.8799999999999</v>
      </c>
    </row>
    <row r="2755" spans="1:8" x14ac:dyDescent="0.25">
      <c r="A2755" s="1" t="s">
        <v>2768</v>
      </c>
      <c r="B2755" s="5">
        <v>45772.708333333336</v>
      </c>
      <c r="C2755" s="1" t="s">
        <v>23</v>
      </c>
      <c r="D2755" s="1" t="s">
        <v>16</v>
      </c>
      <c r="E2755" s="1">
        <v>1</v>
      </c>
      <c r="F2755" s="1">
        <v>35.25</v>
      </c>
      <c r="G2755" s="1">
        <v>27.38</v>
      </c>
      <c r="H2755">
        <f t="shared" si="43"/>
        <v>35.25</v>
      </c>
    </row>
    <row r="2756" spans="1:8" x14ac:dyDescent="0.25">
      <c r="A2756" s="1" t="s">
        <v>2769</v>
      </c>
      <c r="B2756" s="5">
        <v>45772.75</v>
      </c>
      <c r="C2756" s="1" t="s">
        <v>11</v>
      </c>
      <c r="D2756" s="1" t="s">
        <v>19</v>
      </c>
      <c r="E2756" s="1">
        <v>1</v>
      </c>
      <c r="F2756" s="1">
        <v>84.08</v>
      </c>
      <c r="G2756" s="1">
        <v>36.42</v>
      </c>
      <c r="H2756">
        <f t="shared" si="43"/>
        <v>84.08</v>
      </c>
    </row>
    <row r="2757" spans="1:8" x14ac:dyDescent="0.25">
      <c r="A2757" s="1" t="s">
        <v>2770</v>
      </c>
      <c r="B2757" s="5">
        <v>45772.791666666664</v>
      </c>
      <c r="C2757" s="1" t="s">
        <v>8</v>
      </c>
      <c r="D2757" s="1" t="s">
        <v>37</v>
      </c>
      <c r="E2757" s="1">
        <v>10</v>
      </c>
      <c r="F2757" s="1">
        <v>75.12</v>
      </c>
      <c r="G2757" s="1">
        <v>31.28</v>
      </c>
      <c r="H2757">
        <f t="shared" si="43"/>
        <v>751.2</v>
      </c>
    </row>
    <row r="2758" spans="1:8" x14ac:dyDescent="0.25">
      <c r="A2758" s="1" t="s">
        <v>2771</v>
      </c>
      <c r="B2758" s="5">
        <v>45772.833333333336</v>
      </c>
      <c r="C2758" s="1" t="s">
        <v>13</v>
      </c>
      <c r="D2758" s="1" t="s">
        <v>9</v>
      </c>
      <c r="E2758" s="1">
        <v>10</v>
      </c>
      <c r="F2758" s="1">
        <v>271.47000000000003</v>
      </c>
      <c r="G2758" s="1">
        <v>25.18</v>
      </c>
      <c r="H2758">
        <f t="shared" si="43"/>
        <v>2714.7000000000003</v>
      </c>
    </row>
    <row r="2759" spans="1:8" x14ac:dyDescent="0.25">
      <c r="A2759" s="1" t="s">
        <v>2772</v>
      </c>
      <c r="B2759" s="5">
        <v>45772.875</v>
      </c>
      <c r="C2759" s="1" t="s">
        <v>11</v>
      </c>
      <c r="D2759" s="1" t="s">
        <v>9</v>
      </c>
      <c r="E2759" s="1">
        <v>3</v>
      </c>
      <c r="F2759" s="1">
        <v>405.73</v>
      </c>
      <c r="G2759" s="1">
        <v>15.05</v>
      </c>
      <c r="H2759">
        <f t="shared" si="43"/>
        <v>1217.19</v>
      </c>
    </row>
    <row r="2760" spans="1:8" x14ac:dyDescent="0.25">
      <c r="A2760" s="1" t="s">
        <v>2773</v>
      </c>
      <c r="B2760" s="5">
        <v>45772.916666666664</v>
      </c>
      <c r="C2760" s="1" t="s">
        <v>23</v>
      </c>
      <c r="D2760" s="1" t="s">
        <v>37</v>
      </c>
      <c r="E2760" s="1">
        <v>17</v>
      </c>
      <c r="F2760" s="1">
        <v>360.09</v>
      </c>
      <c r="G2760" s="1">
        <v>18.940000000000001</v>
      </c>
      <c r="H2760">
        <f t="shared" si="43"/>
        <v>6121.53</v>
      </c>
    </row>
    <row r="2761" spans="1:8" x14ac:dyDescent="0.25">
      <c r="A2761" s="1" t="s">
        <v>2774</v>
      </c>
      <c r="B2761" s="5">
        <v>45772.958333333336</v>
      </c>
      <c r="C2761" s="1" t="s">
        <v>8</v>
      </c>
      <c r="D2761" s="1" t="s">
        <v>16</v>
      </c>
      <c r="E2761" s="1">
        <v>19</v>
      </c>
      <c r="F2761" s="1">
        <v>252.96</v>
      </c>
      <c r="G2761" s="1">
        <v>36.53</v>
      </c>
      <c r="H2761">
        <f t="shared" si="43"/>
        <v>4806.24</v>
      </c>
    </row>
    <row r="2762" spans="1:8" x14ac:dyDescent="0.25">
      <c r="A2762" s="1" t="s">
        <v>2775</v>
      </c>
      <c r="B2762" s="5">
        <v>45773</v>
      </c>
      <c r="C2762" s="1" t="s">
        <v>23</v>
      </c>
      <c r="D2762" s="1" t="s">
        <v>16</v>
      </c>
      <c r="E2762" s="1">
        <v>11</v>
      </c>
      <c r="F2762" s="1">
        <v>198.93</v>
      </c>
      <c r="G2762" s="1">
        <v>15.09</v>
      </c>
      <c r="H2762">
        <f t="shared" si="43"/>
        <v>2188.23</v>
      </c>
    </row>
    <row r="2763" spans="1:8" x14ac:dyDescent="0.25">
      <c r="A2763" s="1" t="s">
        <v>2776</v>
      </c>
      <c r="B2763" s="5">
        <v>45773.041666666664</v>
      </c>
      <c r="C2763" s="1" t="s">
        <v>13</v>
      </c>
      <c r="D2763" s="1" t="s">
        <v>9</v>
      </c>
      <c r="E2763" s="1">
        <v>18</v>
      </c>
      <c r="F2763" s="1">
        <v>284.32</v>
      </c>
      <c r="G2763" s="1">
        <v>32.979999999999997</v>
      </c>
      <c r="H2763">
        <f t="shared" si="43"/>
        <v>5117.76</v>
      </c>
    </row>
    <row r="2764" spans="1:8" x14ac:dyDescent="0.25">
      <c r="A2764" s="1" t="s">
        <v>2777</v>
      </c>
      <c r="B2764" s="5">
        <v>45773.083333333336</v>
      </c>
      <c r="C2764" s="1" t="s">
        <v>8</v>
      </c>
      <c r="D2764" s="1" t="s">
        <v>9</v>
      </c>
      <c r="E2764" s="1">
        <v>2</v>
      </c>
      <c r="F2764" s="1">
        <v>208.34</v>
      </c>
      <c r="G2764" s="1">
        <v>31.54</v>
      </c>
      <c r="H2764">
        <f t="shared" si="43"/>
        <v>416.68</v>
      </c>
    </row>
    <row r="2765" spans="1:8" x14ac:dyDescent="0.25">
      <c r="A2765" s="1" t="s">
        <v>2778</v>
      </c>
      <c r="B2765" s="5">
        <v>45773.125</v>
      </c>
      <c r="C2765" s="1" t="s">
        <v>13</v>
      </c>
      <c r="D2765" s="1" t="s">
        <v>9</v>
      </c>
      <c r="E2765" s="1">
        <v>9</v>
      </c>
      <c r="F2765" s="1">
        <v>122.43</v>
      </c>
      <c r="G2765" s="1">
        <v>48.67</v>
      </c>
      <c r="H2765">
        <f t="shared" si="43"/>
        <v>1101.8700000000001</v>
      </c>
    </row>
    <row r="2766" spans="1:8" x14ac:dyDescent="0.25">
      <c r="A2766" s="1" t="s">
        <v>2779</v>
      </c>
      <c r="B2766" s="5">
        <v>45773.166666666664</v>
      </c>
      <c r="C2766" s="1" t="s">
        <v>13</v>
      </c>
      <c r="D2766" s="1" t="s">
        <v>19</v>
      </c>
      <c r="E2766" s="1">
        <v>17</v>
      </c>
      <c r="F2766" s="1">
        <v>310.61</v>
      </c>
      <c r="G2766" s="1">
        <v>7.74</v>
      </c>
      <c r="H2766">
        <f t="shared" si="43"/>
        <v>5280.37</v>
      </c>
    </row>
    <row r="2767" spans="1:8" x14ac:dyDescent="0.25">
      <c r="A2767" s="1" t="s">
        <v>2780</v>
      </c>
      <c r="B2767" s="5">
        <v>45773.208333333336</v>
      </c>
      <c r="C2767" s="1" t="s">
        <v>11</v>
      </c>
      <c r="D2767" s="1" t="s">
        <v>9</v>
      </c>
      <c r="E2767" s="1">
        <v>14</v>
      </c>
      <c r="F2767" s="1">
        <v>394.92</v>
      </c>
      <c r="G2767" s="1">
        <v>9.8699999999999992</v>
      </c>
      <c r="H2767">
        <f t="shared" si="43"/>
        <v>5528.88</v>
      </c>
    </row>
    <row r="2768" spans="1:8" x14ac:dyDescent="0.25">
      <c r="A2768" s="1" t="s">
        <v>2781</v>
      </c>
      <c r="B2768" s="5">
        <v>45773.25</v>
      </c>
      <c r="C2768" s="1" t="s">
        <v>23</v>
      </c>
      <c r="D2768" s="1" t="s">
        <v>19</v>
      </c>
      <c r="E2768" s="1">
        <v>4</v>
      </c>
      <c r="F2768" s="1">
        <v>177.51</v>
      </c>
      <c r="G2768" s="1">
        <v>27.77</v>
      </c>
      <c r="H2768">
        <f t="shared" si="43"/>
        <v>710.04</v>
      </c>
    </row>
    <row r="2769" spans="1:8" x14ac:dyDescent="0.25">
      <c r="A2769" s="1" t="s">
        <v>2782</v>
      </c>
      <c r="B2769" s="5">
        <v>45773.291666666664</v>
      </c>
      <c r="C2769" s="1" t="s">
        <v>8</v>
      </c>
      <c r="D2769" s="1" t="s">
        <v>37</v>
      </c>
      <c r="E2769" s="1">
        <v>17</v>
      </c>
      <c r="F2769" s="1">
        <v>381.15</v>
      </c>
      <c r="G2769" s="1">
        <v>28.72</v>
      </c>
      <c r="H2769">
        <f t="shared" si="43"/>
        <v>6479.5499999999993</v>
      </c>
    </row>
    <row r="2770" spans="1:8" x14ac:dyDescent="0.25">
      <c r="A2770" s="1" t="s">
        <v>2783</v>
      </c>
      <c r="B2770" s="5">
        <v>45773.333333333336</v>
      </c>
      <c r="C2770" s="1" t="s">
        <v>13</v>
      </c>
      <c r="D2770" s="1" t="s">
        <v>16</v>
      </c>
      <c r="E2770" s="1">
        <v>17</v>
      </c>
      <c r="F2770" s="1">
        <v>202.81</v>
      </c>
      <c r="G2770" s="1">
        <v>6.8</v>
      </c>
      <c r="H2770">
        <f t="shared" si="43"/>
        <v>3447.77</v>
      </c>
    </row>
    <row r="2771" spans="1:8" x14ac:dyDescent="0.25">
      <c r="A2771" s="1" t="s">
        <v>2784</v>
      </c>
      <c r="B2771" s="5">
        <v>45773.375</v>
      </c>
      <c r="C2771" s="1" t="s">
        <v>13</v>
      </c>
      <c r="D2771" s="1" t="s">
        <v>9</v>
      </c>
      <c r="E2771" s="1">
        <v>12</v>
      </c>
      <c r="F2771" s="1">
        <v>189.88</v>
      </c>
      <c r="G2771" s="1">
        <v>42.16</v>
      </c>
      <c r="H2771">
        <f t="shared" si="43"/>
        <v>2278.56</v>
      </c>
    </row>
    <row r="2772" spans="1:8" x14ac:dyDescent="0.25">
      <c r="A2772" s="1" t="s">
        <v>2785</v>
      </c>
      <c r="B2772" s="5">
        <v>45773.416666666664</v>
      </c>
      <c r="C2772" s="1" t="s">
        <v>8</v>
      </c>
      <c r="D2772" s="1" t="s">
        <v>16</v>
      </c>
      <c r="E2772" s="1">
        <v>18</v>
      </c>
      <c r="F2772" s="1">
        <v>27.81</v>
      </c>
      <c r="G2772" s="1">
        <v>27.26</v>
      </c>
      <c r="H2772">
        <f t="shared" si="43"/>
        <v>500.58</v>
      </c>
    </row>
    <row r="2773" spans="1:8" x14ac:dyDescent="0.25">
      <c r="A2773" s="1" t="s">
        <v>2786</v>
      </c>
      <c r="B2773" s="5">
        <v>45773.458333333336</v>
      </c>
      <c r="C2773" s="1" t="s">
        <v>13</v>
      </c>
      <c r="D2773" s="1" t="s">
        <v>16</v>
      </c>
      <c r="E2773" s="1">
        <v>3</v>
      </c>
      <c r="F2773" s="1">
        <v>317.60000000000002</v>
      </c>
      <c r="G2773" s="1">
        <v>20.6</v>
      </c>
      <c r="H2773">
        <f t="shared" si="43"/>
        <v>952.80000000000007</v>
      </c>
    </row>
    <row r="2774" spans="1:8" x14ac:dyDescent="0.25">
      <c r="A2774" s="1" t="s">
        <v>2787</v>
      </c>
      <c r="B2774" s="5">
        <v>45773.5</v>
      </c>
      <c r="C2774" s="1" t="s">
        <v>11</v>
      </c>
      <c r="D2774" s="1" t="s">
        <v>9</v>
      </c>
      <c r="E2774" s="1">
        <v>11</v>
      </c>
      <c r="F2774" s="1">
        <v>366.36</v>
      </c>
      <c r="G2774" s="1">
        <v>19.350000000000001</v>
      </c>
      <c r="H2774">
        <f t="shared" si="43"/>
        <v>4029.96</v>
      </c>
    </row>
    <row r="2775" spans="1:8" x14ac:dyDescent="0.25">
      <c r="A2775" s="1" t="s">
        <v>2788</v>
      </c>
      <c r="B2775" s="5">
        <v>45773.541666666664</v>
      </c>
      <c r="C2775" s="1" t="s">
        <v>11</v>
      </c>
      <c r="D2775" s="1" t="s">
        <v>9</v>
      </c>
      <c r="E2775" s="1">
        <v>18</v>
      </c>
      <c r="F2775" s="1">
        <v>303.82</v>
      </c>
      <c r="G2775" s="1">
        <v>43.76</v>
      </c>
      <c r="H2775">
        <f t="shared" si="43"/>
        <v>5468.76</v>
      </c>
    </row>
    <row r="2776" spans="1:8" x14ac:dyDescent="0.25">
      <c r="A2776" s="1" t="s">
        <v>2789</v>
      </c>
      <c r="B2776" s="5">
        <v>45773.583333333336</v>
      </c>
      <c r="C2776" s="1" t="s">
        <v>11</v>
      </c>
      <c r="D2776" s="1" t="s">
        <v>37</v>
      </c>
      <c r="E2776" s="1">
        <v>4</v>
      </c>
      <c r="F2776" s="1">
        <v>81.27</v>
      </c>
      <c r="G2776" s="1">
        <v>13.85</v>
      </c>
      <c r="H2776">
        <f t="shared" si="43"/>
        <v>325.08</v>
      </c>
    </row>
    <row r="2777" spans="1:8" x14ac:dyDescent="0.25">
      <c r="A2777" s="1" t="s">
        <v>2790</v>
      </c>
      <c r="B2777" s="5">
        <v>45773.625</v>
      </c>
      <c r="C2777" s="1" t="s">
        <v>11</v>
      </c>
      <c r="D2777" s="1" t="s">
        <v>19</v>
      </c>
      <c r="E2777" s="1">
        <v>17</v>
      </c>
      <c r="F2777" s="1">
        <v>60.38</v>
      </c>
      <c r="G2777" s="1">
        <v>12.22</v>
      </c>
      <c r="H2777">
        <f t="shared" si="43"/>
        <v>1026.46</v>
      </c>
    </row>
    <row r="2778" spans="1:8" x14ac:dyDescent="0.25">
      <c r="A2778" s="1" t="s">
        <v>2791</v>
      </c>
      <c r="B2778" s="5">
        <v>45773.666666666664</v>
      </c>
      <c r="C2778" s="1" t="s">
        <v>13</v>
      </c>
      <c r="D2778" s="1" t="s">
        <v>19</v>
      </c>
      <c r="E2778" s="1">
        <v>18</v>
      </c>
      <c r="F2778" s="1">
        <v>264.41000000000003</v>
      </c>
      <c r="G2778" s="1">
        <v>14.59</v>
      </c>
      <c r="H2778">
        <f t="shared" si="43"/>
        <v>4759.38</v>
      </c>
    </row>
    <row r="2779" spans="1:8" x14ac:dyDescent="0.25">
      <c r="A2779" s="1" t="s">
        <v>2792</v>
      </c>
      <c r="B2779" s="5">
        <v>45773.708333333336</v>
      </c>
      <c r="C2779" s="1" t="s">
        <v>8</v>
      </c>
      <c r="D2779" s="1" t="s">
        <v>16</v>
      </c>
      <c r="E2779" s="1">
        <v>5</v>
      </c>
      <c r="F2779" s="1">
        <v>189.96</v>
      </c>
      <c r="G2779" s="1">
        <v>33.130000000000003</v>
      </c>
      <c r="H2779">
        <f t="shared" si="43"/>
        <v>949.80000000000007</v>
      </c>
    </row>
    <row r="2780" spans="1:8" x14ac:dyDescent="0.25">
      <c r="A2780" s="1" t="s">
        <v>2793</v>
      </c>
      <c r="B2780" s="5">
        <v>45773.75</v>
      </c>
      <c r="C2780" s="1" t="s">
        <v>8</v>
      </c>
      <c r="D2780" s="1" t="s">
        <v>9</v>
      </c>
      <c r="E2780" s="1">
        <v>14</v>
      </c>
      <c r="F2780" s="1">
        <v>201.94</v>
      </c>
      <c r="G2780" s="1">
        <v>41.49</v>
      </c>
      <c r="H2780">
        <f t="shared" si="43"/>
        <v>2827.16</v>
      </c>
    </row>
    <row r="2781" spans="1:8" x14ac:dyDescent="0.25">
      <c r="A2781" s="1" t="s">
        <v>2794</v>
      </c>
      <c r="B2781" s="5">
        <v>45773.791666666664</v>
      </c>
      <c r="C2781" s="1" t="s">
        <v>8</v>
      </c>
      <c r="D2781" s="1" t="s">
        <v>37</v>
      </c>
      <c r="E2781" s="1">
        <v>10</v>
      </c>
      <c r="F2781" s="1">
        <v>436.01</v>
      </c>
      <c r="G2781" s="1">
        <v>19.89</v>
      </c>
      <c r="H2781">
        <f t="shared" si="43"/>
        <v>4360.1000000000004</v>
      </c>
    </row>
    <row r="2782" spans="1:8" x14ac:dyDescent="0.25">
      <c r="A2782" s="1" t="s">
        <v>2795</v>
      </c>
      <c r="B2782" s="5">
        <v>45773.833333333336</v>
      </c>
      <c r="C2782" s="1" t="s">
        <v>8</v>
      </c>
      <c r="D2782" s="1" t="s">
        <v>37</v>
      </c>
      <c r="E2782" s="1">
        <v>15</v>
      </c>
      <c r="F2782" s="1">
        <v>330.04</v>
      </c>
      <c r="G2782" s="1">
        <v>12.81</v>
      </c>
      <c r="H2782">
        <f t="shared" si="43"/>
        <v>4950.6000000000004</v>
      </c>
    </row>
    <row r="2783" spans="1:8" x14ac:dyDescent="0.25">
      <c r="A2783" s="1" t="s">
        <v>2796</v>
      </c>
      <c r="B2783" s="5">
        <v>45773.875</v>
      </c>
      <c r="C2783" s="1" t="s">
        <v>23</v>
      </c>
      <c r="D2783" s="1" t="s">
        <v>37</v>
      </c>
      <c r="E2783" s="1">
        <v>1</v>
      </c>
      <c r="F2783" s="1">
        <v>194.42</v>
      </c>
      <c r="G2783" s="1">
        <v>14.41</v>
      </c>
      <c r="H2783">
        <f t="shared" si="43"/>
        <v>194.42</v>
      </c>
    </row>
    <row r="2784" spans="1:8" x14ac:dyDescent="0.25">
      <c r="A2784" s="1" t="s">
        <v>2797</v>
      </c>
      <c r="B2784" s="5">
        <v>45773.916666666664</v>
      </c>
      <c r="C2784" s="1" t="s">
        <v>8</v>
      </c>
      <c r="D2784" s="1" t="s">
        <v>37</v>
      </c>
      <c r="E2784" s="1">
        <v>16</v>
      </c>
      <c r="F2784" s="1">
        <v>23.8</v>
      </c>
      <c r="G2784" s="1">
        <v>32.86</v>
      </c>
      <c r="H2784">
        <f t="shared" si="43"/>
        <v>380.8</v>
      </c>
    </row>
    <row r="2785" spans="1:8" x14ac:dyDescent="0.25">
      <c r="A2785" s="1" t="s">
        <v>2798</v>
      </c>
      <c r="B2785" s="5">
        <v>45773.958333333336</v>
      </c>
      <c r="C2785" s="1" t="s">
        <v>23</v>
      </c>
      <c r="D2785" s="1" t="s">
        <v>37</v>
      </c>
      <c r="E2785" s="1">
        <v>11</v>
      </c>
      <c r="F2785" s="1">
        <v>30.31</v>
      </c>
      <c r="G2785" s="1">
        <v>16.07</v>
      </c>
      <c r="H2785">
        <f t="shared" si="43"/>
        <v>333.40999999999997</v>
      </c>
    </row>
    <row r="2786" spans="1:8" x14ac:dyDescent="0.25">
      <c r="A2786" s="1" t="s">
        <v>2799</v>
      </c>
      <c r="B2786" s="5">
        <v>45774</v>
      </c>
      <c r="C2786" s="1" t="s">
        <v>23</v>
      </c>
      <c r="D2786" s="1" t="s">
        <v>19</v>
      </c>
      <c r="E2786" s="1">
        <v>6</v>
      </c>
      <c r="F2786" s="1">
        <v>313.05</v>
      </c>
      <c r="G2786" s="1">
        <v>44.48</v>
      </c>
      <c r="H2786">
        <f t="shared" si="43"/>
        <v>1878.3000000000002</v>
      </c>
    </row>
    <row r="2787" spans="1:8" x14ac:dyDescent="0.25">
      <c r="A2787" s="1" t="s">
        <v>2800</v>
      </c>
      <c r="B2787" s="5">
        <v>45774.041666666664</v>
      </c>
      <c r="C2787" s="1" t="s">
        <v>11</v>
      </c>
      <c r="D2787" s="1" t="s">
        <v>19</v>
      </c>
      <c r="E2787" s="1">
        <v>16</v>
      </c>
      <c r="F2787" s="1">
        <v>379.5</v>
      </c>
      <c r="G2787" s="1">
        <v>9.68</v>
      </c>
      <c r="H2787">
        <f t="shared" si="43"/>
        <v>6072</v>
      </c>
    </row>
    <row r="2788" spans="1:8" x14ac:dyDescent="0.25">
      <c r="A2788" s="1" t="s">
        <v>2801</v>
      </c>
      <c r="B2788" s="5">
        <v>45774.083333333336</v>
      </c>
      <c r="C2788" s="1" t="s">
        <v>23</v>
      </c>
      <c r="D2788" s="1" t="s">
        <v>19</v>
      </c>
      <c r="E2788" s="1">
        <v>2</v>
      </c>
      <c r="F2788" s="1">
        <v>323</v>
      </c>
      <c r="G2788" s="1">
        <v>6.46</v>
      </c>
      <c r="H2788">
        <f t="shared" si="43"/>
        <v>646</v>
      </c>
    </row>
    <row r="2789" spans="1:8" x14ac:dyDescent="0.25">
      <c r="A2789" s="1" t="s">
        <v>2802</v>
      </c>
      <c r="B2789" s="5">
        <v>45774.125</v>
      </c>
      <c r="C2789" s="1" t="s">
        <v>13</v>
      </c>
      <c r="D2789" s="1" t="s">
        <v>9</v>
      </c>
      <c r="E2789" s="1">
        <v>1</v>
      </c>
      <c r="F2789" s="1">
        <v>191.86</v>
      </c>
      <c r="G2789" s="1">
        <v>8.98</v>
      </c>
      <c r="H2789">
        <f t="shared" si="43"/>
        <v>191.86</v>
      </c>
    </row>
    <row r="2790" spans="1:8" x14ac:dyDescent="0.25">
      <c r="A2790" s="1" t="s">
        <v>2803</v>
      </c>
      <c r="B2790" s="5">
        <v>45774.166666666664</v>
      </c>
      <c r="C2790" s="1" t="s">
        <v>23</v>
      </c>
      <c r="D2790" s="1" t="s">
        <v>16</v>
      </c>
      <c r="E2790" s="1">
        <v>9</v>
      </c>
      <c r="F2790" s="1">
        <v>29.03</v>
      </c>
      <c r="G2790" s="1">
        <v>43.05</v>
      </c>
      <c r="H2790">
        <f t="shared" si="43"/>
        <v>261.27</v>
      </c>
    </row>
    <row r="2791" spans="1:8" x14ac:dyDescent="0.25">
      <c r="A2791" s="1" t="s">
        <v>2804</v>
      </c>
      <c r="B2791" s="5">
        <v>45774.208333333336</v>
      </c>
      <c r="C2791" s="1" t="s">
        <v>11</v>
      </c>
      <c r="D2791" s="1" t="s">
        <v>37</v>
      </c>
      <c r="E2791" s="1">
        <v>12</v>
      </c>
      <c r="F2791" s="1">
        <v>435.84</v>
      </c>
      <c r="G2791" s="1">
        <v>34.31</v>
      </c>
      <c r="H2791">
        <f t="shared" si="43"/>
        <v>5230.08</v>
      </c>
    </row>
    <row r="2792" spans="1:8" x14ac:dyDescent="0.25">
      <c r="A2792" s="1" t="s">
        <v>2805</v>
      </c>
      <c r="B2792" s="5">
        <v>45774.25</v>
      </c>
      <c r="C2792" s="1" t="s">
        <v>23</v>
      </c>
      <c r="D2792" s="1" t="s">
        <v>9</v>
      </c>
      <c r="E2792" s="1">
        <v>17</v>
      </c>
      <c r="F2792" s="1">
        <v>444.06</v>
      </c>
      <c r="G2792" s="1">
        <v>48.1</v>
      </c>
      <c r="H2792">
        <f t="shared" si="43"/>
        <v>7549.02</v>
      </c>
    </row>
    <row r="2793" spans="1:8" x14ac:dyDescent="0.25">
      <c r="A2793" s="1" t="s">
        <v>2806</v>
      </c>
      <c r="B2793" s="5">
        <v>45774.291666666664</v>
      </c>
      <c r="C2793" s="1" t="s">
        <v>13</v>
      </c>
      <c r="D2793" s="1" t="s">
        <v>37</v>
      </c>
      <c r="E2793" s="1">
        <v>15</v>
      </c>
      <c r="F2793" s="1">
        <v>254.2</v>
      </c>
      <c r="G2793" s="1">
        <v>20.13</v>
      </c>
      <c r="H2793">
        <f t="shared" si="43"/>
        <v>3813</v>
      </c>
    </row>
    <row r="2794" spans="1:8" x14ac:dyDescent="0.25">
      <c r="A2794" s="1" t="s">
        <v>2807</v>
      </c>
      <c r="B2794" s="5">
        <v>45774.333333333336</v>
      </c>
      <c r="C2794" s="1" t="s">
        <v>13</v>
      </c>
      <c r="D2794" s="1" t="s">
        <v>19</v>
      </c>
      <c r="E2794" s="1">
        <v>19</v>
      </c>
      <c r="F2794" s="1">
        <v>46.21</v>
      </c>
      <c r="G2794" s="1">
        <v>14.57</v>
      </c>
      <c r="H2794">
        <f t="shared" si="43"/>
        <v>877.99</v>
      </c>
    </row>
    <row r="2795" spans="1:8" x14ac:dyDescent="0.25">
      <c r="A2795" s="1" t="s">
        <v>2808</v>
      </c>
      <c r="B2795" s="5">
        <v>45774.375</v>
      </c>
      <c r="C2795" s="1" t="s">
        <v>13</v>
      </c>
      <c r="D2795" s="1" t="s">
        <v>9</v>
      </c>
      <c r="E2795" s="1">
        <v>10</v>
      </c>
      <c r="F2795" s="1">
        <v>250.55</v>
      </c>
      <c r="G2795" s="1">
        <v>30.29</v>
      </c>
      <c r="H2795">
        <f t="shared" si="43"/>
        <v>2505.5</v>
      </c>
    </row>
    <row r="2796" spans="1:8" x14ac:dyDescent="0.25">
      <c r="A2796" s="1" t="s">
        <v>2809</v>
      </c>
      <c r="B2796" s="5">
        <v>45774.416666666664</v>
      </c>
      <c r="C2796" s="1" t="s">
        <v>11</v>
      </c>
      <c r="D2796" s="1" t="s">
        <v>19</v>
      </c>
      <c r="E2796" s="1">
        <v>12</v>
      </c>
      <c r="F2796" s="1">
        <v>403.22</v>
      </c>
      <c r="G2796" s="1">
        <v>29.2</v>
      </c>
      <c r="H2796">
        <f t="shared" si="43"/>
        <v>4838.6400000000003</v>
      </c>
    </row>
    <row r="2797" spans="1:8" x14ac:dyDescent="0.25">
      <c r="A2797" s="1" t="s">
        <v>2810</v>
      </c>
      <c r="B2797" s="5">
        <v>45774.458333333336</v>
      </c>
      <c r="C2797" s="1" t="s">
        <v>11</v>
      </c>
      <c r="D2797" s="1" t="s">
        <v>37</v>
      </c>
      <c r="E2797" s="1">
        <v>14</v>
      </c>
      <c r="F2797" s="1">
        <v>310.95</v>
      </c>
      <c r="G2797" s="1">
        <v>31.6</v>
      </c>
      <c r="H2797">
        <f t="shared" si="43"/>
        <v>4353.3</v>
      </c>
    </row>
    <row r="2798" spans="1:8" x14ac:dyDescent="0.25">
      <c r="A2798" s="1" t="s">
        <v>2811</v>
      </c>
      <c r="B2798" s="5">
        <v>45774.5</v>
      </c>
      <c r="C2798" s="1" t="s">
        <v>8</v>
      </c>
      <c r="D2798" s="1" t="s">
        <v>37</v>
      </c>
      <c r="E2798" s="1">
        <v>9</v>
      </c>
      <c r="F2798" s="1">
        <v>328.34</v>
      </c>
      <c r="G2798" s="1">
        <v>20.64</v>
      </c>
      <c r="H2798">
        <f t="shared" si="43"/>
        <v>2955.06</v>
      </c>
    </row>
    <row r="2799" spans="1:8" x14ac:dyDescent="0.25">
      <c r="A2799" s="1" t="s">
        <v>2812</v>
      </c>
      <c r="B2799" s="5">
        <v>45774.541666666664</v>
      </c>
      <c r="C2799" s="1" t="s">
        <v>11</v>
      </c>
      <c r="D2799" s="1" t="s">
        <v>16</v>
      </c>
      <c r="E2799" s="1">
        <v>13</v>
      </c>
      <c r="F2799" s="1">
        <v>52.42</v>
      </c>
      <c r="G2799" s="1">
        <v>5.27</v>
      </c>
      <c r="H2799">
        <f t="shared" si="43"/>
        <v>681.46</v>
      </c>
    </row>
    <row r="2800" spans="1:8" x14ac:dyDescent="0.25">
      <c r="A2800" s="1" t="s">
        <v>2813</v>
      </c>
      <c r="B2800" s="5">
        <v>45774.583333333336</v>
      </c>
      <c r="C2800" s="1" t="s">
        <v>13</v>
      </c>
      <c r="D2800" s="1" t="s">
        <v>37</v>
      </c>
      <c r="E2800" s="1">
        <v>3</v>
      </c>
      <c r="F2800" s="1">
        <v>61.78</v>
      </c>
      <c r="G2800" s="1">
        <v>6.58</v>
      </c>
      <c r="H2800">
        <f t="shared" si="43"/>
        <v>185.34</v>
      </c>
    </row>
    <row r="2801" spans="1:8" x14ac:dyDescent="0.25">
      <c r="A2801" s="1" t="s">
        <v>2814</v>
      </c>
      <c r="B2801" s="5">
        <v>45774.625</v>
      </c>
      <c r="C2801" s="1" t="s">
        <v>13</v>
      </c>
      <c r="D2801" s="1" t="s">
        <v>19</v>
      </c>
      <c r="E2801" s="1">
        <v>14</v>
      </c>
      <c r="F2801" s="1">
        <v>70.83</v>
      </c>
      <c r="G2801" s="1">
        <v>34.869999999999997</v>
      </c>
      <c r="H2801">
        <f t="shared" si="43"/>
        <v>991.62</v>
      </c>
    </row>
    <row r="2802" spans="1:8" x14ac:dyDescent="0.25">
      <c r="A2802" s="1" t="s">
        <v>2815</v>
      </c>
      <c r="B2802" s="5">
        <v>45774.666666666664</v>
      </c>
      <c r="C2802" s="1" t="s">
        <v>11</v>
      </c>
      <c r="D2802" s="1" t="s">
        <v>37</v>
      </c>
      <c r="E2802" s="1">
        <v>10</v>
      </c>
      <c r="F2802" s="1">
        <v>408.45</v>
      </c>
      <c r="G2802" s="1">
        <v>28.55</v>
      </c>
      <c r="H2802">
        <f t="shared" si="43"/>
        <v>4084.5</v>
      </c>
    </row>
    <row r="2803" spans="1:8" x14ac:dyDescent="0.25">
      <c r="A2803" s="1" t="s">
        <v>2816</v>
      </c>
      <c r="B2803" s="5">
        <v>45774.708333333336</v>
      </c>
      <c r="C2803" s="1" t="s">
        <v>23</v>
      </c>
      <c r="D2803" s="1" t="s">
        <v>16</v>
      </c>
      <c r="E2803" s="1">
        <v>16</v>
      </c>
      <c r="F2803" s="1">
        <v>243.98</v>
      </c>
      <c r="G2803" s="1">
        <v>41.95</v>
      </c>
      <c r="H2803">
        <f t="shared" si="43"/>
        <v>3903.68</v>
      </c>
    </row>
    <row r="2804" spans="1:8" x14ac:dyDescent="0.25">
      <c r="A2804" s="1" t="s">
        <v>2817</v>
      </c>
      <c r="B2804" s="5">
        <v>45774.75</v>
      </c>
      <c r="C2804" s="1" t="s">
        <v>11</v>
      </c>
      <c r="D2804" s="1" t="s">
        <v>16</v>
      </c>
      <c r="E2804" s="1">
        <v>7</v>
      </c>
      <c r="F2804" s="1">
        <v>359.44</v>
      </c>
      <c r="G2804" s="1">
        <v>18.52</v>
      </c>
      <c r="H2804">
        <f t="shared" si="43"/>
        <v>2516.08</v>
      </c>
    </row>
    <row r="2805" spans="1:8" x14ac:dyDescent="0.25">
      <c r="A2805" s="1" t="s">
        <v>2818</v>
      </c>
      <c r="B2805" s="5">
        <v>45774.791666666664</v>
      </c>
      <c r="C2805" s="1" t="s">
        <v>11</v>
      </c>
      <c r="D2805" s="1" t="s">
        <v>19</v>
      </c>
      <c r="E2805" s="1">
        <v>4</v>
      </c>
      <c r="F2805" s="1">
        <v>65.59</v>
      </c>
      <c r="G2805" s="1">
        <v>41.7</v>
      </c>
      <c r="H2805">
        <f t="shared" si="43"/>
        <v>262.36</v>
      </c>
    </row>
    <row r="2806" spans="1:8" x14ac:dyDescent="0.25">
      <c r="A2806" s="1" t="s">
        <v>2819</v>
      </c>
      <c r="B2806" s="5">
        <v>45774.833333333336</v>
      </c>
      <c r="C2806" s="1" t="s">
        <v>13</v>
      </c>
      <c r="D2806" s="1" t="s">
        <v>9</v>
      </c>
      <c r="E2806" s="1">
        <v>11</v>
      </c>
      <c r="F2806" s="1">
        <v>418.56</v>
      </c>
      <c r="G2806" s="1">
        <v>24.15</v>
      </c>
      <c r="H2806">
        <f t="shared" si="43"/>
        <v>4604.16</v>
      </c>
    </row>
    <row r="2807" spans="1:8" x14ac:dyDescent="0.25">
      <c r="A2807" s="1" t="s">
        <v>2820</v>
      </c>
      <c r="B2807" s="5">
        <v>45774.875</v>
      </c>
      <c r="C2807" s="1" t="s">
        <v>8</v>
      </c>
      <c r="D2807" s="1" t="s">
        <v>37</v>
      </c>
      <c r="E2807" s="1">
        <v>16</v>
      </c>
      <c r="F2807" s="1">
        <v>372.29</v>
      </c>
      <c r="G2807" s="1">
        <v>9.35</v>
      </c>
      <c r="H2807">
        <f t="shared" si="43"/>
        <v>5956.64</v>
      </c>
    </row>
    <row r="2808" spans="1:8" x14ac:dyDescent="0.25">
      <c r="A2808" s="1" t="s">
        <v>2821</v>
      </c>
      <c r="B2808" s="5">
        <v>45774.916666666664</v>
      </c>
      <c r="C2808" s="1" t="s">
        <v>13</v>
      </c>
      <c r="D2808" s="1" t="s">
        <v>16</v>
      </c>
      <c r="E2808" s="1">
        <v>4</v>
      </c>
      <c r="F2808" s="1">
        <v>113.16</v>
      </c>
      <c r="G2808" s="1">
        <v>49.01</v>
      </c>
      <c r="H2808">
        <f t="shared" si="43"/>
        <v>452.64</v>
      </c>
    </row>
    <row r="2809" spans="1:8" x14ac:dyDescent="0.25">
      <c r="A2809" s="1" t="s">
        <v>2822</v>
      </c>
      <c r="B2809" s="5">
        <v>45774.958333333336</v>
      </c>
      <c r="C2809" s="1" t="s">
        <v>8</v>
      </c>
      <c r="D2809" s="1" t="s">
        <v>37</v>
      </c>
      <c r="E2809" s="1">
        <v>17</v>
      </c>
      <c r="F2809" s="1">
        <v>395.33</v>
      </c>
      <c r="G2809" s="1">
        <v>28.04</v>
      </c>
      <c r="H2809">
        <f t="shared" si="43"/>
        <v>6720.61</v>
      </c>
    </row>
    <row r="2810" spans="1:8" x14ac:dyDescent="0.25">
      <c r="A2810" s="1" t="s">
        <v>2823</v>
      </c>
      <c r="B2810" s="5">
        <v>45775</v>
      </c>
      <c r="C2810" s="1" t="s">
        <v>13</v>
      </c>
      <c r="D2810" s="1" t="s">
        <v>37</v>
      </c>
      <c r="E2810" s="1">
        <v>13</v>
      </c>
      <c r="F2810" s="1">
        <v>129.97</v>
      </c>
      <c r="G2810" s="1">
        <v>33.33</v>
      </c>
      <c r="H2810">
        <f t="shared" si="43"/>
        <v>1689.61</v>
      </c>
    </row>
    <row r="2811" spans="1:8" x14ac:dyDescent="0.25">
      <c r="A2811" s="1" t="s">
        <v>2824</v>
      </c>
      <c r="B2811" s="5">
        <v>45775.041666666664</v>
      </c>
      <c r="C2811" s="1" t="s">
        <v>11</v>
      </c>
      <c r="D2811" s="1" t="s">
        <v>9</v>
      </c>
      <c r="E2811" s="1">
        <v>11</v>
      </c>
      <c r="F2811" s="1">
        <v>104.72</v>
      </c>
      <c r="G2811" s="1">
        <v>35.19</v>
      </c>
      <c r="H2811">
        <f t="shared" si="43"/>
        <v>1151.92</v>
      </c>
    </row>
    <row r="2812" spans="1:8" x14ac:dyDescent="0.25">
      <c r="A2812" s="1" t="s">
        <v>2825</v>
      </c>
      <c r="B2812" s="5">
        <v>45775.083333333336</v>
      </c>
      <c r="C2812" s="1" t="s">
        <v>13</v>
      </c>
      <c r="D2812" s="1" t="s">
        <v>16</v>
      </c>
      <c r="E2812" s="1">
        <v>3</v>
      </c>
      <c r="F2812" s="1">
        <v>130.31</v>
      </c>
      <c r="G2812" s="1">
        <v>21.31</v>
      </c>
      <c r="H2812">
        <f t="shared" si="43"/>
        <v>390.93</v>
      </c>
    </row>
    <row r="2813" spans="1:8" x14ac:dyDescent="0.25">
      <c r="A2813" s="1" t="s">
        <v>2826</v>
      </c>
      <c r="B2813" s="5">
        <v>45775.125</v>
      </c>
      <c r="C2813" s="1" t="s">
        <v>13</v>
      </c>
      <c r="D2813" s="1" t="s">
        <v>37</v>
      </c>
      <c r="E2813" s="1">
        <v>9</v>
      </c>
      <c r="F2813" s="1">
        <v>410.88</v>
      </c>
      <c r="G2813" s="1">
        <v>38.64</v>
      </c>
      <c r="H2813">
        <f t="shared" si="43"/>
        <v>3697.92</v>
      </c>
    </row>
    <row r="2814" spans="1:8" x14ac:dyDescent="0.25">
      <c r="A2814" s="1" t="s">
        <v>2827</v>
      </c>
      <c r="B2814" s="5">
        <v>45775.166666666664</v>
      </c>
      <c r="C2814" s="1" t="s">
        <v>13</v>
      </c>
      <c r="D2814" s="1" t="s">
        <v>16</v>
      </c>
      <c r="E2814" s="1">
        <v>6</v>
      </c>
      <c r="F2814" s="1">
        <v>413.32</v>
      </c>
      <c r="G2814" s="1">
        <v>44.16</v>
      </c>
      <c r="H2814">
        <f t="shared" si="43"/>
        <v>2479.92</v>
      </c>
    </row>
    <row r="2815" spans="1:8" x14ac:dyDescent="0.25">
      <c r="A2815" s="1" t="s">
        <v>2828</v>
      </c>
      <c r="B2815" s="5">
        <v>45775.208333333336</v>
      </c>
      <c r="C2815" s="1" t="s">
        <v>11</v>
      </c>
      <c r="D2815" s="1" t="s">
        <v>19</v>
      </c>
      <c r="E2815" s="1">
        <v>11</v>
      </c>
      <c r="F2815" s="1">
        <v>158.44999999999999</v>
      </c>
      <c r="G2815" s="1">
        <v>22.42</v>
      </c>
      <c r="H2815">
        <f t="shared" si="43"/>
        <v>1742.9499999999998</v>
      </c>
    </row>
    <row r="2816" spans="1:8" x14ac:dyDescent="0.25">
      <c r="A2816" s="1" t="s">
        <v>2829</v>
      </c>
      <c r="B2816" s="5">
        <v>45775.25</v>
      </c>
      <c r="C2816" s="1" t="s">
        <v>11</v>
      </c>
      <c r="D2816" s="1" t="s">
        <v>19</v>
      </c>
      <c r="E2816" s="1">
        <v>16</v>
      </c>
      <c r="F2816" s="1">
        <v>322.01</v>
      </c>
      <c r="G2816" s="1">
        <v>34.57</v>
      </c>
      <c r="H2816">
        <f t="shared" si="43"/>
        <v>5152.16</v>
      </c>
    </row>
    <row r="2817" spans="1:8" x14ac:dyDescent="0.25">
      <c r="A2817" s="1" t="s">
        <v>2830</v>
      </c>
      <c r="B2817" s="5">
        <v>45775.291666666664</v>
      </c>
      <c r="C2817" s="1" t="s">
        <v>11</v>
      </c>
      <c r="D2817" s="1" t="s">
        <v>37</v>
      </c>
      <c r="E2817" s="1">
        <v>19</v>
      </c>
      <c r="F2817" s="1">
        <v>309.11</v>
      </c>
      <c r="G2817" s="1">
        <v>39.07</v>
      </c>
      <c r="H2817">
        <f t="shared" si="43"/>
        <v>5873.09</v>
      </c>
    </row>
    <row r="2818" spans="1:8" x14ac:dyDescent="0.25">
      <c r="A2818" s="1" t="s">
        <v>2831</v>
      </c>
      <c r="B2818" s="5">
        <v>45775.333333333336</v>
      </c>
      <c r="C2818" s="1" t="s">
        <v>11</v>
      </c>
      <c r="D2818" s="1" t="s">
        <v>16</v>
      </c>
      <c r="E2818" s="1">
        <v>5</v>
      </c>
      <c r="F2818" s="1">
        <v>365.95</v>
      </c>
      <c r="G2818" s="1">
        <v>13.56</v>
      </c>
      <c r="H2818">
        <f t="shared" ref="H2818:H2881" si="44">E2818*F2818</f>
        <v>1829.75</v>
      </c>
    </row>
    <row r="2819" spans="1:8" x14ac:dyDescent="0.25">
      <c r="A2819" s="1" t="s">
        <v>2832</v>
      </c>
      <c r="B2819" s="5">
        <v>45775.375</v>
      </c>
      <c r="C2819" s="1" t="s">
        <v>8</v>
      </c>
      <c r="D2819" s="1" t="s">
        <v>37</v>
      </c>
      <c r="E2819" s="1">
        <v>14</v>
      </c>
      <c r="F2819" s="1">
        <v>144.33000000000001</v>
      </c>
      <c r="G2819" s="1">
        <v>19.97</v>
      </c>
      <c r="H2819">
        <f t="shared" si="44"/>
        <v>2020.6200000000001</v>
      </c>
    </row>
    <row r="2820" spans="1:8" x14ac:dyDescent="0.25">
      <c r="A2820" s="1" t="s">
        <v>2833</v>
      </c>
      <c r="B2820" s="5">
        <v>45775.416666666664</v>
      </c>
      <c r="C2820" s="1" t="s">
        <v>8</v>
      </c>
      <c r="D2820" s="1" t="s">
        <v>16</v>
      </c>
      <c r="E2820" s="1">
        <v>17</v>
      </c>
      <c r="F2820" s="1">
        <v>237.16</v>
      </c>
      <c r="G2820" s="1">
        <v>9.9</v>
      </c>
      <c r="H2820">
        <f t="shared" si="44"/>
        <v>4031.72</v>
      </c>
    </row>
    <row r="2821" spans="1:8" x14ac:dyDescent="0.25">
      <c r="A2821" s="1" t="s">
        <v>2834</v>
      </c>
      <c r="B2821" s="5">
        <v>45775.458333333336</v>
      </c>
      <c r="C2821" s="1" t="s">
        <v>23</v>
      </c>
      <c r="D2821" s="1" t="s">
        <v>16</v>
      </c>
      <c r="E2821" s="1">
        <v>3</v>
      </c>
      <c r="F2821" s="1">
        <v>305.60000000000002</v>
      </c>
      <c r="G2821" s="1">
        <v>32.1</v>
      </c>
      <c r="H2821">
        <f t="shared" si="44"/>
        <v>916.80000000000007</v>
      </c>
    </row>
    <row r="2822" spans="1:8" x14ac:dyDescent="0.25">
      <c r="A2822" s="1" t="s">
        <v>2835</v>
      </c>
      <c r="B2822" s="5">
        <v>45775.5</v>
      </c>
      <c r="C2822" s="1" t="s">
        <v>11</v>
      </c>
      <c r="D2822" s="1" t="s">
        <v>9</v>
      </c>
      <c r="E2822" s="1">
        <v>4</v>
      </c>
      <c r="F2822" s="1">
        <v>26.91</v>
      </c>
      <c r="G2822" s="1">
        <v>41.04</v>
      </c>
      <c r="H2822">
        <f t="shared" si="44"/>
        <v>107.64</v>
      </c>
    </row>
    <row r="2823" spans="1:8" x14ac:dyDescent="0.25">
      <c r="A2823" s="1" t="s">
        <v>2836</v>
      </c>
      <c r="B2823" s="5">
        <v>45775.541666666664</v>
      </c>
      <c r="C2823" s="1" t="s">
        <v>8</v>
      </c>
      <c r="D2823" s="1" t="s">
        <v>9</v>
      </c>
      <c r="E2823" s="1">
        <v>16</v>
      </c>
      <c r="F2823" s="1">
        <v>179.19</v>
      </c>
      <c r="G2823" s="1">
        <v>32.49</v>
      </c>
      <c r="H2823">
        <f t="shared" si="44"/>
        <v>2867.04</v>
      </c>
    </row>
    <row r="2824" spans="1:8" x14ac:dyDescent="0.25">
      <c r="A2824" s="1" t="s">
        <v>2837</v>
      </c>
      <c r="B2824" s="5">
        <v>45775.583333333336</v>
      </c>
      <c r="C2824" s="1" t="s">
        <v>13</v>
      </c>
      <c r="D2824" s="1" t="s">
        <v>9</v>
      </c>
      <c r="E2824" s="1">
        <v>16</v>
      </c>
      <c r="F2824" s="1">
        <v>317.86</v>
      </c>
      <c r="G2824" s="1">
        <v>13.09</v>
      </c>
      <c r="H2824">
        <f t="shared" si="44"/>
        <v>5085.76</v>
      </c>
    </row>
    <row r="2825" spans="1:8" x14ac:dyDescent="0.25">
      <c r="A2825" s="1" t="s">
        <v>2838</v>
      </c>
      <c r="B2825" s="5">
        <v>45775.625</v>
      </c>
      <c r="C2825" s="1" t="s">
        <v>11</v>
      </c>
      <c r="D2825" s="1" t="s">
        <v>37</v>
      </c>
      <c r="E2825" s="1">
        <v>4</v>
      </c>
      <c r="F2825" s="1">
        <v>125.25</v>
      </c>
      <c r="G2825" s="1">
        <v>29.59</v>
      </c>
      <c r="H2825">
        <f t="shared" si="44"/>
        <v>501</v>
      </c>
    </row>
    <row r="2826" spans="1:8" x14ac:dyDescent="0.25">
      <c r="A2826" s="1" t="s">
        <v>2839</v>
      </c>
      <c r="B2826" s="5">
        <v>45775.666666666664</v>
      </c>
      <c r="C2826" s="1" t="s">
        <v>23</v>
      </c>
      <c r="D2826" s="1" t="s">
        <v>9</v>
      </c>
      <c r="E2826" s="1">
        <v>19</v>
      </c>
      <c r="F2826" s="1">
        <v>431.62</v>
      </c>
      <c r="G2826" s="1">
        <v>42.57</v>
      </c>
      <c r="H2826">
        <f t="shared" si="44"/>
        <v>8200.7800000000007</v>
      </c>
    </row>
    <row r="2827" spans="1:8" x14ac:dyDescent="0.25">
      <c r="A2827" s="1" t="s">
        <v>2840</v>
      </c>
      <c r="B2827" s="5">
        <v>45775.708333333336</v>
      </c>
      <c r="C2827" s="1" t="s">
        <v>23</v>
      </c>
      <c r="D2827" s="1" t="s">
        <v>9</v>
      </c>
      <c r="E2827" s="1">
        <v>17</v>
      </c>
      <c r="F2827" s="1">
        <v>28.61</v>
      </c>
      <c r="G2827" s="1">
        <v>18.62</v>
      </c>
      <c r="H2827">
        <f t="shared" si="44"/>
        <v>486.37</v>
      </c>
    </row>
    <row r="2828" spans="1:8" x14ac:dyDescent="0.25">
      <c r="A2828" s="1" t="s">
        <v>2841</v>
      </c>
      <c r="B2828" s="5">
        <v>45775.75</v>
      </c>
      <c r="C2828" s="1" t="s">
        <v>23</v>
      </c>
      <c r="D2828" s="1" t="s">
        <v>19</v>
      </c>
      <c r="E2828" s="1">
        <v>13</v>
      </c>
      <c r="F2828" s="1">
        <v>431.79</v>
      </c>
      <c r="G2828" s="1">
        <v>42.47</v>
      </c>
      <c r="H2828">
        <f t="shared" si="44"/>
        <v>5613.27</v>
      </c>
    </row>
    <row r="2829" spans="1:8" x14ac:dyDescent="0.25">
      <c r="A2829" s="1" t="s">
        <v>2842</v>
      </c>
      <c r="B2829" s="5">
        <v>45775.791666666664</v>
      </c>
      <c r="C2829" s="1" t="s">
        <v>13</v>
      </c>
      <c r="D2829" s="1" t="s">
        <v>16</v>
      </c>
      <c r="E2829" s="1">
        <v>1</v>
      </c>
      <c r="F2829" s="1">
        <v>109.68</v>
      </c>
      <c r="G2829" s="1">
        <v>40.31</v>
      </c>
      <c r="H2829">
        <f t="shared" si="44"/>
        <v>109.68</v>
      </c>
    </row>
    <row r="2830" spans="1:8" x14ac:dyDescent="0.25">
      <c r="A2830" s="1" t="s">
        <v>2843</v>
      </c>
      <c r="B2830" s="5">
        <v>45775.833333333336</v>
      </c>
      <c r="C2830" s="1" t="s">
        <v>8</v>
      </c>
      <c r="D2830" s="1" t="s">
        <v>16</v>
      </c>
      <c r="E2830" s="1">
        <v>12</v>
      </c>
      <c r="F2830" s="1">
        <v>36.71</v>
      </c>
      <c r="G2830" s="1">
        <v>5.98</v>
      </c>
      <c r="H2830">
        <f t="shared" si="44"/>
        <v>440.52</v>
      </c>
    </row>
    <row r="2831" spans="1:8" x14ac:dyDescent="0.25">
      <c r="A2831" s="1" t="s">
        <v>2844</v>
      </c>
      <c r="B2831" s="5">
        <v>45775.875</v>
      </c>
      <c r="C2831" s="1" t="s">
        <v>13</v>
      </c>
      <c r="D2831" s="1" t="s">
        <v>9</v>
      </c>
      <c r="E2831" s="1">
        <v>4</v>
      </c>
      <c r="F2831" s="1">
        <v>142.58000000000001</v>
      </c>
      <c r="G2831" s="1">
        <v>15.78</v>
      </c>
      <c r="H2831">
        <f t="shared" si="44"/>
        <v>570.32000000000005</v>
      </c>
    </row>
    <row r="2832" spans="1:8" x14ac:dyDescent="0.25">
      <c r="A2832" s="1" t="s">
        <v>2845</v>
      </c>
      <c r="B2832" s="5">
        <v>45775.916666666664</v>
      </c>
      <c r="C2832" s="1" t="s">
        <v>11</v>
      </c>
      <c r="D2832" s="1" t="s">
        <v>16</v>
      </c>
      <c r="E2832" s="1">
        <v>11</v>
      </c>
      <c r="F2832" s="1">
        <v>357.14</v>
      </c>
      <c r="G2832" s="1">
        <v>29.43</v>
      </c>
      <c r="H2832">
        <f t="shared" si="44"/>
        <v>3928.54</v>
      </c>
    </row>
    <row r="2833" spans="1:8" x14ac:dyDescent="0.25">
      <c r="A2833" s="1" t="s">
        <v>2846</v>
      </c>
      <c r="B2833" s="5">
        <v>45775.958333333336</v>
      </c>
      <c r="C2833" s="1" t="s">
        <v>23</v>
      </c>
      <c r="D2833" s="1" t="s">
        <v>19</v>
      </c>
      <c r="E2833" s="1">
        <v>5</v>
      </c>
      <c r="F2833" s="1">
        <v>342.44</v>
      </c>
      <c r="G2833" s="1">
        <v>37.29</v>
      </c>
      <c r="H2833">
        <f t="shared" si="44"/>
        <v>1712.2</v>
      </c>
    </row>
    <row r="2834" spans="1:8" x14ac:dyDescent="0.25">
      <c r="A2834" s="1" t="s">
        <v>2847</v>
      </c>
      <c r="B2834" s="5">
        <v>45776</v>
      </c>
      <c r="C2834" s="1" t="s">
        <v>13</v>
      </c>
      <c r="D2834" s="1" t="s">
        <v>19</v>
      </c>
      <c r="E2834" s="1">
        <v>2</v>
      </c>
      <c r="F2834" s="1">
        <v>106.24</v>
      </c>
      <c r="G2834" s="1">
        <v>44.62</v>
      </c>
      <c r="H2834">
        <f t="shared" si="44"/>
        <v>212.48</v>
      </c>
    </row>
    <row r="2835" spans="1:8" x14ac:dyDescent="0.25">
      <c r="A2835" s="1" t="s">
        <v>2848</v>
      </c>
      <c r="B2835" s="5">
        <v>45776.041666666664</v>
      </c>
      <c r="C2835" s="1" t="s">
        <v>13</v>
      </c>
      <c r="D2835" s="1" t="s">
        <v>9</v>
      </c>
      <c r="E2835" s="1">
        <v>17</v>
      </c>
      <c r="F2835" s="1">
        <v>101.01</v>
      </c>
      <c r="G2835" s="1">
        <v>33.85</v>
      </c>
      <c r="H2835">
        <f t="shared" si="44"/>
        <v>1717.17</v>
      </c>
    </row>
    <row r="2836" spans="1:8" x14ac:dyDescent="0.25">
      <c r="A2836" s="1" t="s">
        <v>2849</v>
      </c>
      <c r="B2836" s="5">
        <v>45776.083333333336</v>
      </c>
      <c r="C2836" s="1" t="s">
        <v>8</v>
      </c>
      <c r="D2836" s="1" t="s">
        <v>19</v>
      </c>
      <c r="E2836" s="1">
        <v>8</v>
      </c>
      <c r="F2836" s="1">
        <v>294.7</v>
      </c>
      <c r="G2836" s="1">
        <v>22.12</v>
      </c>
      <c r="H2836">
        <f t="shared" si="44"/>
        <v>2357.6</v>
      </c>
    </row>
    <row r="2837" spans="1:8" x14ac:dyDescent="0.25">
      <c r="A2837" s="1" t="s">
        <v>2850</v>
      </c>
      <c r="B2837" s="5">
        <v>45776.125</v>
      </c>
      <c r="C2837" s="1" t="s">
        <v>8</v>
      </c>
      <c r="D2837" s="1" t="s">
        <v>16</v>
      </c>
      <c r="E2837" s="1">
        <v>6</v>
      </c>
      <c r="F2837" s="1">
        <v>214.54</v>
      </c>
      <c r="G2837" s="1">
        <v>13.31</v>
      </c>
      <c r="H2837">
        <f t="shared" si="44"/>
        <v>1287.24</v>
      </c>
    </row>
    <row r="2838" spans="1:8" x14ac:dyDescent="0.25">
      <c r="A2838" s="1" t="s">
        <v>2851</v>
      </c>
      <c r="B2838" s="5">
        <v>45776.166666666664</v>
      </c>
      <c r="C2838" s="1" t="s">
        <v>23</v>
      </c>
      <c r="D2838" s="1" t="s">
        <v>37</v>
      </c>
      <c r="E2838" s="1">
        <v>9</v>
      </c>
      <c r="F2838" s="1">
        <v>359.75</v>
      </c>
      <c r="G2838" s="1">
        <v>39.200000000000003</v>
      </c>
      <c r="H2838">
        <f t="shared" si="44"/>
        <v>3237.75</v>
      </c>
    </row>
    <row r="2839" spans="1:8" x14ac:dyDescent="0.25">
      <c r="A2839" s="1" t="s">
        <v>2852</v>
      </c>
      <c r="B2839" s="5">
        <v>45776.208333333336</v>
      </c>
      <c r="C2839" s="1" t="s">
        <v>13</v>
      </c>
      <c r="D2839" s="1" t="s">
        <v>16</v>
      </c>
      <c r="E2839" s="1">
        <v>13</v>
      </c>
      <c r="F2839" s="1">
        <v>25.99</v>
      </c>
      <c r="G2839" s="1">
        <v>14.31</v>
      </c>
      <c r="H2839">
        <f t="shared" si="44"/>
        <v>337.87</v>
      </c>
    </row>
    <row r="2840" spans="1:8" x14ac:dyDescent="0.25">
      <c r="A2840" s="1" t="s">
        <v>2853</v>
      </c>
      <c r="B2840" s="5">
        <v>45776.25</v>
      </c>
      <c r="C2840" s="1" t="s">
        <v>13</v>
      </c>
      <c r="D2840" s="1" t="s">
        <v>37</v>
      </c>
      <c r="E2840" s="1">
        <v>11</v>
      </c>
      <c r="F2840" s="1">
        <v>280.72000000000003</v>
      </c>
      <c r="G2840" s="1">
        <v>36.29</v>
      </c>
      <c r="H2840">
        <f t="shared" si="44"/>
        <v>3087.92</v>
      </c>
    </row>
    <row r="2841" spans="1:8" x14ac:dyDescent="0.25">
      <c r="A2841" s="1" t="s">
        <v>2854</v>
      </c>
      <c r="B2841" s="5">
        <v>45776.291666666664</v>
      </c>
      <c r="C2841" s="1" t="s">
        <v>8</v>
      </c>
      <c r="D2841" s="1" t="s">
        <v>9</v>
      </c>
      <c r="E2841" s="1">
        <v>16</v>
      </c>
      <c r="F2841" s="1">
        <v>332.98</v>
      </c>
      <c r="G2841" s="1">
        <v>13.15</v>
      </c>
      <c r="H2841">
        <f t="shared" si="44"/>
        <v>5327.68</v>
      </c>
    </row>
    <row r="2842" spans="1:8" x14ac:dyDescent="0.25">
      <c r="A2842" s="1" t="s">
        <v>2855</v>
      </c>
      <c r="B2842" s="5">
        <v>45776.333333333336</v>
      </c>
      <c r="C2842" s="1" t="s">
        <v>13</v>
      </c>
      <c r="D2842" s="1" t="s">
        <v>37</v>
      </c>
      <c r="E2842" s="1">
        <v>16</v>
      </c>
      <c r="F2842" s="1">
        <v>447.13</v>
      </c>
      <c r="G2842" s="1">
        <v>9.1</v>
      </c>
      <c r="H2842">
        <f t="shared" si="44"/>
        <v>7154.08</v>
      </c>
    </row>
    <row r="2843" spans="1:8" x14ac:dyDescent="0.25">
      <c r="A2843" s="1" t="s">
        <v>2856</v>
      </c>
      <c r="B2843" s="5">
        <v>45776.375</v>
      </c>
      <c r="C2843" s="1" t="s">
        <v>13</v>
      </c>
      <c r="D2843" s="1" t="s">
        <v>19</v>
      </c>
      <c r="E2843" s="1">
        <v>2</v>
      </c>
      <c r="F2843" s="1">
        <v>310.43</v>
      </c>
      <c r="G2843" s="1">
        <v>16.3</v>
      </c>
      <c r="H2843">
        <f t="shared" si="44"/>
        <v>620.86</v>
      </c>
    </row>
    <row r="2844" spans="1:8" x14ac:dyDescent="0.25">
      <c r="A2844" s="1" t="s">
        <v>2857</v>
      </c>
      <c r="B2844" s="5">
        <v>45776.416666666664</v>
      </c>
      <c r="C2844" s="1" t="s">
        <v>13</v>
      </c>
      <c r="D2844" s="1" t="s">
        <v>16</v>
      </c>
      <c r="E2844" s="1">
        <v>10</v>
      </c>
      <c r="F2844" s="1">
        <v>116.24</v>
      </c>
      <c r="G2844" s="1">
        <v>17.82</v>
      </c>
      <c r="H2844">
        <f t="shared" si="44"/>
        <v>1162.3999999999999</v>
      </c>
    </row>
    <row r="2845" spans="1:8" x14ac:dyDescent="0.25">
      <c r="A2845" s="1" t="s">
        <v>2858</v>
      </c>
      <c r="B2845" s="5">
        <v>45776.458333333336</v>
      </c>
      <c r="C2845" s="1" t="s">
        <v>8</v>
      </c>
      <c r="D2845" s="1" t="s">
        <v>37</v>
      </c>
      <c r="E2845" s="1">
        <v>12</v>
      </c>
      <c r="F2845" s="1">
        <v>62.51</v>
      </c>
      <c r="G2845" s="1">
        <v>34.119999999999997</v>
      </c>
      <c r="H2845">
        <f t="shared" si="44"/>
        <v>750.12</v>
      </c>
    </row>
    <row r="2846" spans="1:8" x14ac:dyDescent="0.25">
      <c r="A2846" s="1" t="s">
        <v>2859</v>
      </c>
      <c r="B2846" s="5">
        <v>45776.5</v>
      </c>
      <c r="C2846" s="1" t="s">
        <v>23</v>
      </c>
      <c r="D2846" s="1" t="s">
        <v>16</v>
      </c>
      <c r="E2846" s="1">
        <v>8</v>
      </c>
      <c r="F2846" s="1">
        <v>293.98</v>
      </c>
      <c r="G2846" s="1">
        <v>12.24</v>
      </c>
      <c r="H2846">
        <f t="shared" si="44"/>
        <v>2351.84</v>
      </c>
    </row>
    <row r="2847" spans="1:8" x14ac:dyDescent="0.25">
      <c r="A2847" s="1" t="s">
        <v>2860</v>
      </c>
      <c r="B2847" s="5">
        <v>45776.541666666664</v>
      </c>
      <c r="C2847" s="1" t="s">
        <v>11</v>
      </c>
      <c r="D2847" s="1" t="s">
        <v>9</v>
      </c>
      <c r="E2847" s="1">
        <v>11</v>
      </c>
      <c r="F2847" s="1">
        <v>242.82</v>
      </c>
      <c r="G2847" s="1">
        <v>46.86</v>
      </c>
      <c r="H2847">
        <f t="shared" si="44"/>
        <v>2671.02</v>
      </c>
    </row>
    <row r="2848" spans="1:8" x14ac:dyDescent="0.25">
      <c r="A2848" s="1" t="s">
        <v>2861</v>
      </c>
      <c r="B2848" s="5">
        <v>45776.583333333336</v>
      </c>
      <c r="C2848" s="1" t="s">
        <v>23</v>
      </c>
      <c r="D2848" s="1" t="s">
        <v>9</v>
      </c>
      <c r="E2848" s="1">
        <v>10</v>
      </c>
      <c r="F2848" s="1">
        <v>406.18</v>
      </c>
      <c r="G2848" s="1">
        <v>29.95</v>
      </c>
      <c r="H2848">
        <f t="shared" si="44"/>
        <v>4061.8</v>
      </c>
    </row>
    <row r="2849" spans="1:8" x14ac:dyDescent="0.25">
      <c r="A2849" s="1" t="s">
        <v>2862</v>
      </c>
      <c r="B2849" s="5">
        <v>45776.625</v>
      </c>
      <c r="C2849" s="1" t="s">
        <v>11</v>
      </c>
      <c r="D2849" s="1" t="s">
        <v>19</v>
      </c>
      <c r="E2849" s="1">
        <v>13</v>
      </c>
      <c r="F2849" s="1">
        <v>331.21</v>
      </c>
      <c r="G2849" s="1">
        <v>27.09</v>
      </c>
      <c r="H2849">
        <f t="shared" si="44"/>
        <v>4305.7299999999996</v>
      </c>
    </row>
    <row r="2850" spans="1:8" x14ac:dyDescent="0.25">
      <c r="A2850" s="1" t="s">
        <v>2863</v>
      </c>
      <c r="B2850" s="5">
        <v>45776.666666666664</v>
      </c>
      <c r="C2850" s="1" t="s">
        <v>13</v>
      </c>
      <c r="D2850" s="1" t="s">
        <v>9</v>
      </c>
      <c r="E2850" s="1">
        <v>17</v>
      </c>
      <c r="F2850" s="1">
        <v>236.98</v>
      </c>
      <c r="G2850" s="1">
        <v>24.56</v>
      </c>
      <c r="H2850">
        <f t="shared" si="44"/>
        <v>4028.66</v>
      </c>
    </row>
    <row r="2851" spans="1:8" x14ac:dyDescent="0.25">
      <c r="A2851" s="1" t="s">
        <v>2864</v>
      </c>
      <c r="B2851" s="5">
        <v>45776.708333333336</v>
      </c>
      <c r="C2851" s="1" t="s">
        <v>23</v>
      </c>
      <c r="D2851" s="1" t="s">
        <v>37</v>
      </c>
      <c r="E2851" s="1">
        <v>7</v>
      </c>
      <c r="F2851" s="1">
        <v>190.86</v>
      </c>
      <c r="G2851" s="1">
        <v>30.5</v>
      </c>
      <c r="H2851">
        <f t="shared" si="44"/>
        <v>1336.02</v>
      </c>
    </row>
    <row r="2852" spans="1:8" x14ac:dyDescent="0.25">
      <c r="A2852" s="1" t="s">
        <v>2865</v>
      </c>
      <c r="B2852" s="5">
        <v>45776.75</v>
      </c>
      <c r="C2852" s="1" t="s">
        <v>11</v>
      </c>
      <c r="D2852" s="1" t="s">
        <v>9</v>
      </c>
      <c r="E2852" s="1">
        <v>3</v>
      </c>
      <c r="F2852" s="1">
        <v>191.2</v>
      </c>
      <c r="G2852" s="1">
        <v>6.01</v>
      </c>
      <c r="H2852">
        <f t="shared" si="44"/>
        <v>573.59999999999991</v>
      </c>
    </row>
    <row r="2853" spans="1:8" x14ac:dyDescent="0.25">
      <c r="A2853" s="1" t="s">
        <v>2866</v>
      </c>
      <c r="B2853" s="5">
        <v>45776.791666666664</v>
      </c>
      <c r="C2853" s="1" t="s">
        <v>8</v>
      </c>
      <c r="D2853" s="1" t="s">
        <v>19</v>
      </c>
      <c r="E2853" s="1">
        <v>13</v>
      </c>
      <c r="F2853" s="1">
        <v>113.83</v>
      </c>
      <c r="G2853" s="1">
        <v>49.55</v>
      </c>
      <c r="H2853">
        <f t="shared" si="44"/>
        <v>1479.79</v>
      </c>
    </row>
    <row r="2854" spans="1:8" x14ac:dyDescent="0.25">
      <c r="A2854" s="1" t="s">
        <v>2867</v>
      </c>
      <c r="B2854" s="5">
        <v>45776.833333333336</v>
      </c>
      <c r="C2854" s="1" t="s">
        <v>8</v>
      </c>
      <c r="D2854" s="1" t="s">
        <v>16</v>
      </c>
      <c r="E2854" s="1">
        <v>19</v>
      </c>
      <c r="F2854" s="1">
        <v>23.03</v>
      </c>
      <c r="G2854" s="1">
        <v>30.09</v>
      </c>
      <c r="H2854">
        <f t="shared" si="44"/>
        <v>437.57000000000005</v>
      </c>
    </row>
    <row r="2855" spans="1:8" x14ac:dyDescent="0.25">
      <c r="A2855" s="1" t="s">
        <v>2868</v>
      </c>
      <c r="B2855" s="5">
        <v>45776.875</v>
      </c>
      <c r="C2855" s="1" t="s">
        <v>23</v>
      </c>
      <c r="D2855" s="1" t="s">
        <v>16</v>
      </c>
      <c r="E2855" s="1">
        <v>7</v>
      </c>
      <c r="F2855" s="1">
        <v>265.3</v>
      </c>
      <c r="G2855" s="1">
        <v>6.58</v>
      </c>
      <c r="H2855">
        <f t="shared" si="44"/>
        <v>1857.1000000000001</v>
      </c>
    </row>
    <row r="2856" spans="1:8" x14ac:dyDescent="0.25">
      <c r="A2856" s="1" t="s">
        <v>2869</v>
      </c>
      <c r="B2856" s="5">
        <v>45776.916666666664</v>
      </c>
      <c r="C2856" s="1" t="s">
        <v>23</v>
      </c>
      <c r="D2856" s="1" t="s">
        <v>9</v>
      </c>
      <c r="E2856" s="1">
        <v>9</v>
      </c>
      <c r="F2856" s="1">
        <v>107.79</v>
      </c>
      <c r="G2856" s="1">
        <v>31.55</v>
      </c>
      <c r="H2856">
        <f t="shared" si="44"/>
        <v>970.11</v>
      </c>
    </row>
    <row r="2857" spans="1:8" x14ac:dyDescent="0.25">
      <c r="A2857" s="1" t="s">
        <v>2870</v>
      </c>
      <c r="B2857" s="5">
        <v>45776.958333333336</v>
      </c>
      <c r="C2857" s="1" t="s">
        <v>13</v>
      </c>
      <c r="D2857" s="1" t="s">
        <v>37</v>
      </c>
      <c r="E2857" s="1">
        <v>19</v>
      </c>
      <c r="F2857" s="1">
        <v>106.02</v>
      </c>
      <c r="G2857" s="1">
        <v>24.67</v>
      </c>
      <c r="H2857">
        <f t="shared" si="44"/>
        <v>2014.3799999999999</v>
      </c>
    </row>
    <row r="2858" spans="1:8" x14ac:dyDescent="0.25">
      <c r="A2858" s="1" t="s">
        <v>2871</v>
      </c>
      <c r="B2858" s="5">
        <v>45777</v>
      </c>
      <c r="C2858" s="1" t="s">
        <v>23</v>
      </c>
      <c r="D2858" s="1" t="s">
        <v>19</v>
      </c>
      <c r="E2858" s="1">
        <v>13</v>
      </c>
      <c r="F2858" s="1">
        <v>69.98</v>
      </c>
      <c r="G2858" s="1">
        <v>6.08</v>
      </c>
      <c r="H2858">
        <f t="shared" si="44"/>
        <v>909.74</v>
      </c>
    </row>
    <row r="2859" spans="1:8" x14ac:dyDescent="0.25">
      <c r="A2859" s="1" t="s">
        <v>2872</v>
      </c>
      <c r="B2859" s="5">
        <v>45777.041666666664</v>
      </c>
      <c r="C2859" s="1" t="s">
        <v>13</v>
      </c>
      <c r="D2859" s="1" t="s">
        <v>37</v>
      </c>
      <c r="E2859" s="1">
        <v>8</v>
      </c>
      <c r="F2859" s="1">
        <v>97.88</v>
      </c>
      <c r="G2859" s="1">
        <v>46.6</v>
      </c>
      <c r="H2859">
        <f t="shared" si="44"/>
        <v>783.04</v>
      </c>
    </row>
    <row r="2860" spans="1:8" x14ac:dyDescent="0.25">
      <c r="A2860" s="1" t="s">
        <v>2873</v>
      </c>
      <c r="B2860" s="5">
        <v>45777.083333333336</v>
      </c>
      <c r="C2860" s="1" t="s">
        <v>13</v>
      </c>
      <c r="D2860" s="1" t="s">
        <v>19</v>
      </c>
      <c r="E2860" s="1">
        <v>18</v>
      </c>
      <c r="F2860" s="1">
        <v>29.31</v>
      </c>
      <c r="G2860" s="1">
        <v>5.48</v>
      </c>
      <c r="H2860">
        <f t="shared" si="44"/>
        <v>527.57999999999993</v>
      </c>
    </row>
    <row r="2861" spans="1:8" x14ac:dyDescent="0.25">
      <c r="A2861" s="1" t="s">
        <v>2874</v>
      </c>
      <c r="B2861" s="5">
        <v>45777.125</v>
      </c>
      <c r="C2861" s="1" t="s">
        <v>8</v>
      </c>
      <c r="D2861" s="1" t="s">
        <v>9</v>
      </c>
      <c r="E2861" s="1">
        <v>2</v>
      </c>
      <c r="F2861" s="1">
        <v>308.45</v>
      </c>
      <c r="G2861" s="1">
        <v>31</v>
      </c>
      <c r="H2861">
        <f t="shared" si="44"/>
        <v>616.9</v>
      </c>
    </row>
    <row r="2862" spans="1:8" x14ac:dyDescent="0.25">
      <c r="A2862" s="1" t="s">
        <v>2875</v>
      </c>
      <c r="B2862" s="5">
        <v>45777.166666666664</v>
      </c>
      <c r="C2862" s="1" t="s">
        <v>8</v>
      </c>
      <c r="D2862" s="1" t="s">
        <v>19</v>
      </c>
      <c r="E2862" s="1">
        <v>18</v>
      </c>
      <c r="F2862" s="1">
        <v>189.91</v>
      </c>
      <c r="G2862" s="1">
        <v>48.28</v>
      </c>
      <c r="H2862">
        <f t="shared" si="44"/>
        <v>3418.38</v>
      </c>
    </row>
    <row r="2863" spans="1:8" x14ac:dyDescent="0.25">
      <c r="A2863" s="1" t="s">
        <v>2876</v>
      </c>
      <c r="B2863" s="5">
        <v>45777.208333333336</v>
      </c>
      <c r="C2863" s="1" t="s">
        <v>11</v>
      </c>
      <c r="D2863" s="1" t="s">
        <v>19</v>
      </c>
      <c r="E2863" s="1">
        <v>18</v>
      </c>
      <c r="F2863" s="1">
        <v>259.48</v>
      </c>
      <c r="G2863" s="1">
        <v>15.69</v>
      </c>
      <c r="H2863">
        <f t="shared" si="44"/>
        <v>4670.6400000000003</v>
      </c>
    </row>
    <row r="2864" spans="1:8" x14ac:dyDescent="0.25">
      <c r="A2864" s="1" t="s">
        <v>2877</v>
      </c>
      <c r="B2864" s="5">
        <v>45777.25</v>
      </c>
      <c r="C2864" s="1" t="s">
        <v>8</v>
      </c>
      <c r="D2864" s="1" t="s">
        <v>9</v>
      </c>
      <c r="E2864" s="1">
        <v>11</v>
      </c>
      <c r="F2864" s="1">
        <v>292.26</v>
      </c>
      <c r="G2864" s="1">
        <v>16.440000000000001</v>
      </c>
      <c r="H2864">
        <f t="shared" si="44"/>
        <v>3214.8599999999997</v>
      </c>
    </row>
    <row r="2865" spans="1:8" x14ac:dyDescent="0.25">
      <c r="A2865" s="1" t="s">
        <v>2878</v>
      </c>
      <c r="B2865" s="5">
        <v>45777.291666666664</v>
      </c>
      <c r="C2865" s="1" t="s">
        <v>8</v>
      </c>
      <c r="D2865" s="1" t="s">
        <v>37</v>
      </c>
      <c r="E2865" s="1">
        <v>1</v>
      </c>
      <c r="F2865" s="1">
        <v>438.04</v>
      </c>
      <c r="G2865" s="1">
        <v>5.0199999999999996</v>
      </c>
      <c r="H2865">
        <f t="shared" si="44"/>
        <v>438.04</v>
      </c>
    </row>
    <row r="2866" spans="1:8" x14ac:dyDescent="0.25">
      <c r="A2866" s="1" t="s">
        <v>2879</v>
      </c>
      <c r="B2866" s="5">
        <v>45777.333333333336</v>
      </c>
      <c r="C2866" s="1" t="s">
        <v>23</v>
      </c>
      <c r="D2866" s="1" t="s">
        <v>9</v>
      </c>
      <c r="E2866" s="1">
        <v>14</v>
      </c>
      <c r="F2866" s="1">
        <v>45.16</v>
      </c>
      <c r="G2866" s="1">
        <v>7.99</v>
      </c>
      <c r="H2866">
        <f t="shared" si="44"/>
        <v>632.24</v>
      </c>
    </row>
    <row r="2867" spans="1:8" x14ac:dyDescent="0.25">
      <c r="A2867" s="1" t="s">
        <v>2880</v>
      </c>
      <c r="B2867" s="5">
        <v>45777.375</v>
      </c>
      <c r="C2867" s="1" t="s">
        <v>8</v>
      </c>
      <c r="D2867" s="1" t="s">
        <v>19</v>
      </c>
      <c r="E2867" s="1">
        <v>16</v>
      </c>
      <c r="F2867" s="1">
        <v>197.09</v>
      </c>
      <c r="G2867" s="1">
        <v>7.02</v>
      </c>
      <c r="H2867">
        <f t="shared" si="44"/>
        <v>3153.44</v>
      </c>
    </row>
    <row r="2868" spans="1:8" x14ac:dyDescent="0.25">
      <c r="A2868" s="1" t="s">
        <v>2881</v>
      </c>
      <c r="B2868" s="5">
        <v>45777.416666666664</v>
      </c>
      <c r="C2868" s="1" t="s">
        <v>11</v>
      </c>
      <c r="D2868" s="1" t="s">
        <v>9</v>
      </c>
      <c r="E2868" s="1">
        <v>11</v>
      </c>
      <c r="F2868" s="1">
        <v>122.34</v>
      </c>
      <c r="G2868" s="1">
        <v>42.02</v>
      </c>
      <c r="H2868">
        <f t="shared" si="44"/>
        <v>1345.74</v>
      </c>
    </row>
    <row r="2869" spans="1:8" x14ac:dyDescent="0.25">
      <c r="A2869" s="1" t="s">
        <v>2882</v>
      </c>
      <c r="B2869" s="5">
        <v>45777.458333333336</v>
      </c>
      <c r="C2869" s="1" t="s">
        <v>23</v>
      </c>
      <c r="D2869" s="1" t="s">
        <v>19</v>
      </c>
      <c r="E2869" s="1">
        <v>1</v>
      </c>
      <c r="F2869" s="1">
        <v>222.63</v>
      </c>
      <c r="G2869" s="1">
        <v>42.65</v>
      </c>
      <c r="H2869">
        <f t="shared" si="44"/>
        <v>222.63</v>
      </c>
    </row>
    <row r="2870" spans="1:8" x14ac:dyDescent="0.25">
      <c r="A2870" s="1" t="s">
        <v>2883</v>
      </c>
      <c r="B2870" s="5">
        <v>45777.5</v>
      </c>
      <c r="C2870" s="1" t="s">
        <v>11</v>
      </c>
      <c r="D2870" s="1" t="s">
        <v>9</v>
      </c>
      <c r="E2870" s="1">
        <v>7</v>
      </c>
      <c r="F2870" s="1">
        <v>415.45</v>
      </c>
      <c r="G2870" s="1">
        <v>37.700000000000003</v>
      </c>
      <c r="H2870">
        <f t="shared" si="44"/>
        <v>2908.15</v>
      </c>
    </row>
    <row r="2871" spans="1:8" x14ac:dyDescent="0.25">
      <c r="A2871" s="1" t="s">
        <v>2884</v>
      </c>
      <c r="B2871" s="5">
        <v>45777.541666666664</v>
      </c>
      <c r="C2871" s="1" t="s">
        <v>8</v>
      </c>
      <c r="D2871" s="1" t="s">
        <v>16</v>
      </c>
      <c r="E2871" s="1">
        <v>16</v>
      </c>
      <c r="F2871" s="1">
        <v>330.07</v>
      </c>
      <c r="G2871" s="1">
        <v>20.87</v>
      </c>
      <c r="H2871">
        <f t="shared" si="44"/>
        <v>5281.12</v>
      </c>
    </row>
    <row r="2872" spans="1:8" x14ac:dyDescent="0.25">
      <c r="A2872" s="1" t="s">
        <v>2885</v>
      </c>
      <c r="B2872" s="5">
        <v>45777.583333333336</v>
      </c>
      <c r="C2872" s="1" t="s">
        <v>11</v>
      </c>
      <c r="D2872" s="1" t="s">
        <v>16</v>
      </c>
      <c r="E2872" s="1">
        <v>14</v>
      </c>
      <c r="F2872" s="1">
        <v>303.12</v>
      </c>
      <c r="G2872" s="1">
        <v>41.96</v>
      </c>
      <c r="H2872">
        <f t="shared" si="44"/>
        <v>4243.68</v>
      </c>
    </row>
    <row r="2873" spans="1:8" x14ac:dyDescent="0.25">
      <c r="A2873" s="1" t="s">
        <v>2886</v>
      </c>
      <c r="B2873" s="5">
        <v>45777.625</v>
      </c>
      <c r="C2873" s="1" t="s">
        <v>23</v>
      </c>
      <c r="D2873" s="1" t="s">
        <v>9</v>
      </c>
      <c r="E2873" s="1">
        <v>15</v>
      </c>
      <c r="F2873" s="1">
        <v>207.22</v>
      </c>
      <c r="G2873" s="1">
        <v>29.29</v>
      </c>
      <c r="H2873">
        <f t="shared" si="44"/>
        <v>3108.3</v>
      </c>
    </row>
    <row r="2874" spans="1:8" x14ac:dyDescent="0.25">
      <c r="A2874" s="1" t="s">
        <v>2887</v>
      </c>
      <c r="B2874" s="5">
        <v>45777.666666666664</v>
      </c>
      <c r="C2874" s="1" t="s">
        <v>13</v>
      </c>
      <c r="D2874" s="1" t="s">
        <v>37</v>
      </c>
      <c r="E2874" s="1">
        <v>14</v>
      </c>
      <c r="F2874" s="1">
        <v>307.10000000000002</v>
      </c>
      <c r="G2874" s="1">
        <v>18.690000000000001</v>
      </c>
      <c r="H2874">
        <f t="shared" si="44"/>
        <v>4299.4000000000005</v>
      </c>
    </row>
    <row r="2875" spans="1:8" x14ac:dyDescent="0.25">
      <c r="A2875" s="1" t="s">
        <v>2888</v>
      </c>
      <c r="B2875" s="5">
        <v>45777.708333333336</v>
      </c>
      <c r="C2875" s="1" t="s">
        <v>11</v>
      </c>
      <c r="D2875" s="1" t="s">
        <v>19</v>
      </c>
      <c r="E2875" s="1">
        <v>11</v>
      </c>
      <c r="F2875" s="1">
        <v>29.57</v>
      </c>
      <c r="G2875" s="1">
        <v>24.68</v>
      </c>
      <c r="H2875">
        <f t="shared" si="44"/>
        <v>325.27</v>
      </c>
    </row>
    <row r="2876" spans="1:8" x14ac:dyDescent="0.25">
      <c r="A2876" s="1" t="s">
        <v>2889</v>
      </c>
      <c r="B2876" s="5">
        <v>45777.75</v>
      </c>
      <c r="C2876" s="1" t="s">
        <v>11</v>
      </c>
      <c r="D2876" s="1" t="s">
        <v>16</v>
      </c>
      <c r="E2876" s="1">
        <v>16</v>
      </c>
      <c r="F2876" s="1">
        <v>270.22000000000003</v>
      </c>
      <c r="G2876" s="1">
        <v>7.96</v>
      </c>
      <c r="H2876">
        <f t="shared" si="44"/>
        <v>4323.5200000000004</v>
      </c>
    </row>
    <row r="2877" spans="1:8" x14ac:dyDescent="0.25">
      <c r="A2877" s="1" t="s">
        <v>2890</v>
      </c>
      <c r="B2877" s="5">
        <v>45777.791666666664</v>
      </c>
      <c r="C2877" s="1" t="s">
        <v>23</v>
      </c>
      <c r="D2877" s="1" t="s">
        <v>37</v>
      </c>
      <c r="E2877" s="1">
        <v>19</v>
      </c>
      <c r="F2877" s="1">
        <v>256.12</v>
      </c>
      <c r="G2877" s="1">
        <v>47.52</v>
      </c>
      <c r="H2877">
        <f t="shared" si="44"/>
        <v>4866.28</v>
      </c>
    </row>
    <row r="2878" spans="1:8" x14ac:dyDescent="0.25">
      <c r="A2878" s="1" t="s">
        <v>2891</v>
      </c>
      <c r="B2878" s="5">
        <v>45777.833333333336</v>
      </c>
      <c r="C2878" s="1" t="s">
        <v>23</v>
      </c>
      <c r="D2878" s="1" t="s">
        <v>19</v>
      </c>
      <c r="E2878" s="1">
        <v>17</v>
      </c>
      <c r="F2878" s="1">
        <v>166.12</v>
      </c>
      <c r="G2878" s="1">
        <v>32.86</v>
      </c>
      <c r="H2878">
        <f t="shared" si="44"/>
        <v>2824.04</v>
      </c>
    </row>
    <row r="2879" spans="1:8" x14ac:dyDescent="0.25">
      <c r="A2879" s="1" t="s">
        <v>2892</v>
      </c>
      <c r="B2879" s="5">
        <v>45777.875</v>
      </c>
      <c r="C2879" s="1" t="s">
        <v>11</v>
      </c>
      <c r="D2879" s="1" t="s">
        <v>16</v>
      </c>
      <c r="E2879" s="1">
        <v>6</v>
      </c>
      <c r="F2879" s="1">
        <v>103.06</v>
      </c>
      <c r="G2879" s="1">
        <v>37.909999999999997</v>
      </c>
      <c r="H2879">
        <f t="shared" si="44"/>
        <v>618.36</v>
      </c>
    </row>
    <row r="2880" spans="1:8" x14ac:dyDescent="0.25">
      <c r="A2880" s="1" t="s">
        <v>2893</v>
      </c>
      <c r="B2880" s="5">
        <v>45777.916666666664</v>
      </c>
      <c r="C2880" s="1" t="s">
        <v>8</v>
      </c>
      <c r="D2880" s="1" t="s">
        <v>16</v>
      </c>
      <c r="E2880" s="1">
        <v>11</v>
      </c>
      <c r="F2880" s="1">
        <v>366.38</v>
      </c>
      <c r="G2880" s="1">
        <v>35.450000000000003</v>
      </c>
      <c r="H2880">
        <f t="shared" si="44"/>
        <v>4030.18</v>
      </c>
    </row>
    <row r="2881" spans="1:8" x14ac:dyDescent="0.25">
      <c r="A2881" s="1" t="s">
        <v>2894</v>
      </c>
      <c r="B2881" s="5">
        <v>45777.958333333336</v>
      </c>
      <c r="C2881" s="1" t="s">
        <v>11</v>
      </c>
      <c r="D2881" s="1" t="s">
        <v>9</v>
      </c>
      <c r="E2881" s="1">
        <v>17</v>
      </c>
      <c r="F2881" s="1">
        <v>38.9</v>
      </c>
      <c r="G2881" s="1">
        <v>35.049999999999997</v>
      </c>
      <c r="H2881">
        <f t="shared" si="44"/>
        <v>661.3</v>
      </c>
    </row>
    <row r="2882" spans="1:8" x14ac:dyDescent="0.25">
      <c r="A2882" s="1" t="s">
        <v>2895</v>
      </c>
      <c r="B2882" s="5">
        <v>45778</v>
      </c>
      <c r="C2882" s="1" t="s">
        <v>23</v>
      </c>
      <c r="D2882" s="1" t="s">
        <v>19</v>
      </c>
      <c r="E2882" s="1">
        <v>9</v>
      </c>
      <c r="F2882" s="1">
        <v>45.77</v>
      </c>
      <c r="G2882" s="1">
        <v>5.78</v>
      </c>
      <c r="H2882">
        <f t="shared" ref="H2882:H2945" si="45">E2882*F2882</f>
        <v>411.93</v>
      </c>
    </row>
    <row r="2883" spans="1:8" x14ac:dyDescent="0.25">
      <c r="A2883" s="1" t="s">
        <v>2896</v>
      </c>
      <c r="B2883" s="5">
        <v>45778.041666666664</v>
      </c>
      <c r="C2883" s="1" t="s">
        <v>13</v>
      </c>
      <c r="D2883" s="1" t="s">
        <v>37</v>
      </c>
      <c r="E2883" s="1">
        <v>18</v>
      </c>
      <c r="F2883" s="1">
        <v>206.91</v>
      </c>
      <c r="G2883" s="1">
        <v>28.64</v>
      </c>
      <c r="H2883">
        <f t="shared" si="45"/>
        <v>3724.38</v>
      </c>
    </row>
    <row r="2884" spans="1:8" x14ac:dyDescent="0.25">
      <c r="A2884" s="1" t="s">
        <v>2897</v>
      </c>
      <c r="B2884" s="5">
        <v>45778.083333333336</v>
      </c>
      <c r="C2884" s="1" t="s">
        <v>13</v>
      </c>
      <c r="D2884" s="1" t="s">
        <v>37</v>
      </c>
      <c r="E2884" s="1">
        <v>17</v>
      </c>
      <c r="F2884" s="1">
        <v>125.23</v>
      </c>
      <c r="G2884" s="1">
        <v>41.98</v>
      </c>
      <c r="H2884">
        <f t="shared" si="45"/>
        <v>2128.91</v>
      </c>
    </row>
    <row r="2885" spans="1:8" x14ac:dyDescent="0.25">
      <c r="A2885" s="1" t="s">
        <v>2898</v>
      </c>
      <c r="B2885" s="5">
        <v>45778.125</v>
      </c>
      <c r="C2885" s="1" t="s">
        <v>8</v>
      </c>
      <c r="D2885" s="1" t="s">
        <v>37</v>
      </c>
      <c r="E2885" s="1">
        <v>12</v>
      </c>
      <c r="F2885" s="1">
        <v>339.4</v>
      </c>
      <c r="G2885" s="1">
        <v>7</v>
      </c>
      <c r="H2885">
        <f t="shared" si="45"/>
        <v>4072.7999999999997</v>
      </c>
    </row>
    <row r="2886" spans="1:8" x14ac:dyDescent="0.25">
      <c r="A2886" s="1" t="s">
        <v>2899</v>
      </c>
      <c r="B2886" s="5">
        <v>45778.166666666664</v>
      </c>
      <c r="C2886" s="1" t="s">
        <v>11</v>
      </c>
      <c r="D2886" s="1" t="s">
        <v>19</v>
      </c>
      <c r="E2886" s="1">
        <v>5</v>
      </c>
      <c r="F2886" s="1">
        <v>291.06</v>
      </c>
      <c r="G2886" s="1">
        <v>48.03</v>
      </c>
      <c r="H2886">
        <f t="shared" si="45"/>
        <v>1455.3</v>
      </c>
    </row>
    <row r="2887" spans="1:8" x14ac:dyDescent="0.25">
      <c r="A2887" s="1" t="s">
        <v>2900</v>
      </c>
      <c r="B2887" s="5">
        <v>45778.208333333336</v>
      </c>
      <c r="C2887" s="1" t="s">
        <v>13</v>
      </c>
      <c r="D2887" s="1" t="s">
        <v>37</v>
      </c>
      <c r="E2887" s="1">
        <v>11</v>
      </c>
      <c r="F2887" s="1">
        <v>351.17</v>
      </c>
      <c r="G2887" s="1">
        <v>24.09</v>
      </c>
      <c r="H2887">
        <f t="shared" si="45"/>
        <v>3862.8700000000003</v>
      </c>
    </row>
    <row r="2888" spans="1:8" x14ac:dyDescent="0.25">
      <c r="A2888" s="1" t="s">
        <v>2901</v>
      </c>
      <c r="B2888" s="5">
        <v>45778.25</v>
      </c>
      <c r="C2888" s="1" t="s">
        <v>11</v>
      </c>
      <c r="D2888" s="1" t="s">
        <v>37</v>
      </c>
      <c r="E2888" s="1">
        <v>4</v>
      </c>
      <c r="F2888" s="1">
        <v>156.57</v>
      </c>
      <c r="G2888" s="1">
        <v>18.05</v>
      </c>
      <c r="H2888">
        <f t="shared" si="45"/>
        <v>626.28</v>
      </c>
    </row>
    <row r="2889" spans="1:8" x14ac:dyDescent="0.25">
      <c r="A2889" s="1" t="s">
        <v>2902</v>
      </c>
      <c r="B2889" s="5">
        <v>45778.291666666664</v>
      </c>
      <c r="C2889" s="1" t="s">
        <v>23</v>
      </c>
      <c r="D2889" s="1" t="s">
        <v>37</v>
      </c>
      <c r="E2889" s="1">
        <v>4</v>
      </c>
      <c r="F2889" s="1">
        <v>337.26</v>
      </c>
      <c r="G2889" s="1">
        <v>28.93</v>
      </c>
      <c r="H2889">
        <f t="shared" si="45"/>
        <v>1349.04</v>
      </c>
    </row>
    <row r="2890" spans="1:8" x14ac:dyDescent="0.25">
      <c r="A2890" s="1" t="s">
        <v>2903</v>
      </c>
      <c r="B2890" s="5">
        <v>45778.333333333336</v>
      </c>
      <c r="C2890" s="1" t="s">
        <v>13</v>
      </c>
      <c r="D2890" s="1" t="s">
        <v>9</v>
      </c>
      <c r="E2890" s="1">
        <v>3</v>
      </c>
      <c r="F2890" s="1">
        <v>390.17</v>
      </c>
      <c r="G2890" s="1">
        <v>41.05</v>
      </c>
      <c r="H2890">
        <f t="shared" si="45"/>
        <v>1170.51</v>
      </c>
    </row>
    <row r="2891" spans="1:8" x14ac:dyDescent="0.25">
      <c r="A2891" s="1" t="s">
        <v>2904</v>
      </c>
      <c r="B2891" s="5">
        <v>45778.375</v>
      </c>
      <c r="C2891" s="1" t="s">
        <v>8</v>
      </c>
      <c r="D2891" s="1" t="s">
        <v>9</v>
      </c>
      <c r="E2891" s="1">
        <v>17</v>
      </c>
      <c r="F2891" s="1">
        <v>165.52</v>
      </c>
      <c r="G2891" s="1">
        <v>26.36</v>
      </c>
      <c r="H2891">
        <f t="shared" si="45"/>
        <v>2813.84</v>
      </c>
    </row>
    <row r="2892" spans="1:8" x14ac:dyDescent="0.25">
      <c r="A2892" s="1" t="s">
        <v>2905</v>
      </c>
      <c r="B2892" s="5">
        <v>45778.416666666664</v>
      </c>
      <c r="C2892" s="1" t="s">
        <v>23</v>
      </c>
      <c r="D2892" s="1" t="s">
        <v>19</v>
      </c>
      <c r="E2892" s="1">
        <v>7</v>
      </c>
      <c r="F2892" s="1">
        <v>163.18</v>
      </c>
      <c r="G2892" s="1">
        <v>34.03</v>
      </c>
      <c r="H2892">
        <f t="shared" si="45"/>
        <v>1142.26</v>
      </c>
    </row>
    <row r="2893" spans="1:8" x14ac:dyDescent="0.25">
      <c r="A2893" s="1" t="s">
        <v>2906</v>
      </c>
      <c r="B2893" s="5">
        <v>45778.458333333336</v>
      </c>
      <c r="C2893" s="1" t="s">
        <v>8</v>
      </c>
      <c r="D2893" s="1" t="s">
        <v>19</v>
      </c>
      <c r="E2893" s="1">
        <v>4</v>
      </c>
      <c r="F2893" s="1">
        <v>406.53</v>
      </c>
      <c r="G2893" s="1">
        <v>27.5</v>
      </c>
      <c r="H2893">
        <f t="shared" si="45"/>
        <v>1626.12</v>
      </c>
    </row>
    <row r="2894" spans="1:8" x14ac:dyDescent="0.25">
      <c r="A2894" s="1" t="s">
        <v>2907</v>
      </c>
      <c r="B2894" s="5">
        <v>45778.5</v>
      </c>
      <c r="C2894" s="1" t="s">
        <v>23</v>
      </c>
      <c r="D2894" s="1" t="s">
        <v>37</v>
      </c>
      <c r="E2894" s="1">
        <v>13</v>
      </c>
      <c r="F2894" s="1">
        <v>37.130000000000003</v>
      </c>
      <c r="G2894" s="1">
        <v>33.409999999999997</v>
      </c>
      <c r="H2894">
        <f t="shared" si="45"/>
        <v>482.69000000000005</v>
      </c>
    </row>
    <row r="2895" spans="1:8" x14ac:dyDescent="0.25">
      <c r="A2895" s="1" t="s">
        <v>2908</v>
      </c>
      <c r="B2895" s="5">
        <v>45778.541666666664</v>
      </c>
      <c r="C2895" s="1" t="s">
        <v>13</v>
      </c>
      <c r="D2895" s="1" t="s">
        <v>9</v>
      </c>
      <c r="E2895" s="1">
        <v>12</v>
      </c>
      <c r="F2895" s="1">
        <v>167.66</v>
      </c>
      <c r="G2895" s="1">
        <v>11.21</v>
      </c>
      <c r="H2895">
        <f t="shared" si="45"/>
        <v>2011.92</v>
      </c>
    </row>
    <row r="2896" spans="1:8" x14ac:dyDescent="0.25">
      <c r="A2896" s="1" t="s">
        <v>2909</v>
      </c>
      <c r="B2896" s="5">
        <v>45778.583333333336</v>
      </c>
      <c r="C2896" s="1" t="s">
        <v>8</v>
      </c>
      <c r="D2896" s="1" t="s">
        <v>16</v>
      </c>
      <c r="E2896" s="1">
        <v>1</v>
      </c>
      <c r="F2896" s="1">
        <v>67.06</v>
      </c>
      <c r="G2896" s="1">
        <v>6.74</v>
      </c>
      <c r="H2896">
        <f t="shared" si="45"/>
        <v>67.06</v>
      </c>
    </row>
    <row r="2897" spans="1:8" x14ac:dyDescent="0.25">
      <c r="A2897" s="1" t="s">
        <v>2910</v>
      </c>
      <c r="B2897" s="5">
        <v>45778.625</v>
      </c>
      <c r="C2897" s="1" t="s">
        <v>8</v>
      </c>
      <c r="D2897" s="1" t="s">
        <v>16</v>
      </c>
      <c r="E2897" s="1">
        <v>19</v>
      </c>
      <c r="F2897" s="1">
        <v>28.09</v>
      </c>
      <c r="G2897" s="1">
        <v>11.16</v>
      </c>
      <c r="H2897">
        <f t="shared" si="45"/>
        <v>533.71</v>
      </c>
    </row>
    <row r="2898" spans="1:8" x14ac:dyDescent="0.25">
      <c r="A2898" s="1" t="s">
        <v>2911</v>
      </c>
      <c r="B2898" s="5">
        <v>45778.666666666664</v>
      </c>
      <c r="C2898" s="1" t="s">
        <v>23</v>
      </c>
      <c r="D2898" s="1" t="s">
        <v>37</v>
      </c>
      <c r="E2898" s="1">
        <v>18</v>
      </c>
      <c r="F2898" s="1">
        <v>64.540000000000006</v>
      </c>
      <c r="G2898" s="1">
        <v>17.86</v>
      </c>
      <c r="H2898">
        <f t="shared" si="45"/>
        <v>1161.72</v>
      </c>
    </row>
    <row r="2899" spans="1:8" x14ac:dyDescent="0.25">
      <c r="A2899" s="1" t="s">
        <v>2912</v>
      </c>
      <c r="B2899" s="5">
        <v>45778.708333333336</v>
      </c>
      <c r="C2899" s="1" t="s">
        <v>8</v>
      </c>
      <c r="D2899" s="1" t="s">
        <v>37</v>
      </c>
      <c r="E2899" s="1">
        <v>11</v>
      </c>
      <c r="F2899" s="1">
        <v>202.88</v>
      </c>
      <c r="G2899" s="1">
        <v>16.399999999999999</v>
      </c>
      <c r="H2899">
        <f t="shared" si="45"/>
        <v>2231.6799999999998</v>
      </c>
    </row>
    <row r="2900" spans="1:8" x14ac:dyDescent="0.25">
      <c r="A2900" s="1" t="s">
        <v>2913</v>
      </c>
      <c r="B2900" s="5">
        <v>45778.75</v>
      </c>
      <c r="C2900" s="1" t="s">
        <v>23</v>
      </c>
      <c r="D2900" s="1" t="s">
        <v>9</v>
      </c>
      <c r="E2900" s="1">
        <v>3</v>
      </c>
      <c r="F2900" s="1">
        <v>313.98</v>
      </c>
      <c r="G2900" s="1">
        <v>32.68</v>
      </c>
      <c r="H2900">
        <f t="shared" si="45"/>
        <v>941.94</v>
      </c>
    </row>
    <row r="2901" spans="1:8" x14ac:dyDescent="0.25">
      <c r="A2901" s="1" t="s">
        <v>2914</v>
      </c>
      <c r="B2901" s="5">
        <v>45778.791666666664</v>
      </c>
      <c r="C2901" s="1" t="s">
        <v>23</v>
      </c>
      <c r="D2901" s="1" t="s">
        <v>9</v>
      </c>
      <c r="E2901" s="1">
        <v>17</v>
      </c>
      <c r="F2901" s="1">
        <v>141.19</v>
      </c>
      <c r="G2901" s="1">
        <v>25.52</v>
      </c>
      <c r="H2901">
        <f t="shared" si="45"/>
        <v>2400.23</v>
      </c>
    </row>
    <row r="2902" spans="1:8" x14ac:dyDescent="0.25">
      <c r="A2902" s="1" t="s">
        <v>2915</v>
      </c>
      <c r="B2902" s="5">
        <v>45778.833333333336</v>
      </c>
      <c r="C2902" s="1" t="s">
        <v>23</v>
      </c>
      <c r="D2902" s="1" t="s">
        <v>9</v>
      </c>
      <c r="E2902" s="1">
        <v>12</v>
      </c>
      <c r="F2902" s="1">
        <v>384.68</v>
      </c>
      <c r="G2902" s="1">
        <v>6.75</v>
      </c>
      <c r="H2902">
        <f t="shared" si="45"/>
        <v>4616.16</v>
      </c>
    </row>
    <row r="2903" spans="1:8" x14ac:dyDescent="0.25">
      <c r="A2903" s="1" t="s">
        <v>2916</v>
      </c>
      <c r="B2903" s="5">
        <v>45778.875</v>
      </c>
      <c r="C2903" s="1" t="s">
        <v>23</v>
      </c>
      <c r="D2903" s="1" t="s">
        <v>19</v>
      </c>
      <c r="E2903" s="1">
        <v>10</v>
      </c>
      <c r="F2903" s="1">
        <v>205.64</v>
      </c>
      <c r="G2903" s="1">
        <v>6.57</v>
      </c>
      <c r="H2903">
        <f t="shared" si="45"/>
        <v>2056.3999999999996</v>
      </c>
    </row>
    <row r="2904" spans="1:8" x14ac:dyDescent="0.25">
      <c r="A2904" s="1" t="s">
        <v>2917</v>
      </c>
      <c r="B2904" s="5">
        <v>45778.916666666664</v>
      </c>
      <c r="C2904" s="1" t="s">
        <v>13</v>
      </c>
      <c r="D2904" s="1" t="s">
        <v>19</v>
      </c>
      <c r="E2904" s="1">
        <v>8</v>
      </c>
      <c r="F2904" s="1">
        <v>436.2</v>
      </c>
      <c r="G2904" s="1">
        <v>9.08</v>
      </c>
      <c r="H2904">
        <f t="shared" si="45"/>
        <v>3489.6</v>
      </c>
    </row>
    <row r="2905" spans="1:8" x14ac:dyDescent="0.25">
      <c r="A2905" s="1" t="s">
        <v>2918</v>
      </c>
      <c r="B2905" s="5">
        <v>45778.958333333336</v>
      </c>
      <c r="C2905" s="1" t="s">
        <v>23</v>
      </c>
      <c r="D2905" s="1" t="s">
        <v>37</v>
      </c>
      <c r="E2905" s="1">
        <v>15</v>
      </c>
      <c r="F2905" s="1">
        <v>430.08</v>
      </c>
      <c r="G2905" s="1">
        <v>20.89</v>
      </c>
      <c r="H2905">
        <f t="shared" si="45"/>
        <v>6451.2</v>
      </c>
    </row>
    <row r="2906" spans="1:8" x14ac:dyDescent="0.25">
      <c r="A2906" s="1" t="s">
        <v>2919</v>
      </c>
      <c r="B2906" s="5">
        <v>45779</v>
      </c>
      <c r="C2906" s="1" t="s">
        <v>11</v>
      </c>
      <c r="D2906" s="1" t="s">
        <v>19</v>
      </c>
      <c r="E2906" s="1">
        <v>5</v>
      </c>
      <c r="F2906" s="1">
        <v>351.49</v>
      </c>
      <c r="G2906" s="1">
        <v>5.28</v>
      </c>
      <c r="H2906">
        <f t="shared" si="45"/>
        <v>1757.45</v>
      </c>
    </row>
    <row r="2907" spans="1:8" x14ac:dyDescent="0.25">
      <c r="A2907" s="1" t="s">
        <v>2920</v>
      </c>
      <c r="B2907" s="5">
        <v>45779.041666666664</v>
      </c>
      <c r="C2907" s="1" t="s">
        <v>8</v>
      </c>
      <c r="D2907" s="1" t="s">
        <v>9</v>
      </c>
      <c r="E2907" s="1">
        <v>4</v>
      </c>
      <c r="F2907" s="1">
        <v>420.63</v>
      </c>
      <c r="G2907" s="1">
        <v>27.23</v>
      </c>
      <c r="H2907">
        <f t="shared" si="45"/>
        <v>1682.52</v>
      </c>
    </row>
    <row r="2908" spans="1:8" x14ac:dyDescent="0.25">
      <c r="A2908" s="1" t="s">
        <v>2921</v>
      </c>
      <c r="B2908" s="5">
        <v>45779.083333333336</v>
      </c>
      <c r="C2908" s="1" t="s">
        <v>11</v>
      </c>
      <c r="D2908" s="1" t="s">
        <v>9</v>
      </c>
      <c r="E2908" s="1">
        <v>19</v>
      </c>
      <c r="F2908" s="1">
        <v>322.73</v>
      </c>
      <c r="G2908" s="1">
        <v>21.23</v>
      </c>
      <c r="H2908">
        <f t="shared" si="45"/>
        <v>6131.8700000000008</v>
      </c>
    </row>
    <row r="2909" spans="1:8" x14ac:dyDescent="0.25">
      <c r="A2909" s="1" t="s">
        <v>2922</v>
      </c>
      <c r="B2909" s="5">
        <v>45779.125</v>
      </c>
      <c r="C2909" s="1" t="s">
        <v>13</v>
      </c>
      <c r="D2909" s="1" t="s">
        <v>19</v>
      </c>
      <c r="E2909" s="1">
        <v>4</v>
      </c>
      <c r="F2909" s="1">
        <v>404.63</v>
      </c>
      <c r="G2909" s="1">
        <v>29.99</v>
      </c>
      <c r="H2909">
        <f t="shared" si="45"/>
        <v>1618.52</v>
      </c>
    </row>
    <row r="2910" spans="1:8" x14ac:dyDescent="0.25">
      <c r="A2910" s="1" t="s">
        <v>2923</v>
      </c>
      <c r="B2910" s="5">
        <v>45779.166666666664</v>
      </c>
      <c r="C2910" s="1" t="s">
        <v>11</v>
      </c>
      <c r="D2910" s="1" t="s">
        <v>16</v>
      </c>
      <c r="E2910" s="1">
        <v>15</v>
      </c>
      <c r="F2910" s="1">
        <v>118.25</v>
      </c>
      <c r="G2910" s="1">
        <v>37.44</v>
      </c>
      <c r="H2910">
        <f t="shared" si="45"/>
        <v>1773.75</v>
      </c>
    </row>
    <row r="2911" spans="1:8" x14ac:dyDescent="0.25">
      <c r="A2911" s="1" t="s">
        <v>2924</v>
      </c>
      <c r="B2911" s="5">
        <v>45779.208333333336</v>
      </c>
      <c r="C2911" s="1" t="s">
        <v>8</v>
      </c>
      <c r="D2911" s="1" t="s">
        <v>37</v>
      </c>
      <c r="E2911" s="1">
        <v>17</v>
      </c>
      <c r="F2911" s="1">
        <v>165.59</v>
      </c>
      <c r="G2911" s="1">
        <v>16.29</v>
      </c>
      <c r="H2911">
        <f t="shared" si="45"/>
        <v>2815.03</v>
      </c>
    </row>
    <row r="2912" spans="1:8" x14ac:dyDescent="0.25">
      <c r="A2912" s="1" t="s">
        <v>2925</v>
      </c>
      <c r="B2912" s="5">
        <v>45779.25</v>
      </c>
      <c r="C2912" s="1" t="s">
        <v>11</v>
      </c>
      <c r="D2912" s="1" t="s">
        <v>16</v>
      </c>
      <c r="E2912" s="1">
        <v>12</v>
      </c>
      <c r="F2912" s="1">
        <v>342.65</v>
      </c>
      <c r="G2912" s="1">
        <v>12.07</v>
      </c>
      <c r="H2912">
        <f t="shared" si="45"/>
        <v>4111.7999999999993</v>
      </c>
    </row>
    <row r="2913" spans="1:8" x14ac:dyDescent="0.25">
      <c r="A2913" s="1" t="s">
        <v>2926</v>
      </c>
      <c r="B2913" s="5">
        <v>45779.291666666664</v>
      </c>
      <c r="C2913" s="1" t="s">
        <v>13</v>
      </c>
      <c r="D2913" s="1" t="s">
        <v>37</v>
      </c>
      <c r="E2913" s="1">
        <v>3</v>
      </c>
      <c r="F2913" s="1">
        <v>199.97</v>
      </c>
      <c r="G2913" s="1">
        <v>17.510000000000002</v>
      </c>
      <c r="H2913">
        <f t="shared" si="45"/>
        <v>599.91</v>
      </c>
    </row>
    <row r="2914" spans="1:8" x14ac:dyDescent="0.25">
      <c r="A2914" s="1" t="s">
        <v>2927</v>
      </c>
      <c r="B2914" s="5">
        <v>45779.333333333336</v>
      </c>
      <c r="C2914" s="1" t="s">
        <v>23</v>
      </c>
      <c r="D2914" s="1" t="s">
        <v>16</v>
      </c>
      <c r="E2914" s="1">
        <v>10</v>
      </c>
      <c r="F2914" s="1">
        <v>379.32</v>
      </c>
      <c r="G2914" s="1">
        <v>5.08</v>
      </c>
      <c r="H2914">
        <f t="shared" si="45"/>
        <v>3793.2</v>
      </c>
    </row>
    <row r="2915" spans="1:8" x14ac:dyDescent="0.25">
      <c r="A2915" s="1" t="s">
        <v>2928</v>
      </c>
      <c r="B2915" s="5">
        <v>45779.375</v>
      </c>
      <c r="C2915" s="1" t="s">
        <v>11</v>
      </c>
      <c r="D2915" s="1" t="s">
        <v>19</v>
      </c>
      <c r="E2915" s="1">
        <v>15</v>
      </c>
      <c r="F2915" s="1">
        <v>396.83</v>
      </c>
      <c r="G2915" s="1">
        <v>10.4</v>
      </c>
      <c r="H2915">
        <f t="shared" si="45"/>
        <v>5952.45</v>
      </c>
    </row>
    <row r="2916" spans="1:8" x14ac:dyDescent="0.25">
      <c r="A2916" s="1" t="s">
        <v>2929</v>
      </c>
      <c r="B2916" s="5">
        <v>45779.416666666664</v>
      </c>
      <c r="C2916" s="1" t="s">
        <v>13</v>
      </c>
      <c r="D2916" s="1" t="s">
        <v>37</v>
      </c>
      <c r="E2916" s="1">
        <v>10</v>
      </c>
      <c r="F2916" s="1">
        <v>145.72999999999999</v>
      </c>
      <c r="G2916" s="1">
        <v>38.79</v>
      </c>
      <c r="H2916">
        <f t="shared" si="45"/>
        <v>1457.3</v>
      </c>
    </row>
    <row r="2917" spans="1:8" x14ac:dyDescent="0.25">
      <c r="A2917" s="1" t="s">
        <v>2930</v>
      </c>
      <c r="B2917" s="5">
        <v>45779.458333333336</v>
      </c>
      <c r="C2917" s="1" t="s">
        <v>13</v>
      </c>
      <c r="D2917" s="1" t="s">
        <v>37</v>
      </c>
      <c r="E2917" s="1">
        <v>18</v>
      </c>
      <c r="F2917" s="1">
        <v>373.29</v>
      </c>
      <c r="G2917" s="1">
        <v>15.03</v>
      </c>
      <c r="H2917">
        <f t="shared" si="45"/>
        <v>6719.22</v>
      </c>
    </row>
    <row r="2918" spans="1:8" x14ac:dyDescent="0.25">
      <c r="A2918" s="1" t="s">
        <v>2931</v>
      </c>
      <c r="B2918" s="5">
        <v>45779.5</v>
      </c>
      <c r="C2918" s="1" t="s">
        <v>8</v>
      </c>
      <c r="D2918" s="1" t="s">
        <v>37</v>
      </c>
      <c r="E2918" s="1">
        <v>1</v>
      </c>
      <c r="F2918" s="1">
        <v>82.53</v>
      </c>
      <c r="G2918" s="1">
        <v>49.74</v>
      </c>
      <c r="H2918">
        <f t="shared" si="45"/>
        <v>82.53</v>
      </c>
    </row>
    <row r="2919" spans="1:8" x14ac:dyDescent="0.25">
      <c r="A2919" s="1" t="s">
        <v>2932</v>
      </c>
      <c r="B2919" s="5">
        <v>45779.541666666664</v>
      </c>
      <c r="C2919" s="1" t="s">
        <v>8</v>
      </c>
      <c r="D2919" s="1" t="s">
        <v>9</v>
      </c>
      <c r="E2919" s="1">
        <v>3</v>
      </c>
      <c r="F2919" s="1">
        <v>160.71</v>
      </c>
      <c r="G2919" s="1">
        <v>12.55</v>
      </c>
      <c r="H2919">
        <f t="shared" si="45"/>
        <v>482.13</v>
      </c>
    </row>
    <row r="2920" spans="1:8" x14ac:dyDescent="0.25">
      <c r="A2920" s="1" t="s">
        <v>2933</v>
      </c>
      <c r="B2920" s="5">
        <v>45779.583333333336</v>
      </c>
      <c r="C2920" s="1" t="s">
        <v>11</v>
      </c>
      <c r="D2920" s="1" t="s">
        <v>9</v>
      </c>
      <c r="E2920" s="1">
        <v>12</v>
      </c>
      <c r="F2920" s="1">
        <v>240.56</v>
      </c>
      <c r="G2920" s="1">
        <v>40.49</v>
      </c>
      <c r="H2920">
        <f t="shared" si="45"/>
        <v>2886.7200000000003</v>
      </c>
    </row>
    <row r="2921" spans="1:8" x14ac:dyDescent="0.25">
      <c r="A2921" s="1" t="s">
        <v>2934</v>
      </c>
      <c r="B2921" s="5">
        <v>45779.625</v>
      </c>
      <c r="C2921" s="1" t="s">
        <v>23</v>
      </c>
      <c r="D2921" s="1" t="s">
        <v>16</v>
      </c>
      <c r="E2921" s="1">
        <v>1</v>
      </c>
      <c r="F2921" s="1">
        <v>113.89</v>
      </c>
      <c r="G2921" s="1">
        <v>36.729999999999997</v>
      </c>
      <c r="H2921">
        <f t="shared" si="45"/>
        <v>113.89</v>
      </c>
    </row>
    <row r="2922" spans="1:8" x14ac:dyDescent="0.25">
      <c r="A2922" s="1" t="s">
        <v>2935</v>
      </c>
      <c r="B2922" s="5">
        <v>45779.666666666664</v>
      </c>
      <c r="C2922" s="1" t="s">
        <v>13</v>
      </c>
      <c r="D2922" s="1" t="s">
        <v>19</v>
      </c>
      <c r="E2922" s="1">
        <v>3</v>
      </c>
      <c r="F2922" s="1">
        <v>267.19</v>
      </c>
      <c r="G2922" s="1">
        <v>19.5</v>
      </c>
      <c r="H2922">
        <f t="shared" si="45"/>
        <v>801.56999999999994</v>
      </c>
    </row>
    <row r="2923" spans="1:8" x14ac:dyDescent="0.25">
      <c r="A2923" s="1" t="s">
        <v>2936</v>
      </c>
      <c r="B2923" s="5">
        <v>45779.708333333336</v>
      </c>
      <c r="C2923" s="1" t="s">
        <v>11</v>
      </c>
      <c r="D2923" s="1" t="s">
        <v>9</v>
      </c>
      <c r="E2923" s="1">
        <v>3</v>
      </c>
      <c r="F2923" s="1">
        <v>266.94</v>
      </c>
      <c r="G2923" s="1">
        <v>19.88</v>
      </c>
      <c r="H2923">
        <f t="shared" si="45"/>
        <v>800.81999999999994</v>
      </c>
    </row>
    <row r="2924" spans="1:8" x14ac:dyDescent="0.25">
      <c r="A2924" s="1" t="s">
        <v>2937</v>
      </c>
      <c r="B2924" s="5">
        <v>45779.75</v>
      </c>
      <c r="C2924" s="1" t="s">
        <v>13</v>
      </c>
      <c r="D2924" s="1" t="s">
        <v>37</v>
      </c>
      <c r="E2924" s="1">
        <v>5</v>
      </c>
      <c r="F2924" s="1">
        <v>105.4</v>
      </c>
      <c r="G2924" s="1">
        <v>30.36</v>
      </c>
      <c r="H2924">
        <f t="shared" si="45"/>
        <v>527</v>
      </c>
    </row>
    <row r="2925" spans="1:8" x14ac:dyDescent="0.25">
      <c r="A2925" s="1" t="s">
        <v>2938</v>
      </c>
      <c r="B2925" s="5">
        <v>45779.791666666664</v>
      </c>
      <c r="C2925" s="1" t="s">
        <v>13</v>
      </c>
      <c r="D2925" s="1" t="s">
        <v>9</v>
      </c>
      <c r="E2925" s="1">
        <v>19</v>
      </c>
      <c r="F2925" s="1">
        <v>361.21</v>
      </c>
      <c r="G2925" s="1">
        <v>43.36</v>
      </c>
      <c r="H2925">
        <f t="shared" si="45"/>
        <v>6862.99</v>
      </c>
    </row>
    <row r="2926" spans="1:8" x14ac:dyDescent="0.25">
      <c r="A2926" s="1" t="s">
        <v>2939</v>
      </c>
      <c r="B2926" s="5">
        <v>45779.833333333336</v>
      </c>
      <c r="C2926" s="1" t="s">
        <v>23</v>
      </c>
      <c r="D2926" s="1" t="s">
        <v>19</v>
      </c>
      <c r="E2926" s="1">
        <v>1</v>
      </c>
      <c r="F2926" s="1">
        <v>289.95</v>
      </c>
      <c r="G2926" s="1">
        <v>22.38</v>
      </c>
      <c r="H2926">
        <f t="shared" si="45"/>
        <v>289.95</v>
      </c>
    </row>
    <row r="2927" spans="1:8" x14ac:dyDescent="0.25">
      <c r="A2927" s="1" t="s">
        <v>2940</v>
      </c>
      <c r="B2927" s="5">
        <v>45779.875</v>
      </c>
      <c r="C2927" s="1" t="s">
        <v>23</v>
      </c>
      <c r="D2927" s="1" t="s">
        <v>9</v>
      </c>
      <c r="E2927" s="1">
        <v>4</v>
      </c>
      <c r="F2927" s="1">
        <v>153.57</v>
      </c>
      <c r="G2927" s="1">
        <v>7.75</v>
      </c>
      <c r="H2927">
        <f t="shared" si="45"/>
        <v>614.28</v>
      </c>
    </row>
    <row r="2928" spans="1:8" x14ac:dyDescent="0.25">
      <c r="A2928" s="1" t="s">
        <v>2941</v>
      </c>
      <c r="B2928" s="5">
        <v>45779.916666666664</v>
      </c>
      <c r="C2928" s="1" t="s">
        <v>11</v>
      </c>
      <c r="D2928" s="1" t="s">
        <v>37</v>
      </c>
      <c r="E2928" s="1">
        <v>4</v>
      </c>
      <c r="F2928" s="1">
        <v>116.38</v>
      </c>
      <c r="G2928" s="1">
        <v>21.85</v>
      </c>
      <c r="H2928">
        <f t="shared" si="45"/>
        <v>465.52</v>
      </c>
    </row>
    <row r="2929" spans="1:8" x14ac:dyDescent="0.25">
      <c r="A2929" s="1" t="s">
        <v>2942</v>
      </c>
      <c r="B2929" s="5">
        <v>45779.958333333336</v>
      </c>
      <c r="C2929" s="1" t="s">
        <v>23</v>
      </c>
      <c r="D2929" s="1" t="s">
        <v>16</v>
      </c>
      <c r="E2929" s="1">
        <v>17</v>
      </c>
      <c r="F2929" s="1">
        <v>397.32</v>
      </c>
      <c r="G2929" s="1">
        <v>14.33</v>
      </c>
      <c r="H2929">
        <f t="shared" si="45"/>
        <v>6754.44</v>
      </c>
    </row>
    <row r="2930" spans="1:8" x14ac:dyDescent="0.25">
      <c r="A2930" s="1" t="s">
        <v>2943</v>
      </c>
      <c r="B2930" s="5">
        <v>45780</v>
      </c>
      <c r="C2930" s="1" t="s">
        <v>23</v>
      </c>
      <c r="D2930" s="1" t="s">
        <v>37</v>
      </c>
      <c r="E2930" s="1">
        <v>14</v>
      </c>
      <c r="F2930" s="1">
        <v>378.63</v>
      </c>
      <c r="G2930" s="1">
        <v>47.26</v>
      </c>
      <c r="H2930">
        <f t="shared" si="45"/>
        <v>5300.82</v>
      </c>
    </row>
    <row r="2931" spans="1:8" x14ac:dyDescent="0.25">
      <c r="A2931" s="1" t="s">
        <v>2944</v>
      </c>
      <c r="B2931" s="5">
        <v>45780.041666666664</v>
      </c>
      <c r="C2931" s="1" t="s">
        <v>11</v>
      </c>
      <c r="D2931" s="1" t="s">
        <v>19</v>
      </c>
      <c r="E2931" s="1">
        <v>18</v>
      </c>
      <c r="F2931" s="1">
        <v>115.33</v>
      </c>
      <c r="G2931" s="1">
        <v>36.380000000000003</v>
      </c>
      <c r="H2931">
        <f t="shared" si="45"/>
        <v>2075.94</v>
      </c>
    </row>
    <row r="2932" spans="1:8" x14ac:dyDescent="0.25">
      <c r="A2932" s="1" t="s">
        <v>2945</v>
      </c>
      <c r="B2932" s="5">
        <v>45780.083333333336</v>
      </c>
      <c r="C2932" s="1" t="s">
        <v>23</v>
      </c>
      <c r="D2932" s="1" t="s">
        <v>16</v>
      </c>
      <c r="E2932" s="1">
        <v>1</v>
      </c>
      <c r="F2932" s="1">
        <v>30.97</v>
      </c>
      <c r="G2932" s="1">
        <v>7.29</v>
      </c>
      <c r="H2932">
        <f t="shared" si="45"/>
        <v>30.97</v>
      </c>
    </row>
    <row r="2933" spans="1:8" x14ac:dyDescent="0.25">
      <c r="A2933" s="1" t="s">
        <v>2946</v>
      </c>
      <c r="B2933" s="5">
        <v>45780.125</v>
      </c>
      <c r="C2933" s="1" t="s">
        <v>8</v>
      </c>
      <c r="D2933" s="1" t="s">
        <v>9</v>
      </c>
      <c r="E2933" s="1">
        <v>16</v>
      </c>
      <c r="F2933" s="1">
        <v>365.07</v>
      </c>
      <c r="G2933" s="1">
        <v>18.18</v>
      </c>
      <c r="H2933">
        <f t="shared" si="45"/>
        <v>5841.12</v>
      </c>
    </row>
    <row r="2934" spans="1:8" x14ac:dyDescent="0.25">
      <c r="A2934" s="1" t="s">
        <v>2947</v>
      </c>
      <c r="B2934" s="5">
        <v>45780.166666666664</v>
      </c>
      <c r="C2934" s="1" t="s">
        <v>13</v>
      </c>
      <c r="D2934" s="1" t="s">
        <v>9</v>
      </c>
      <c r="E2934" s="1">
        <v>3</v>
      </c>
      <c r="F2934" s="1">
        <v>282.94</v>
      </c>
      <c r="G2934" s="1">
        <v>7.26</v>
      </c>
      <c r="H2934">
        <f t="shared" si="45"/>
        <v>848.81999999999994</v>
      </c>
    </row>
    <row r="2935" spans="1:8" x14ac:dyDescent="0.25">
      <c r="A2935" s="1" t="s">
        <v>2948</v>
      </c>
      <c r="B2935" s="5">
        <v>45780.208333333336</v>
      </c>
      <c r="C2935" s="1" t="s">
        <v>13</v>
      </c>
      <c r="D2935" s="1" t="s">
        <v>9</v>
      </c>
      <c r="E2935" s="1">
        <v>9</v>
      </c>
      <c r="F2935" s="1">
        <v>59.33</v>
      </c>
      <c r="G2935" s="1">
        <v>42.35</v>
      </c>
      <c r="H2935">
        <f t="shared" si="45"/>
        <v>533.97</v>
      </c>
    </row>
    <row r="2936" spans="1:8" x14ac:dyDescent="0.25">
      <c r="A2936" s="1" t="s">
        <v>2949</v>
      </c>
      <c r="B2936" s="5">
        <v>45780.25</v>
      </c>
      <c r="C2936" s="1" t="s">
        <v>13</v>
      </c>
      <c r="D2936" s="1" t="s">
        <v>16</v>
      </c>
      <c r="E2936" s="1">
        <v>4</v>
      </c>
      <c r="F2936" s="1">
        <v>270.70999999999998</v>
      </c>
      <c r="G2936" s="1">
        <v>45.78</v>
      </c>
      <c r="H2936">
        <f t="shared" si="45"/>
        <v>1082.8399999999999</v>
      </c>
    </row>
    <row r="2937" spans="1:8" x14ac:dyDescent="0.25">
      <c r="A2937" s="1" t="s">
        <v>2950</v>
      </c>
      <c r="B2937" s="5">
        <v>45780.291666666664</v>
      </c>
      <c r="C2937" s="1" t="s">
        <v>13</v>
      </c>
      <c r="D2937" s="1" t="s">
        <v>37</v>
      </c>
      <c r="E2937" s="1">
        <v>5</v>
      </c>
      <c r="F2937" s="1">
        <v>211.97</v>
      </c>
      <c r="G2937" s="1">
        <v>10.050000000000001</v>
      </c>
      <c r="H2937">
        <f t="shared" si="45"/>
        <v>1059.8499999999999</v>
      </c>
    </row>
    <row r="2938" spans="1:8" x14ac:dyDescent="0.25">
      <c r="A2938" s="1" t="s">
        <v>2951</v>
      </c>
      <c r="B2938" s="5">
        <v>45780.333333333336</v>
      </c>
      <c r="C2938" s="1" t="s">
        <v>11</v>
      </c>
      <c r="D2938" s="1" t="s">
        <v>16</v>
      </c>
      <c r="E2938" s="1">
        <v>11</v>
      </c>
      <c r="F2938" s="1">
        <v>352.04</v>
      </c>
      <c r="G2938" s="1">
        <v>24.81</v>
      </c>
      <c r="H2938">
        <f t="shared" si="45"/>
        <v>3872.44</v>
      </c>
    </row>
    <row r="2939" spans="1:8" x14ac:dyDescent="0.25">
      <c r="A2939" s="1" t="s">
        <v>2952</v>
      </c>
      <c r="B2939" s="5">
        <v>45780.375</v>
      </c>
      <c r="C2939" s="1" t="s">
        <v>13</v>
      </c>
      <c r="D2939" s="1" t="s">
        <v>16</v>
      </c>
      <c r="E2939" s="1">
        <v>9</v>
      </c>
      <c r="F2939" s="1">
        <v>106.35</v>
      </c>
      <c r="G2939" s="1">
        <v>46.93</v>
      </c>
      <c r="H2939">
        <f t="shared" si="45"/>
        <v>957.15</v>
      </c>
    </row>
    <row r="2940" spans="1:8" x14ac:dyDescent="0.25">
      <c r="A2940" s="1" t="s">
        <v>2953</v>
      </c>
      <c r="B2940" s="5">
        <v>45780.416666666664</v>
      </c>
      <c r="C2940" s="1" t="s">
        <v>13</v>
      </c>
      <c r="D2940" s="1" t="s">
        <v>19</v>
      </c>
      <c r="E2940" s="1">
        <v>3</v>
      </c>
      <c r="F2940" s="1">
        <v>212.4</v>
      </c>
      <c r="G2940" s="1">
        <v>11.53</v>
      </c>
      <c r="H2940">
        <f t="shared" si="45"/>
        <v>637.20000000000005</v>
      </c>
    </row>
    <row r="2941" spans="1:8" x14ac:dyDescent="0.25">
      <c r="A2941" s="1" t="s">
        <v>2954</v>
      </c>
      <c r="B2941" s="5">
        <v>45780.458333333336</v>
      </c>
      <c r="C2941" s="1" t="s">
        <v>13</v>
      </c>
      <c r="D2941" s="1" t="s">
        <v>16</v>
      </c>
      <c r="E2941" s="1">
        <v>6</v>
      </c>
      <c r="F2941" s="1">
        <v>83.39</v>
      </c>
      <c r="G2941" s="1">
        <v>18.14</v>
      </c>
      <c r="H2941">
        <f t="shared" si="45"/>
        <v>500.34000000000003</v>
      </c>
    </row>
    <row r="2942" spans="1:8" x14ac:dyDescent="0.25">
      <c r="A2942" s="1" t="s">
        <v>2955</v>
      </c>
      <c r="B2942" s="5">
        <v>45780.5</v>
      </c>
      <c r="C2942" s="1" t="s">
        <v>13</v>
      </c>
      <c r="D2942" s="1" t="s">
        <v>9</v>
      </c>
      <c r="E2942" s="1">
        <v>11</v>
      </c>
      <c r="F2942" s="1">
        <v>431.55</v>
      </c>
      <c r="G2942" s="1">
        <v>18.690000000000001</v>
      </c>
      <c r="H2942">
        <f t="shared" si="45"/>
        <v>4747.05</v>
      </c>
    </row>
    <row r="2943" spans="1:8" x14ac:dyDescent="0.25">
      <c r="A2943" s="1" t="s">
        <v>2956</v>
      </c>
      <c r="B2943" s="5">
        <v>45780.541666666664</v>
      </c>
      <c r="C2943" s="1" t="s">
        <v>8</v>
      </c>
      <c r="D2943" s="1" t="s">
        <v>37</v>
      </c>
      <c r="E2943" s="1">
        <v>9</v>
      </c>
      <c r="F2943" s="1">
        <v>353.86</v>
      </c>
      <c r="G2943" s="1">
        <v>6.35</v>
      </c>
      <c r="H2943">
        <f t="shared" si="45"/>
        <v>3184.7400000000002</v>
      </c>
    </row>
    <row r="2944" spans="1:8" x14ac:dyDescent="0.25">
      <c r="A2944" s="1" t="s">
        <v>2957</v>
      </c>
      <c r="B2944" s="5">
        <v>45780.583333333336</v>
      </c>
      <c r="C2944" s="1" t="s">
        <v>13</v>
      </c>
      <c r="D2944" s="1" t="s">
        <v>37</v>
      </c>
      <c r="E2944" s="1">
        <v>15</v>
      </c>
      <c r="F2944" s="1">
        <v>335.61</v>
      </c>
      <c r="G2944" s="1">
        <v>6.63</v>
      </c>
      <c r="H2944">
        <f t="shared" si="45"/>
        <v>5034.1500000000005</v>
      </c>
    </row>
    <row r="2945" spans="1:8" x14ac:dyDescent="0.25">
      <c r="A2945" s="1" t="s">
        <v>2958</v>
      </c>
      <c r="B2945" s="5">
        <v>45780.625</v>
      </c>
      <c r="C2945" s="1" t="s">
        <v>8</v>
      </c>
      <c r="D2945" s="1" t="s">
        <v>37</v>
      </c>
      <c r="E2945" s="1">
        <v>3</v>
      </c>
      <c r="F2945" s="1">
        <v>315.39</v>
      </c>
      <c r="G2945" s="1">
        <v>47.88</v>
      </c>
      <c r="H2945">
        <f t="shared" si="45"/>
        <v>946.17</v>
      </c>
    </row>
    <row r="2946" spans="1:8" x14ac:dyDescent="0.25">
      <c r="A2946" s="1" t="s">
        <v>2959</v>
      </c>
      <c r="B2946" s="5">
        <v>45780.666666666664</v>
      </c>
      <c r="C2946" s="1" t="s">
        <v>11</v>
      </c>
      <c r="D2946" s="1" t="s">
        <v>9</v>
      </c>
      <c r="E2946" s="1">
        <v>1</v>
      </c>
      <c r="F2946" s="1">
        <v>199.44</v>
      </c>
      <c r="G2946" s="1">
        <v>30.7</v>
      </c>
      <c r="H2946">
        <f t="shared" ref="H2946:H3009" si="46">E2946*F2946</f>
        <v>199.44</v>
      </c>
    </row>
    <row r="2947" spans="1:8" x14ac:dyDescent="0.25">
      <c r="A2947" s="1" t="s">
        <v>2960</v>
      </c>
      <c r="B2947" s="5">
        <v>45780.708333333336</v>
      </c>
      <c r="C2947" s="1" t="s">
        <v>23</v>
      </c>
      <c r="D2947" s="1" t="s">
        <v>9</v>
      </c>
      <c r="E2947" s="1">
        <v>19</v>
      </c>
      <c r="F2947" s="1">
        <v>416.67</v>
      </c>
      <c r="G2947" s="1">
        <v>18.8</v>
      </c>
      <c r="H2947">
        <f t="shared" si="46"/>
        <v>7916.7300000000005</v>
      </c>
    </row>
    <row r="2948" spans="1:8" x14ac:dyDescent="0.25">
      <c r="A2948" s="1" t="s">
        <v>2961</v>
      </c>
      <c r="B2948" s="5">
        <v>45780.75</v>
      </c>
      <c r="C2948" s="1" t="s">
        <v>13</v>
      </c>
      <c r="D2948" s="1" t="s">
        <v>9</v>
      </c>
      <c r="E2948" s="1">
        <v>14</v>
      </c>
      <c r="F2948" s="1">
        <v>47.18</v>
      </c>
      <c r="G2948" s="1">
        <v>22.04</v>
      </c>
      <c r="H2948">
        <f t="shared" si="46"/>
        <v>660.52</v>
      </c>
    </row>
    <row r="2949" spans="1:8" x14ac:dyDescent="0.25">
      <c r="A2949" s="1" t="s">
        <v>2962</v>
      </c>
      <c r="B2949" s="5">
        <v>45780.791666666664</v>
      </c>
      <c r="C2949" s="1" t="s">
        <v>23</v>
      </c>
      <c r="D2949" s="1" t="s">
        <v>9</v>
      </c>
      <c r="E2949" s="1">
        <v>17</v>
      </c>
      <c r="F2949" s="1">
        <v>364.52</v>
      </c>
      <c r="G2949" s="1">
        <v>37.17</v>
      </c>
      <c r="H2949">
        <f t="shared" si="46"/>
        <v>6196.84</v>
      </c>
    </row>
    <row r="2950" spans="1:8" x14ac:dyDescent="0.25">
      <c r="A2950" s="1" t="s">
        <v>2963</v>
      </c>
      <c r="B2950" s="5">
        <v>45780.833333333336</v>
      </c>
      <c r="C2950" s="1" t="s">
        <v>23</v>
      </c>
      <c r="D2950" s="1" t="s">
        <v>9</v>
      </c>
      <c r="E2950" s="1">
        <v>14</v>
      </c>
      <c r="F2950" s="1">
        <v>109.02</v>
      </c>
      <c r="G2950" s="1">
        <v>21.49</v>
      </c>
      <c r="H2950">
        <f t="shared" si="46"/>
        <v>1526.28</v>
      </c>
    </row>
    <row r="2951" spans="1:8" x14ac:dyDescent="0.25">
      <c r="A2951" s="1" t="s">
        <v>2964</v>
      </c>
      <c r="B2951" s="5">
        <v>45780.875</v>
      </c>
      <c r="C2951" s="1" t="s">
        <v>11</v>
      </c>
      <c r="D2951" s="1" t="s">
        <v>16</v>
      </c>
      <c r="E2951" s="1">
        <v>17</v>
      </c>
      <c r="F2951" s="1">
        <v>156.29</v>
      </c>
      <c r="G2951" s="1">
        <v>15.25</v>
      </c>
      <c r="H2951">
        <f t="shared" si="46"/>
        <v>2656.93</v>
      </c>
    </row>
    <row r="2952" spans="1:8" x14ac:dyDescent="0.25">
      <c r="A2952" s="1" t="s">
        <v>2965</v>
      </c>
      <c r="B2952" s="5">
        <v>45780.916666666664</v>
      </c>
      <c r="C2952" s="1" t="s">
        <v>23</v>
      </c>
      <c r="D2952" s="1" t="s">
        <v>9</v>
      </c>
      <c r="E2952" s="1">
        <v>14</v>
      </c>
      <c r="F2952" s="1">
        <v>241.19</v>
      </c>
      <c r="G2952" s="1">
        <v>9.58</v>
      </c>
      <c r="H2952">
        <f t="shared" si="46"/>
        <v>3376.66</v>
      </c>
    </row>
    <row r="2953" spans="1:8" x14ac:dyDescent="0.25">
      <c r="A2953" s="1" t="s">
        <v>2966</v>
      </c>
      <c r="B2953" s="5">
        <v>45780.958333333336</v>
      </c>
      <c r="C2953" s="1" t="s">
        <v>8</v>
      </c>
      <c r="D2953" s="1" t="s">
        <v>9</v>
      </c>
      <c r="E2953" s="1">
        <v>12</v>
      </c>
      <c r="F2953" s="1">
        <v>355.56</v>
      </c>
      <c r="G2953" s="1">
        <v>37.799999999999997</v>
      </c>
      <c r="H2953">
        <f t="shared" si="46"/>
        <v>4266.72</v>
      </c>
    </row>
    <row r="2954" spans="1:8" x14ac:dyDescent="0.25">
      <c r="A2954" s="1" t="s">
        <v>2967</v>
      </c>
      <c r="B2954" s="5">
        <v>45781</v>
      </c>
      <c r="C2954" s="1" t="s">
        <v>23</v>
      </c>
      <c r="D2954" s="1" t="s">
        <v>9</v>
      </c>
      <c r="E2954" s="1">
        <v>16</v>
      </c>
      <c r="F2954" s="1">
        <v>379.84</v>
      </c>
      <c r="G2954" s="1">
        <v>13.13</v>
      </c>
      <c r="H2954">
        <f t="shared" si="46"/>
        <v>6077.44</v>
      </c>
    </row>
    <row r="2955" spans="1:8" x14ac:dyDescent="0.25">
      <c r="A2955" s="1" t="s">
        <v>2968</v>
      </c>
      <c r="B2955" s="5">
        <v>45781.041666666664</v>
      </c>
      <c r="C2955" s="1" t="s">
        <v>23</v>
      </c>
      <c r="D2955" s="1" t="s">
        <v>9</v>
      </c>
      <c r="E2955" s="1">
        <v>1</v>
      </c>
      <c r="F2955" s="1">
        <v>269.13</v>
      </c>
      <c r="G2955" s="1">
        <v>8.1300000000000008</v>
      </c>
      <c r="H2955">
        <f t="shared" si="46"/>
        <v>269.13</v>
      </c>
    </row>
    <row r="2956" spans="1:8" x14ac:dyDescent="0.25">
      <c r="A2956" s="1" t="s">
        <v>2969</v>
      </c>
      <c r="B2956" s="5">
        <v>45781.083333333336</v>
      </c>
      <c r="C2956" s="1" t="s">
        <v>23</v>
      </c>
      <c r="D2956" s="1" t="s">
        <v>37</v>
      </c>
      <c r="E2956" s="1">
        <v>13</v>
      </c>
      <c r="F2956" s="1">
        <v>190.62</v>
      </c>
      <c r="G2956" s="1">
        <v>24.21</v>
      </c>
      <c r="H2956">
        <f t="shared" si="46"/>
        <v>2478.06</v>
      </c>
    </row>
    <row r="2957" spans="1:8" x14ac:dyDescent="0.25">
      <c r="A2957" s="1" t="s">
        <v>2970</v>
      </c>
      <c r="B2957" s="5">
        <v>45781.125</v>
      </c>
      <c r="C2957" s="1" t="s">
        <v>13</v>
      </c>
      <c r="D2957" s="1" t="s">
        <v>9</v>
      </c>
      <c r="E2957" s="1">
        <v>6</v>
      </c>
      <c r="F2957" s="1">
        <v>426.76</v>
      </c>
      <c r="G2957" s="1">
        <v>6.78</v>
      </c>
      <c r="H2957">
        <f t="shared" si="46"/>
        <v>2560.56</v>
      </c>
    </row>
    <row r="2958" spans="1:8" x14ac:dyDescent="0.25">
      <c r="A2958" s="1" t="s">
        <v>2971</v>
      </c>
      <c r="B2958" s="5">
        <v>45781.166666666664</v>
      </c>
      <c r="C2958" s="1" t="s">
        <v>13</v>
      </c>
      <c r="D2958" s="1" t="s">
        <v>16</v>
      </c>
      <c r="E2958" s="1">
        <v>17</v>
      </c>
      <c r="F2958" s="1">
        <v>122.61</v>
      </c>
      <c r="G2958" s="1">
        <v>48.42</v>
      </c>
      <c r="H2958">
        <f t="shared" si="46"/>
        <v>2084.37</v>
      </c>
    </row>
    <row r="2959" spans="1:8" x14ac:dyDescent="0.25">
      <c r="A2959" s="1" t="s">
        <v>2972</v>
      </c>
      <c r="B2959" s="5">
        <v>45781.208333333336</v>
      </c>
      <c r="C2959" s="1" t="s">
        <v>8</v>
      </c>
      <c r="D2959" s="1" t="s">
        <v>16</v>
      </c>
      <c r="E2959" s="1">
        <v>12</v>
      </c>
      <c r="F2959" s="1">
        <v>364.44</v>
      </c>
      <c r="G2959" s="1">
        <v>33.229999999999997</v>
      </c>
      <c r="H2959">
        <f t="shared" si="46"/>
        <v>4373.28</v>
      </c>
    </row>
    <row r="2960" spans="1:8" x14ac:dyDescent="0.25">
      <c r="A2960" s="1" t="s">
        <v>2973</v>
      </c>
      <c r="B2960" s="5">
        <v>45781.25</v>
      </c>
      <c r="C2960" s="1" t="s">
        <v>8</v>
      </c>
      <c r="D2960" s="1" t="s">
        <v>16</v>
      </c>
      <c r="E2960" s="1">
        <v>19</v>
      </c>
      <c r="F2960" s="1">
        <v>281.44</v>
      </c>
      <c r="G2960" s="1">
        <v>11.87</v>
      </c>
      <c r="H2960">
        <f t="shared" si="46"/>
        <v>5347.36</v>
      </c>
    </row>
    <row r="2961" spans="1:8" x14ac:dyDescent="0.25">
      <c r="A2961" s="1" t="s">
        <v>2974</v>
      </c>
      <c r="B2961" s="5">
        <v>45781.291666666664</v>
      </c>
      <c r="C2961" s="1" t="s">
        <v>13</v>
      </c>
      <c r="D2961" s="1" t="s">
        <v>19</v>
      </c>
      <c r="E2961" s="1">
        <v>6</v>
      </c>
      <c r="F2961" s="1">
        <v>179.26</v>
      </c>
      <c r="G2961" s="1">
        <v>12.76</v>
      </c>
      <c r="H2961">
        <f t="shared" si="46"/>
        <v>1075.56</v>
      </c>
    </row>
    <row r="2962" spans="1:8" x14ac:dyDescent="0.25">
      <c r="A2962" s="1" t="s">
        <v>2975</v>
      </c>
      <c r="B2962" s="5">
        <v>45781.333333333336</v>
      </c>
      <c r="C2962" s="1" t="s">
        <v>8</v>
      </c>
      <c r="D2962" s="1" t="s">
        <v>37</v>
      </c>
      <c r="E2962" s="1">
        <v>7</v>
      </c>
      <c r="F2962" s="1">
        <v>16.09</v>
      </c>
      <c r="G2962" s="1">
        <v>30.64</v>
      </c>
      <c r="H2962">
        <f t="shared" si="46"/>
        <v>112.63</v>
      </c>
    </row>
    <row r="2963" spans="1:8" x14ac:dyDescent="0.25">
      <c r="A2963" s="1" t="s">
        <v>2976</v>
      </c>
      <c r="B2963" s="5">
        <v>45781.375</v>
      </c>
      <c r="C2963" s="1" t="s">
        <v>13</v>
      </c>
      <c r="D2963" s="1" t="s">
        <v>9</v>
      </c>
      <c r="E2963" s="1">
        <v>1</v>
      </c>
      <c r="F2963" s="1">
        <v>209.55</v>
      </c>
      <c r="G2963" s="1">
        <v>21.05</v>
      </c>
      <c r="H2963">
        <f t="shared" si="46"/>
        <v>209.55</v>
      </c>
    </row>
    <row r="2964" spans="1:8" x14ac:dyDescent="0.25">
      <c r="A2964" s="1" t="s">
        <v>2977</v>
      </c>
      <c r="B2964" s="5">
        <v>45781.416666666664</v>
      </c>
      <c r="C2964" s="1" t="s">
        <v>11</v>
      </c>
      <c r="D2964" s="1" t="s">
        <v>19</v>
      </c>
      <c r="E2964" s="1">
        <v>1</v>
      </c>
      <c r="F2964" s="1">
        <v>135.72999999999999</v>
      </c>
      <c r="G2964" s="1">
        <v>39.840000000000003</v>
      </c>
      <c r="H2964">
        <f t="shared" si="46"/>
        <v>135.72999999999999</v>
      </c>
    </row>
    <row r="2965" spans="1:8" x14ac:dyDescent="0.25">
      <c r="A2965" s="1" t="s">
        <v>2978</v>
      </c>
      <c r="B2965" s="5">
        <v>45781.458333333336</v>
      </c>
      <c r="C2965" s="1" t="s">
        <v>23</v>
      </c>
      <c r="D2965" s="1" t="s">
        <v>9</v>
      </c>
      <c r="E2965" s="1">
        <v>5</v>
      </c>
      <c r="F2965" s="1">
        <v>60.84</v>
      </c>
      <c r="G2965" s="1">
        <v>29.56</v>
      </c>
      <c r="H2965">
        <f t="shared" si="46"/>
        <v>304.20000000000005</v>
      </c>
    </row>
    <row r="2966" spans="1:8" x14ac:dyDescent="0.25">
      <c r="A2966" s="1" t="s">
        <v>2979</v>
      </c>
      <c r="B2966" s="5">
        <v>45781.5</v>
      </c>
      <c r="C2966" s="1" t="s">
        <v>23</v>
      </c>
      <c r="D2966" s="1" t="s">
        <v>19</v>
      </c>
      <c r="E2966" s="1">
        <v>6</v>
      </c>
      <c r="F2966" s="1">
        <v>48.16</v>
      </c>
      <c r="G2966" s="1">
        <v>24.5</v>
      </c>
      <c r="H2966">
        <f t="shared" si="46"/>
        <v>288.95999999999998</v>
      </c>
    </row>
    <row r="2967" spans="1:8" x14ac:dyDescent="0.25">
      <c r="A2967" s="1" t="s">
        <v>2980</v>
      </c>
      <c r="B2967" s="5">
        <v>45781.541666666664</v>
      </c>
      <c r="C2967" s="1" t="s">
        <v>8</v>
      </c>
      <c r="D2967" s="1" t="s">
        <v>19</v>
      </c>
      <c r="E2967" s="1">
        <v>16</v>
      </c>
      <c r="F2967" s="1">
        <v>166.51</v>
      </c>
      <c r="G2967" s="1">
        <v>48.33</v>
      </c>
      <c r="H2967">
        <f t="shared" si="46"/>
        <v>2664.16</v>
      </c>
    </row>
    <row r="2968" spans="1:8" x14ac:dyDescent="0.25">
      <c r="A2968" s="1" t="s">
        <v>2981</v>
      </c>
      <c r="B2968" s="5">
        <v>45781.583333333336</v>
      </c>
      <c r="C2968" s="1" t="s">
        <v>13</v>
      </c>
      <c r="D2968" s="1" t="s">
        <v>16</v>
      </c>
      <c r="E2968" s="1">
        <v>16</v>
      </c>
      <c r="F2968" s="1">
        <v>282.61</v>
      </c>
      <c r="G2968" s="1">
        <v>22.58</v>
      </c>
      <c r="H2968">
        <f t="shared" si="46"/>
        <v>4521.76</v>
      </c>
    </row>
    <row r="2969" spans="1:8" x14ac:dyDescent="0.25">
      <c r="A2969" s="1" t="s">
        <v>2982</v>
      </c>
      <c r="B2969" s="5">
        <v>45781.625</v>
      </c>
      <c r="C2969" s="1" t="s">
        <v>13</v>
      </c>
      <c r="D2969" s="1" t="s">
        <v>16</v>
      </c>
      <c r="E2969" s="1">
        <v>14</v>
      </c>
      <c r="F2969" s="1">
        <v>379.4</v>
      </c>
      <c r="G2969" s="1">
        <v>23.03</v>
      </c>
      <c r="H2969">
        <f t="shared" si="46"/>
        <v>5311.5999999999995</v>
      </c>
    </row>
    <row r="2970" spans="1:8" x14ac:dyDescent="0.25">
      <c r="A2970" s="1" t="s">
        <v>2983</v>
      </c>
      <c r="B2970" s="5">
        <v>45781.666666666664</v>
      </c>
      <c r="C2970" s="1" t="s">
        <v>8</v>
      </c>
      <c r="D2970" s="1" t="s">
        <v>19</v>
      </c>
      <c r="E2970" s="1">
        <v>1</v>
      </c>
      <c r="F2970" s="1">
        <v>95.26</v>
      </c>
      <c r="G2970" s="1">
        <v>34.96</v>
      </c>
      <c r="H2970">
        <f t="shared" si="46"/>
        <v>95.26</v>
      </c>
    </row>
    <row r="2971" spans="1:8" x14ac:dyDescent="0.25">
      <c r="A2971" s="1" t="s">
        <v>2984</v>
      </c>
      <c r="B2971" s="5">
        <v>45781.708333333336</v>
      </c>
      <c r="C2971" s="1" t="s">
        <v>13</v>
      </c>
      <c r="D2971" s="1" t="s">
        <v>16</v>
      </c>
      <c r="E2971" s="1">
        <v>13</v>
      </c>
      <c r="F2971" s="1">
        <v>200.01</v>
      </c>
      <c r="G2971" s="1">
        <v>41.43</v>
      </c>
      <c r="H2971">
        <f t="shared" si="46"/>
        <v>2600.13</v>
      </c>
    </row>
    <row r="2972" spans="1:8" x14ac:dyDescent="0.25">
      <c r="A2972" s="1" t="s">
        <v>2985</v>
      </c>
      <c r="B2972" s="5">
        <v>45781.75</v>
      </c>
      <c r="C2972" s="1" t="s">
        <v>11</v>
      </c>
      <c r="D2972" s="1" t="s">
        <v>19</v>
      </c>
      <c r="E2972" s="1">
        <v>10</v>
      </c>
      <c r="F2972" s="1">
        <v>185.8</v>
      </c>
      <c r="G2972" s="1">
        <v>33.18</v>
      </c>
      <c r="H2972">
        <f t="shared" si="46"/>
        <v>1858</v>
      </c>
    </row>
    <row r="2973" spans="1:8" x14ac:dyDescent="0.25">
      <c r="A2973" s="1" t="s">
        <v>2986</v>
      </c>
      <c r="B2973" s="5">
        <v>45781.791666666664</v>
      </c>
      <c r="C2973" s="1" t="s">
        <v>23</v>
      </c>
      <c r="D2973" s="1" t="s">
        <v>37</v>
      </c>
      <c r="E2973" s="1">
        <v>10</v>
      </c>
      <c r="F2973" s="1">
        <v>238.57</v>
      </c>
      <c r="G2973" s="1">
        <v>36.44</v>
      </c>
      <c r="H2973">
        <f t="shared" si="46"/>
        <v>2385.6999999999998</v>
      </c>
    </row>
    <row r="2974" spans="1:8" x14ac:dyDescent="0.25">
      <c r="A2974" s="1" t="s">
        <v>2987</v>
      </c>
      <c r="B2974" s="5">
        <v>45781.833333333336</v>
      </c>
      <c r="C2974" s="1" t="s">
        <v>8</v>
      </c>
      <c r="D2974" s="1" t="s">
        <v>16</v>
      </c>
      <c r="E2974" s="1">
        <v>9</v>
      </c>
      <c r="F2974" s="1">
        <v>367.27</v>
      </c>
      <c r="G2974" s="1">
        <v>21.78</v>
      </c>
      <c r="H2974">
        <f t="shared" si="46"/>
        <v>3305.43</v>
      </c>
    </row>
    <row r="2975" spans="1:8" x14ac:dyDescent="0.25">
      <c r="A2975" s="1" t="s">
        <v>2988</v>
      </c>
      <c r="B2975" s="5">
        <v>45781.875</v>
      </c>
      <c r="C2975" s="1" t="s">
        <v>8</v>
      </c>
      <c r="D2975" s="1" t="s">
        <v>16</v>
      </c>
      <c r="E2975" s="1">
        <v>13</v>
      </c>
      <c r="F2975" s="1">
        <v>256.06</v>
      </c>
      <c r="G2975" s="1">
        <v>26.58</v>
      </c>
      <c r="H2975">
        <f t="shared" si="46"/>
        <v>3328.78</v>
      </c>
    </row>
    <row r="2976" spans="1:8" x14ac:dyDescent="0.25">
      <c r="A2976" s="1" t="s">
        <v>2989</v>
      </c>
      <c r="B2976" s="5">
        <v>45781.916666666664</v>
      </c>
      <c r="C2976" s="1" t="s">
        <v>13</v>
      </c>
      <c r="D2976" s="1" t="s">
        <v>16</v>
      </c>
      <c r="E2976" s="1">
        <v>3</v>
      </c>
      <c r="F2976" s="1">
        <v>383.37</v>
      </c>
      <c r="G2976" s="1">
        <v>13.87</v>
      </c>
      <c r="H2976">
        <f t="shared" si="46"/>
        <v>1150.1100000000001</v>
      </c>
    </row>
    <row r="2977" spans="1:8" x14ac:dyDescent="0.25">
      <c r="A2977" s="1" t="s">
        <v>2990</v>
      </c>
      <c r="B2977" s="5">
        <v>45781.958333333336</v>
      </c>
      <c r="C2977" s="1" t="s">
        <v>8</v>
      </c>
      <c r="D2977" s="1" t="s">
        <v>37</v>
      </c>
      <c r="E2977" s="1">
        <v>18</v>
      </c>
      <c r="F2977" s="1">
        <v>240.81</v>
      </c>
      <c r="G2977" s="1">
        <v>35.61</v>
      </c>
      <c r="H2977">
        <f t="shared" si="46"/>
        <v>4334.58</v>
      </c>
    </row>
    <row r="2978" spans="1:8" x14ac:dyDescent="0.25">
      <c r="A2978" s="1" t="s">
        <v>2991</v>
      </c>
      <c r="B2978" s="5">
        <v>45782</v>
      </c>
      <c r="C2978" s="1" t="s">
        <v>11</v>
      </c>
      <c r="D2978" s="1" t="s">
        <v>19</v>
      </c>
      <c r="E2978" s="1">
        <v>2</v>
      </c>
      <c r="F2978" s="1">
        <v>277.87</v>
      </c>
      <c r="G2978" s="1">
        <v>14.97</v>
      </c>
      <c r="H2978">
        <f t="shared" si="46"/>
        <v>555.74</v>
      </c>
    </row>
    <row r="2979" spans="1:8" x14ac:dyDescent="0.25">
      <c r="A2979" s="1" t="s">
        <v>2992</v>
      </c>
      <c r="B2979" s="5">
        <v>45782.041666666664</v>
      </c>
      <c r="C2979" s="1" t="s">
        <v>13</v>
      </c>
      <c r="D2979" s="1" t="s">
        <v>9</v>
      </c>
      <c r="E2979" s="1">
        <v>17</v>
      </c>
      <c r="F2979" s="1">
        <v>205.54</v>
      </c>
      <c r="G2979" s="1">
        <v>5.0599999999999996</v>
      </c>
      <c r="H2979">
        <f t="shared" si="46"/>
        <v>3494.18</v>
      </c>
    </row>
    <row r="2980" spans="1:8" x14ac:dyDescent="0.25">
      <c r="A2980" s="1" t="s">
        <v>2993</v>
      </c>
      <c r="B2980" s="5">
        <v>45782.083333333336</v>
      </c>
      <c r="C2980" s="1" t="s">
        <v>13</v>
      </c>
      <c r="D2980" s="1" t="s">
        <v>16</v>
      </c>
      <c r="E2980" s="1">
        <v>19</v>
      </c>
      <c r="F2980" s="1">
        <v>373.14</v>
      </c>
      <c r="G2980" s="1">
        <v>47.02</v>
      </c>
      <c r="H2980">
        <f t="shared" si="46"/>
        <v>7089.66</v>
      </c>
    </row>
    <row r="2981" spans="1:8" x14ac:dyDescent="0.25">
      <c r="A2981" s="1" t="s">
        <v>2994</v>
      </c>
      <c r="B2981" s="5">
        <v>45782.125</v>
      </c>
      <c r="C2981" s="1" t="s">
        <v>13</v>
      </c>
      <c r="D2981" s="1" t="s">
        <v>19</v>
      </c>
      <c r="E2981" s="1">
        <v>13</v>
      </c>
      <c r="F2981" s="1">
        <v>416.9</v>
      </c>
      <c r="G2981" s="1">
        <v>18.77</v>
      </c>
      <c r="H2981">
        <f t="shared" si="46"/>
        <v>5419.7</v>
      </c>
    </row>
    <row r="2982" spans="1:8" x14ac:dyDescent="0.25">
      <c r="A2982" s="1" t="s">
        <v>2995</v>
      </c>
      <c r="B2982" s="5">
        <v>45782.166666666664</v>
      </c>
      <c r="C2982" s="1" t="s">
        <v>13</v>
      </c>
      <c r="D2982" s="1" t="s">
        <v>37</v>
      </c>
      <c r="E2982" s="1">
        <v>13</v>
      </c>
      <c r="F2982" s="1">
        <v>293.20999999999998</v>
      </c>
      <c r="G2982" s="1">
        <v>13.85</v>
      </c>
      <c r="H2982">
        <f t="shared" si="46"/>
        <v>3811.7299999999996</v>
      </c>
    </row>
    <row r="2983" spans="1:8" x14ac:dyDescent="0.25">
      <c r="A2983" s="1" t="s">
        <v>2996</v>
      </c>
      <c r="B2983" s="5">
        <v>45782.208333333336</v>
      </c>
      <c r="C2983" s="1" t="s">
        <v>11</v>
      </c>
      <c r="D2983" s="1" t="s">
        <v>9</v>
      </c>
      <c r="E2983" s="1">
        <v>1</v>
      </c>
      <c r="F2983" s="1">
        <v>372.13</v>
      </c>
      <c r="G2983" s="1">
        <v>17.07</v>
      </c>
      <c r="H2983">
        <f t="shared" si="46"/>
        <v>372.13</v>
      </c>
    </row>
    <row r="2984" spans="1:8" x14ac:dyDescent="0.25">
      <c r="A2984" s="1" t="s">
        <v>2997</v>
      </c>
      <c r="B2984" s="5">
        <v>45782.25</v>
      </c>
      <c r="C2984" s="1" t="s">
        <v>13</v>
      </c>
      <c r="D2984" s="1" t="s">
        <v>16</v>
      </c>
      <c r="E2984" s="1">
        <v>2</v>
      </c>
      <c r="F2984" s="1">
        <v>41.14</v>
      </c>
      <c r="G2984" s="1">
        <v>19.87</v>
      </c>
      <c r="H2984">
        <f t="shared" si="46"/>
        <v>82.28</v>
      </c>
    </row>
    <row r="2985" spans="1:8" x14ac:dyDescent="0.25">
      <c r="A2985" s="1" t="s">
        <v>2998</v>
      </c>
      <c r="B2985" s="5">
        <v>45782.291666666664</v>
      </c>
      <c r="C2985" s="1" t="s">
        <v>8</v>
      </c>
      <c r="D2985" s="1" t="s">
        <v>37</v>
      </c>
      <c r="E2985" s="1">
        <v>1</v>
      </c>
      <c r="F2985" s="1">
        <v>409.21</v>
      </c>
      <c r="G2985" s="1">
        <v>26.35</v>
      </c>
      <c r="H2985">
        <f t="shared" si="46"/>
        <v>409.21</v>
      </c>
    </row>
    <row r="2986" spans="1:8" x14ac:dyDescent="0.25">
      <c r="A2986" s="1" t="s">
        <v>2999</v>
      </c>
      <c r="B2986" s="5">
        <v>45782.333333333336</v>
      </c>
      <c r="C2986" s="1" t="s">
        <v>11</v>
      </c>
      <c r="D2986" s="1" t="s">
        <v>37</v>
      </c>
      <c r="E2986" s="1">
        <v>5</v>
      </c>
      <c r="F2986" s="1">
        <v>97.59</v>
      </c>
      <c r="G2986" s="1">
        <v>8.1199999999999992</v>
      </c>
      <c r="H2986">
        <f t="shared" si="46"/>
        <v>487.95000000000005</v>
      </c>
    </row>
    <row r="2987" spans="1:8" x14ac:dyDescent="0.25">
      <c r="A2987" s="1" t="s">
        <v>3000</v>
      </c>
      <c r="B2987" s="5">
        <v>45782.375</v>
      </c>
      <c r="C2987" s="1" t="s">
        <v>23</v>
      </c>
      <c r="D2987" s="1" t="s">
        <v>9</v>
      </c>
      <c r="E2987" s="1">
        <v>3</v>
      </c>
      <c r="F2987" s="1">
        <v>126.96</v>
      </c>
      <c r="G2987" s="1">
        <v>7.37</v>
      </c>
      <c r="H2987">
        <f t="shared" si="46"/>
        <v>380.88</v>
      </c>
    </row>
    <row r="2988" spans="1:8" x14ac:dyDescent="0.25">
      <c r="A2988" s="1" t="s">
        <v>3001</v>
      </c>
      <c r="B2988" s="5">
        <v>45782.416666666664</v>
      </c>
      <c r="C2988" s="1" t="s">
        <v>23</v>
      </c>
      <c r="D2988" s="1" t="s">
        <v>19</v>
      </c>
      <c r="E2988" s="1">
        <v>7</v>
      </c>
      <c r="F2988" s="1">
        <v>38.67</v>
      </c>
      <c r="G2988" s="1">
        <v>18.18</v>
      </c>
      <c r="H2988">
        <f t="shared" si="46"/>
        <v>270.69</v>
      </c>
    </row>
    <row r="2989" spans="1:8" x14ac:dyDescent="0.25">
      <c r="A2989" s="1" t="s">
        <v>3002</v>
      </c>
      <c r="B2989" s="5">
        <v>45782.458333333336</v>
      </c>
      <c r="C2989" s="1" t="s">
        <v>8</v>
      </c>
      <c r="D2989" s="1" t="s">
        <v>16</v>
      </c>
      <c r="E2989" s="1">
        <v>13</v>
      </c>
      <c r="F2989" s="1">
        <v>434.97</v>
      </c>
      <c r="G2989" s="1">
        <v>18.309999999999999</v>
      </c>
      <c r="H2989">
        <f t="shared" si="46"/>
        <v>5654.6100000000006</v>
      </c>
    </row>
    <row r="2990" spans="1:8" x14ac:dyDescent="0.25">
      <c r="A2990" s="1" t="s">
        <v>3003</v>
      </c>
      <c r="B2990" s="5">
        <v>45782.5</v>
      </c>
      <c r="C2990" s="1" t="s">
        <v>8</v>
      </c>
      <c r="D2990" s="1" t="s">
        <v>16</v>
      </c>
      <c r="E2990" s="1">
        <v>18</v>
      </c>
      <c r="F2990" s="1">
        <v>385.7</v>
      </c>
      <c r="G2990" s="1">
        <v>10.29</v>
      </c>
      <c r="H2990">
        <f t="shared" si="46"/>
        <v>6942.5999999999995</v>
      </c>
    </row>
    <row r="2991" spans="1:8" x14ac:dyDescent="0.25">
      <c r="A2991" s="1" t="s">
        <v>3004</v>
      </c>
      <c r="B2991" s="5">
        <v>45782.541666666664</v>
      </c>
      <c r="C2991" s="1" t="s">
        <v>11</v>
      </c>
      <c r="D2991" s="1" t="s">
        <v>19</v>
      </c>
      <c r="E2991" s="1">
        <v>7</v>
      </c>
      <c r="F2991" s="1">
        <v>412.28</v>
      </c>
      <c r="G2991" s="1">
        <v>23.22</v>
      </c>
      <c r="H2991">
        <f t="shared" si="46"/>
        <v>2885.96</v>
      </c>
    </row>
    <row r="2992" spans="1:8" x14ac:dyDescent="0.25">
      <c r="A2992" s="1" t="s">
        <v>3005</v>
      </c>
      <c r="B2992" s="5">
        <v>45782.583333333336</v>
      </c>
      <c r="C2992" s="1" t="s">
        <v>23</v>
      </c>
      <c r="D2992" s="1" t="s">
        <v>19</v>
      </c>
      <c r="E2992" s="1">
        <v>1</v>
      </c>
      <c r="F2992" s="1">
        <v>383.62</v>
      </c>
      <c r="G2992" s="1">
        <v>17.78</v>
      </c>
      <c r="H2992">
        <f t="shared" si="46"/>
        <v>383.62</v>
      </c>
    </row>
    <row r="2993" spans="1:8" x14ac:dyDescent="0.25">
      <c r="A2993" s="1" t="s">
        <v>3006</v>
      </c>
      <c r="B2993" s="5">
        <v>45782.625</v>
      </c>
      <c r="C2993" s="1" t="s">
        <v>23</v>
      </c>
      <c r="D2993" s="1" t="s">
        <v>19</v>
      </c>
      <c r="E2993" s="1">
        <v>5</v>
      </c>
      <c r="F2993" s="1">
        <v>223.86</v>
      </c>
      <c r="G2993" s="1">
        <v>6.17</v>
      </c>
      <c r="H2993">
        <f t="shared" si="46"/>
        <v>1119.3000000000002</v>
      </c>
    </row>
    <row r="2994" spans="1:8" x14ac:dyDescent="0.25">
      <c r="A2994" s="1" t="s">
        <v>3007</v>
      </c>
      <c r="B2994" s="5">
        <v>45782.666666666664</v>
      </c>
      <c r="C2994" s="1" t="s">
        <v>23</v>
      </c>
      <c r="D2994" s="1" t="s">
        <v>9</v>
      </c>
      <c r="E2994" s="1">
        <v>17</v>
      </c>
      <c r="F2994" s="1">
        <v>417.01</v>
      </c>
      <c r="G2994" s="1">
        <v>44.86</v>
      </c>
      <c r="H2994">
        <f t="shared" si="46"/>
        <v>7089.17</v>
      </c>
    </row>
    <row r="2995" spans="1:8" x14ac:dyDescent="0.25">
      <c r="A2995" s="1" t="s">
        <v>3008</v>
      </c>
      <c r="B2995" s="5">
        <v>45782.708333333336</v>
      </c>
      <c r="C2995" s="1" t="s">
        <v>23</v>
      </c>
      <c r="D2995" s="1" t="s">
        <v>9</v>
      </c>
      <c r="E2995" s="1">
        <v>8</v>
      </c>
      <c r="F2995" s="1">
        <v>436.74</v>
      </c>
      <c r="G2995" s="1">
        <v>44.87</v>
      </c>
      <c r="H2995">
        <f t="shared" si="46"/>
        <v>3493.92</v>
      </c>
    </row>
    <row r="2996" spans="1:8" x14ac:dyDescent="0.25">
      <c r="A2996" s="1" t="s">
        <v>3009</v>
      </c>
      <c r="B2996" s="5">
        <v>45782.75</v>
      </c>
      <c r="C2996" s="1" t="s">
        <v>23</v>
      </c>
      <c r="D2996" s="1" t="s">
        <v>16</v>
      </c>
      <c r="E2996" s="1">
        <v>15</v>
      </c>
      <c r="F2996" s="1">
        <v>233.87</v>
      </c>
      <c r="G2996" s="1">
        <v>14.41</v>
      </c>
      <c r="H2996">
        <f t="shared" si="46"/>
        <v>3508.05</v>
      </c>
    </row>
    <row r="2997" spans="1:8" x14ac:dyDescent="0.25">
      <c r="A2997" s="1" t="s">
        <v>3010</v>
      </c>
      <c r="B2997" s="5">
        <v>45782.791666666664</v>
      </c>
      <c r="C2997" s="1" t="s">
        <v>13</v>
      </c>
      <c r="D2997" s="1" t="s">
        <v>9</v>
      </c>
      <c r="E2997" s="1">
        <v>4</v>
      </c>
      <c r="F2997" s="1">
        <v>91.81</v>
      </c>
      <c r="G2997" s="1">
        <v>12.33</v>
      </c>
      <c r="H2997">
        <f t="shared" si="46"/>
        <v>367.24</v>
      </c>
    </row>
    <row r="2998" spans="1:8" x14ac:dyDescent="0.25">
      <c r="A2998" s="1" t="s">
        <v>3011</v>
      </c>
      <c r="B2998" s="5">
        <v>45782.833333333336</v>
      </c>
      <c r="C2998" s="1" t="s">
        <v>8</v>
      </c>
      <c r="D2998" s="1" t="s">
        <v>37</v>
      </c>
      <c r="E2998" s="1">
        <v>2</v>
      </c>
      <c r="F2998" s="1">
        <v>301.67</v>
      </c>
      <c r="G2998" s="1">
        <v>29.63</v>
      </c>
      <c r="H2998">
        <f t="shared" si="46"/>
        <v>603.34</v>
      </c>
    </row>
    <row r="2999" spans="1:8" x14ac:dyDescent="0.25">
      <c r="A2999" s="1" t="s">
        <v>3012</v>
      </c>
      <c r="B2999" s="5">
        <v>45782.875</v>
      </c>
      <c r="C2999" s="1" t="s">
        <v>13</v>
      </c>
      <c r="D2999" s="1" t="s">
        <v>16</v>
      </c>
      <c r="E2999" s="1">
        <v>5</v>
      </c>
      <c r="F2999" s="1">
        <v>439.33</v>
      </c>
      <c r="G2999" s="1">
        <v>33.380000000000003</v>
      </c>
      <c r="H2999">
        <f t="shared" si="46"/>
        <v>2196.65</v>
      </c>
    </row>
    <row r="3000" spans="1:8" x14ac:dyDescent="0.25">
      <c r="A3000" s="1" t="s">
        <v>3013</v>
      </c>
      <c r="B3000" s="5">
        <v>45782.916666666664</v>
      </c>
      <c r="C3000" s="1" t="s">
        <v>23</v>
      </c>
      <c r="D3000" s="1" t="s">
        <v>9</v>
      </c>
      <c r="E3000" s="1">
        <v>1</v>
      </c>
      <c r="F3000" s="1">
        <v>394.45</v>
      </c>
      <c r="G3000" s="1">
        <v>48.09</v>
      </c>
      <c r="H3000">
        <f t="shared" si="46"/>
        <v>394.45</v>
      </c>
    </row>
    <row r="3001" spans="1:8" x14ac:dyDescent="0.25">
      <c r="A3001" s="1" t="s">
        <v>3014</v>
      </c>
      <c r="B3001" s="5">
        <v>45782.958333333336</v>
      </c>
      <c r="C3001" s="1" t="s">
        <v>11</v>
      </c>
      <c r="D3001" s="1" t="s">
        <v>19</v>
      </c>
      <c r="E3001" s="1">
        <v>5</v>
      </c>
      <c r="F3001" s="1">
        <v>389.96</v>
      </c>
      <c r="G3001" s="1">
        <v>21.98</v>
      </c>
      <c r="H3001">
        <f t="shared" si="46"/>
        <v>1949.8</v>
      </c>
    </row>
    <row r="3002" spans="1:8" x14ac:dyDescent="0.25">
      <c r="A3002" s="1" t="s">
        <v>3015</v>
      </c>
      <c r="B3002" s="5">
        <v>45783</v>
      </c>
      <c r="C3002" s="1" t="s">
        <v>11</v>
      </c>
      <c r="D3002" s="1" t="s">
        <v>37</v>
      </c>
      <c r="E3002" s="1">
        <v>6</v>
      </c>
      <c r="F3002" s="1">
        <v>421.24</v>
      </c>
      <c r="G3002" s="1">
        <v>32.82</v>
      </c>
      <c r="H3002">
        <f t="shared" si="46"/>
        <v>2527.44</v>
      </c>
    </row>
    <row r="3003" spans="1:8" x14ac:dyDescent="0.25">
      <c r="A3003" s="1" t="s">
        <v>3016</v>
      </c>
      <c r="B3003" s="5">
        <v>45783.041666666664</v>
      </c>
      <c r="C3003" s="1" t="s">
        <v>23</v>
      </c>
      <c r="D3003" s="1" t="s">
        <v>19</v>
      </c>
      <c r="E3003" s="1">
        <v>2</v>
      </c>
      <c r="F3003" s="1">
        <v>403.92</v>
      </c>
      <c r="G3003" s="1">
        <v>44.52</v>
      </c>
      <c r="H3003">
        <f t="shared" si="46"/>
        <v>807.84</v>
      </c>
    </row>
    <row r="3004" spans="1:8" x14ac:dyDescent="0.25">
      <c r="A3004" s="1" t="s">
        <v>3017</v>
      </c>
      <c r="B3004" s="5">
        <v>45783.083333333336</v>
      </c>
      <c r="C3004" s="1" t="s">
        <v>23</v>
      </c>
      <c r="D3004" s="1" t="s">
        <v>16</v>
      </c>
      <c r="E3004" s="1">
        <v>1</v>
      </c>
      <c r="F3004" s="1">
        <v>352.79</v>
      </c>
      <c r="G3004" s="1">
        <v>25.25</v>
      </c>
      <c r="H3004">
        <f t="shared" si="46"/>
        <v>352.79</v>
      </c>
    </row>
    <row r="3005" spans="1:8" x14ac:dyDescent="0.25">
      <c r="A3005" s="1" t="s">
        <v>3018</v>
      </c>
      <c r="B3005" s="5">
        <v>45783.125</v>
      </c>
      <c r="C3005" s="1" t="s">
        <v>11</v>
      </c>
      <c r="D3005" s="1" t="s">
        <v>19</v>
      </c>
      <c r="E3005" s="1">
        <v>4</v>
      </c>
      <c r="F3005" s="1">
        <v>327.58999999999997</v>
      </c>
      <c r="G3005" s="1">
        <v>10.51</v>
      </c>
      <c r="H3005">
        <f t="shared" si="46"/>
        <v>1310.3599999999999</v>
      </c>
    </row>
    <row r="3006" spans="1:8" x14ac:dyDescent="0.25">
      <c r="A3006" s="1" t="s">
        <v>3019</v>
      </c>
      <c r="B3006" s="5">
        <v>45783.166666666664</v>
      </c>
      <c r="C3006" s="1" t="s">
        <v>13</v>
      </c>
      <c r="D3006" s="1" t="s">
        <v>9</v>
      </c>
      <c r="E3006" s="1">
        <v>7</v>
      </c>
      <c r="F3006" s="1">
        <v>130.54</v>
      </c>
      <c r="G3006" s="1">
        <v>21.99</v>
      </c>
      <c r="H3006">
        <f t="shared" si="46"/>
        <v>913.78</v>
      </c>
    </row>
    <row r="3007" spans="1:8" x14ac:dyDescent="0.25">
      <c r="A3007" s="1" t="s">
        <v>3020</v>
      </c>
      <c r="B3007" s="5">
        <v>45783.208333333336</v>
      </c>
      <c r="C3007" s="1" t="s">
        <v>13</v>
      </c>
      <c r="D3007" s="1" t="s">
        <v>9</v>
      </c>
      <c r="E3007" s="1">
        <v>1</v>
      </c>
      <c r="F3007" s="1">
        <v>285.47000000000003</v>
      </c>
      <c r="G3007" s="1">
        <v>11.15</v>
      </c>
      <c r="H3007">
        <f t="shared" si="46"/>
        <v>285.47000000000003</v>
      </c>
    </row>
    <row r="3008" spans="1:8" x14ac:dyDescent="0.25">
      <c r="A3008" s="1" t="s">
        <v>3021</v>
      </c>
      <c r="B3008" s="5">
        <v>45783.25</v>
      </c>
      <c r="C3008" s="1" t="s">
        <v>23</v>
      </c>
      <c r="D3008" s="1" t="s">
        <v>16</v>
      </c>
      <c r="E3008" s="1">
        <v>1</v>
      </c>
      <c r="F3008" s="1">
        <v>242.09</v>
      </c>
      <c r="G3008" s="1">
        <v>5.75</v>
      </c>
      <c r="H3008">
        <f t="shared" si="46"/>
        <v>242.09</v>
      </c>
    </row>
    <row r="3009" spans="1:8" x14ac:dyDescent="0.25">
      <c r="A3009" s="1" t="s">
        <v>3022</v>
      </c>
      <c r="B3009" s="5">
        <v>45783.291666666664</v>
      </c>
      <c r="C3009" s="1" t="s">
        <v>13</v>
      </c>
      <c r="D3009" s="1" t="s">
        <v>19</v>
      </c>
      <c r="E3009" s="1">
        <v>8</v>
      </c>
      <c r="F3009" s="1">
        <v>390.01</v>
      </c>
      <c r="G3009" s="1">
        <v>38.82</v>
      </c>
      <c r="H3009">
        <f t="shared" si="46"/>
        <v>3120.08</v>
      </c>
    </row>
    <row r="3010" spans="1:8" x14ac:dyDescent="0.25">
      <c r="A3010" s="1" t="s">
        <v>3023</v>
      </c>
      <c r="B3010" s="5">
        <v>45783.333333333336</v>
      </c>
      <c r="C3010" s="1" t="s">
        <v>11</v>
      </c>
      <c r="D3010" s="1" t="s">
        <v>16</v>
      </c>
      <c r="E3010" s="1">
        <v>16</v>
      </c>
      <c r="F3010" s="1">
        <v>229.15</v>
      </c>
      <c r="G3010" s="1">
        <v>15.73</v>
      </c>
      <c r="H3010">
        <f t="shared" ref="H3010:H3073" si="47">E3010*F3010</f>
        <v>3666.4</v>
      </c>
    </row>
    <row r="3011" spans="1:8" x14ac:dyDescent="0.25">
      <c r="A3011" s="1" t="s">
        <v>3024</v>
      </c>
      <c r="B3011" s="5">
        <v>45783.375</v>
      </c>
      <c r="C3011" s="1" t="s">
        <v>13</v>
      </c>
      <c r="D3011" s="1" t="s">
        <v>19</v>
      </c>
      <c r="E3011" s="1">
        <v>13</v>
      </c>
      <c r="F3011" s="1">
        <v>71</v>
      </c>
      <c r="G3011" s="1">
        <v>5.09</v>
      </c>
      <c r="H3011">
        <f t="shared" si="47"/>
        <v>923</v>
      </c>
    </row>
    <row r="3012" spans="1:8" x14ac:dyDescent="0.25">
      <c r="A3012" s="1" t="s">
        <v>3025</v>
      </c>
      <c r="B3012" s="5">
        <v>45783.416666666664</v>
      </c>
      <c r="C3012" s="1" t="s">
        <v>23</v>
      </c>
      <c r="D3012" s="1" t="s">
        <v>37</v>
      </c>
      <c r="E3012" s="1">
        <v>18</v>
      </c>
      <c r="F3012" s="1">
        <v>17.66</v>
      </c>
      <c r="G3012" s="1">
        <v>44.26</v>
      </c>
      <c r="H3012">
        <f t="shared" si="47"/>
        <v>317.88</v>
      </c>
    </row>
    <row r="3013" spans="1:8" x14ac:dyDescent="0.25">
      <c r="A3013" s="1" t="s">
        <v>3026</v>
      </c>
      <c r="B3013" s="5">
        <v>45783.458333333336</v>
      </c>
      <c r="C3013" s="1" t="s">
        <v>11</v>
      </c>
      <c r="D3013" s="1" t="s">
        <v>9</v>
      </c>
      <c r="E3013" s="1">
        <v>10</v>
      </c>
      <c r="F3013" s="1">
        <v>310.04000000000002</v>
      </c>
      <c r="G3013" s="1">
        <v>24.97</v>
      </c>
      <c r="H3013">
        <f t="shared" si="47"/>
        <v>3100.4</v>
      </c>
    </row>
    <row r="3014" spans="1:8" x14ac:dyDescent="0.25">
      <c r="A3014" s="1" t="s">
        <v>3027</v>
      </c>
      <c r="B3014" s="5">
        <v>45783.5</v>
      </c>
      <c r="C3014" s="1" t="s">
        <v>13</v>
      </c>
      <c r="D3014" s="1" t="s">
        <v>16</v>
      </c>
      <c r="E3014" s="1">
        <v>12</v>
      </c>
      <c r="F3014" s="1">
        <v>254.44</v>
      </c>
      <c r="G3014" s="1">
        <v>15.75</v>
      </c>
      <c r="H3014">
        <f t="shared" si="47"/>
        <v>3053.2799999999997</v>
      </c>
    </row>
    <row r="3015" spans="1:8" x14ac:dyDescent="0.25">
      <c r="A3015" s="1" t="s">
        <v>3028</v>
      </c>
      <c r="B3015" s="5">
        <v>45783.541666666664</v>
      </c>
      <c r="C3015" s="1" t="s">
        <v>8</v>
      </c>
      <c r="D3015" s="1" t="s">
        <v>37</v>
      </c>
      <c r="E3015" s="1">
        <v>1</v>
      </c>
      <c r="F3015" s="1">
        <v>159.30000000000001</v>
      </c>
      <c r="G3015" s="1">
        <v>16.829999999999998</v>
      </c>
      <c r="H3015">
        <f t="shared" si="47"/>
        <v>159.30000000000001</v>
      </c>
    </row>
    <row r="3016" spans="1:8" x14ac:dyDescent="0.25">
      <c r="A3016" s="1" t="s">
        <v>3029</v>
      </c>
      <c r="B3016" s="5">
        <v>45783.583333333336</v>
      </c>
      <c r="C3016" s="1" t="s">
        <v>11</v>
      </c>
      <c r="D3016" s="1" t="s">
        <v>37</v>
      </c>
      <c r="E3016" s="1">
        <v>10</v>
      </c>
      <c r="F3016" s="1">
        <v>88.92</v>
      </c>
      <c r="G3016" s="1">
        <v>15.82</v>
      </c>
      <c r="H3016">
        <f t="shared" si="47"/>
        <v>889.2</v>
      </c>
    </row>
    <row r="3017" spans="1:8" x14ac:dyDescent="0.25">
      <c r="A3017" s="1" t="s">
        <v>3030</v>
      </c>
      <c r="B3017" s="5">
        <v>45783.625</v>
      </c>
      <c r="C3017" s="1" t="s">
        <v>11</v>
      </c>
      <c r="D3017" s="1" t="s">
        <v>16</v>
      </c>
      <c r="E3017" s="1">
        <v>9</v>
      </c>
      <c r="F3017" s="1">
        <v>218.29</v>
      </c>
      <c r="G3017" s="1">
        <v>13.76</v>
      </c>
      <c r="H3017">
        <f t="shared" si="47"/>
        <v>1964.61</v>
      </c>
    </row>
    <row r="3018" spans="1:8" x14ac:dyDescent="0.25">
      <c r="A3018" s="1" t="s">
        <v>3031</v>
      </c>
      <c r="B3018" s="5">
        <v>45783.666666666664</v>
      </c>
      <c r="C3018" s="1" t="s">
        <v>8</v>
      </c>
      <c r="D3018" s="1" t="s">
        <v>16</v>
      </c>
      <c r="E3018" s="1">
        <v>3</v>
      </c>
      <c r="F3018" s="1">
        <v>59.07</v>
      </c>
      <c r="G3018" s="1">
        <v>42.86</v>
      </c>
      <c r="H3018">
        <f t="shared" si="47"/>
        <v>177.21</v>
      </c>
    </row>
    <row r="3019" spans="1:8" x14ac:dyDescent="0.25">
      <c r="A3019" s="1" t="s">
        <v>3032</v>
      </c>
      <c r="B3019" s="5">
        <v>45783.708333333336</v>
      </c>
      <c r="C3019" s="1" t="s">
        <v>8</v>
      </c>
      <c r="D3019" s="1" t="s">
        <v>37</v>
      </c>
      <c r="E3019" s="1">
        <v>19</v>
      </c>
      <c r="F3019" s="1">
        <v>161.54</v>
      </c>
      <c r="G3019" s="1">
        <v>12.66</v>
      </c>
      <c r="H3019">
        <f t="shared" si="47"/>
        <v>3069.2599999999998</v>
      </c>
    </row>
    <row r="3020" spans="1:8" x14ac:dyDescent="0.25">
      <c r="A3020" s="1" t="s">
        <v>3033</v>
      </c>
      <c r="B3020" s="5">
        <v>45783.75</v>
      </c>
      <c r="C3020" s="1" t="s">
        <v>11</v>
      </c>
      <c r="D3020" s="1" t="s">
        <v>19</v>
      </c>
      <c r="E3020" s="1">
        <v>9</v>
      </c>
      <c r="F3020" s="1">
        <v>180.27</v>
      </c>
      <c r="G3020" s="1">
        <v>30.28</v>
      </c>
      <c r="H3020">
        <f t="shared" si="47"/>
        <v>1622.43</v>
      </c>
    </row>
    <row r="3021" spans="1:8" x14ac:dyDescent="0.25">
      <c r="A3021" s="1" t="s">
        <v>3034</v>
      </c>
      <c r="B3021" s="5">
        <v>45783.791666666664</v>
      </c>
      <c r="C3021" s="1" t="s">
        <v>8</v>
      </c>
      <c r="D3021" s="1" t="s">
        <v>37</v>
      </c>
      <c r="E3021" s="1">
        <v>10</v>
      </c>
      <c r="F3021" s="1">
        <v>217.81</v>
      </c>
      <c r="G3021" s="1">
        <v>8.48</v>
      </c>
      <c r="H3021">
        <f t="shared" si="47"/>
        <v>2178.1</v>
      </c>
    </row>
    <row r="3022" spans="1:8" x14ac:dyDescent="0.25">
      <c r="A3022" s="1" t="s">
        <v>3035</v>
      </c>
      <c r="B3022" s="5">
        <v>45783.833333333336</v>
      </c>
      <c r="C3022" s="1" t="s">
        <v>23</v>
      </c>
      <c r="D3022" s="1" t="s">
        <v>16</v>
      </c>
      <c r="E3022" s="1">
        <v>19</v>
      </c>
      <c r="F3022" s="1">
        <v>218.25</v>
      </c>
      <c r="G3022" s="1">
        <v>47.73</v>
      </c>
      <c r="H3022">
        <f t="shared" si="47"/>
        <v>4146.75</v>
      </c>
    </row>
    <row r="3023" spans="1:8" x14ac:dyDescent="0.25">
      <c r="A3023" s="1" t="s">
        <v>3036</v>
      </c>
      <c r="B3023" s="5">
        <v>45783.875</v>
      </c>
      <c r="C3023" s="1" t="s">
        <v>23</v>
      </c>
      <c r="D3023" s="1" t="s">
        <v>37</v>
      </c>
      <c r="E3023" s="1">
        <v>16</v>
      </c>
      <c r="F3023" s="1">
        <v>127.17</v>
      </c>
      <c r="G3023" s="1">
        <v>32.15</v>
      </c>
      <c r="H3023">
        <f t="shared" si="47"/>
        <v>2034.72</v>
      </c>
    </row>
    <row r="3024" spans="1:8" x14ac:dyDescent="0.25">
      <c r="A3024" s="1" t="s">
        <v>3037</v>
      </c>
      <c r="B3024" s="5">
        <v>45783.916666666664</v>
      </c>
      <c r="C3024" s="1" t="s">
        <v>23</v>
      </c>
      <c r="D3024" s="1" t="s">
        <v>19</v>
      </c>
      <c r="E3024" s="1">
        <v>18</v>
      </c>
      <c r="F3024" s="1">
        <v>384.92</v>
      </c>
      <c r="G3024" s="1">
        <v>45.64</v>
      </c>
      <c r="H3024">
        <f t="shared" si="47"/>
        <v>6928.56</v>
      </c>
    </row>
    <row r="3025" spans="1:8" x14ac:dyDescent="0.25">
      <c r="A3025" s="1" t="s">
        <v>3038</v>
      </c>
      <c r="B3025" s="5">
        <v>45783.958333333336</v>
      </c>
      <c r="C3025" s="1" t="s">
        <v>11</v>
      </c>
      <c r="D3025" s="1" t="s">
        <v>9</v>
      </c>
      <c r="E3025" s="1">
        <v>14</v>
      </c>
      <c r="F3025" s="1">
        <v>169.98</v>
      </c>
      <c r="G3025" s="1">
        <v>22.9</v>
      </c>
      <c r="H3025">
        <f t="shared" si="47"/>
        <v>2379.7199999999998</v>
      </c>
    </row>
    <row r="3026" spans="1:8" x14ac:dyDescent="0.25">
      <c r="A3026" s="1" t="s">
        <v>3039</v>
      </c>
      <c r="B3026" s="5">
        <v>45784</v>
      </c>
      <c r="C3026" s="1" t="s">
        <v>8</v>
      </c>
      <c r="D3026" s="1" t="s">
        <v>9</v>
      </c>
      <c r="E3026" s="1">
        <v>3</v>
      </c>
      <c r="F3026" s="1">
        <v>115.26</v>
      </c>
      <c r="G3026" s="1">
        <v>41.48</v>
      </c>
      <c r="H3026">
        <f t="shared" si="47"/>
        <v>345.78000000000003</v>
      </c>
    </row>
    <row r="3027" spans="1:8" x14ac:dyDescent="0.25">
      <c r="A3027" s="1" t="s">
        <v>3040</v>
      </c>
      <c r="B3027" s="5">
        <v>45784.041666666664</v>
      </c>
      <c r="C3027" s="1" t="s">
        <v>8</v>
      </c>
      <c r="D3027" s="1" t="s">
        <v>37</v>
      </c>
      <c r="E3027" s="1">
        <v>2</v>
      </c>
      <c r="F3027" s="1">
        <v>91.89</v>
      </c>
      <c r="G3027" s="1">
        <v>43.41</v>
      </c>
      <c r="H3027">
        <f t="shared" si="47"/>
        <v>183.78</v>
      </c>
    </row>
    <row r="3028" spans="1:8" x14ac:dyDescent="0.25">
      <c r="A3028" s="1" t="s">
        <v>3041</v>
      </c>
      <c r="B3028" s="5">
        <v>45784.083333333336</v>
      </c>
      <c r="C3028" s="1" t="s">
        <v>13</v>
      </c>
      <c r="D3028" s="1" t="s">
        <v>19</v>
      </c>
      <c r="E3028" s="1">
        <v>1</v>
      </c>
      <c r="F3028" s="1">
        <v>155.66</v>
      </c>
      <c r="G3028" s="1">
        <v>36.630000000000003</v>
      </c>
      <c r="H3028">
        <f t="shared" si="47"/>
        <v>155.66</v>
      </c>
    </row>
    <row r="3029" spans="1:8" x14ac:dyDescent="0.25">
      <c r="A3029" s="1" t="s">
        <v>3042</v>
      </c>
      <c r="B3029" s="5">
        <v>45784.125</v>
      </c>
      <c r="C3029" s="1" t="s">
        <v>13</v>
      </c>
      <c r="D3029" s="1" t="s">
        <v>9</v>
      </c>
      <c r="E3029" s="1">
        <v>18</v>
      </c>
      <c r="F3029" s="1">
        <v>44.85</v>
      </c>
      <c r="G3029" s="1">
        <v>9.18</v>
      </c>
      <c r="H3029">
        <f t="shared" si="47"/>
        <v>807.30000000000007</v>
      </c>
    </row>
    <row r="3030" spans="1:8" x14ac:dyDescent="0.25">
      <c r="A3030" s="1" t="s">
        <v>3043</v>
      </c>
      <c r="B3030" s="5">
        <v>45784.166666666664</v>
      </c>
      <c r="C3030" s="1" t="s">
        <v>8</v>
      </c>
      <c r="D3030" s="1" t="s">
        <v>37</v>
      </c>
      <c r="E3030" s="1">
        <v>9</v>
      </c>
      <c r="F3030" s="1">
        <v>29.8</v>
      </c>
      <c r="G3030" s="1">
        <v>5.72</v>
      </c>
      <c r="H3030">
        <f t="shared" si="47"/>
        <v>268.2</v>
      </c>
    </row>
    <row r="3031" spans="1:8" x14ac:dyDescent="0.25">
      <c r="A3031" s="1" t="s">
        <v>3044</v>
      </c>
      <c r="B3031" s="5">
        <v>45784.208333333336</v>
      </c>
      <c r="C3031" s="1" t="s">
        <v>8</v>
      </c>
      <c r="D3031" s="1" t="s">
        <v>37</v>
      </c>
      <c r="E3031" s="1">
        <v>13</v>
      </c>
      <c r="F3031" s="1">
        <v>278.43</v>
      </c>
      <c r="G3031" s="1">
        <v>12.59</v>
      </c>
      <c r="H3031">
        <f t="shared" si="47"/>
        <v>3619.59</v>
      </c>
    </row>
    <row r="3032" spans="1:8" x14ac:dyDescent="0.25">
      <c r="A3032" s="1" t="s">
        <v>3045</v>
      </c>
      <c r="B3032" s="5">
        <v>45784.25</v>
      </c>
      <c r="C3032" s="1" t="s">
        <v>8</v>
      </c>
      <c r="D3032" s="1" t="s">
        <v>19</v>
      </c>
      <c r="E3032" s="1">
        <v>2</v>
      </c>
      <c r="F3032" s="1">
        <v>284.52</v>
      </c>
      <c r="G3032" s="1">
        <v>10.31</v>
      </c>
      <c r="H3032">
        <f t="shared" si="47"/>
        <v>569.04</v>
      </c>
    </row>
    <row r="3033" spans="1:8" x14ac:dyDescent="0.25">
      <c r="A3033" s="1" t="s">
        <v>3046</v>
      </c>
      <c r="B3033" s="5">
        <v>45784.291666666664</v>
      </c>
      <c r="C3033" s="1" t="s">
        <v>11</v>
      </c>
      <c r="D3033" s="1" t="s">
        <v>16</v>
      </c>
      <c r="E3033" s="1">
        <v>7</v>
      </c>
      <c r="F3033" s="1">
        <v>245.61</v>
      </c>
      <c r="G3033" s="1">
        <v>37.630000000000003</v>
      </c>
      <c r="H3033">
        <f t="shared" si="47"/>
        <v>1719.27</v>
      </c>
    </row>
    <row r="3034" spans="1:8" x14ac:dyDescent="0.25">
      <c r="A3034" s="1" t="s">
        <v>3047</v>
      </c>
      <c r="B3034" s="5">
        <v>45784.333333333336</v>
      </c>
      <c r="C3034" s="1" t="s">
        <v>8</v>
      </c>
      <c r="D3034" s="1" t="s">
        <v>37</v>
      </c>
      <c r="E3034" s="1">
        <v>16</v>
      </c>
      <c r="F3034" s="1">
        <v>346.71</v>
      </c>
      <c r="G3034" s="1">
        <v>30.07</v>
      </c>
      <c r="H3034">
        <f t="shared" si="47"/>
        <v>5547.36</v>
      </c>
    </row>
    <row r="3035" spans="1:8" x14ac:dyDescent="0.25">
      <c r="A3035" s="1" t="s">
        <v>3048</v>
      </c>
      <c r="B3035" s="5">
        <v>45784.375</v>
      </c>
      <c r="C3035" s="1" t="s">
        <v>13</v>
      </c>
      <c r="D3035" s="1" t="s">
        <v>16</v>
      </c>
      <c r="E3035" s="1">
        <v>19</v>
      </c>
      <c r="F3035" s="1">
        <v>32.51</v>
      </c>
      <c r="G3035" s="1">
        <v>28.67</v>
      </c>
      <c r="H3035">
        <f t="shared" si="47"/>
        <v>617.68999999999994</v>
      </c>
    </row>
    <row r="3036" spans="1:8" x14ac:dyDescent="0.25">
      <c r="A3036" s="1" t="s">
        <v>3049</v>
      </c>
      <c r="B3036" s="5">
        <v>45784.416666666664</v>
      </c>
      <c r="C3036" s="1" t="s">
        <v>11</v>
      </c>
      <c r="D3036" s="1" t="s">
        <v>16</v>
      </c>
      <c r="E3036" s="1">
        <v>15</v>
      </c>
      <c r="F3036" s="1">
        <v>422.18</v>
      </c>
      <c r="G3036" s="1">
        <v>16.38</v>
      </c>
      <c r="H3036">
        <f t="shared" si="47"/>
        <v>6332.7</v>
      </c>
    </row>
    <row r="3037" spans="1:8" x14ac:dyDescent="0.25">
      <c r="A3037" s="1" t="s">
        <v>3050</v>
      </c>
      <c r="B3037" s="5">
        <v>45784.458333333336</v>
      </c>
      <c r="C3037" s="1" t="s">
        <v>8</v>
      </c>
      <c r="D3037" s="1" t="s">
        <v>9</v>
      </c>
      <c r="E3037" s="1">
        <v>11</v>
      </c>
      <c r="F3037" s="1">
        <v>56.81</v>
      </c>
      <c r="G3037" s="1">
        <v>11.96</v>
      </c>
      <c r="H3037">
        <f t="shared" si="47"/>
        <v>624.91000000000008</v>
      </c>
    </row>
    <row r="3038" spans="1:8" x14ac:dyDescent="0.25">
      <c r="A3038" s="1" t="s">
        <v>3051</v>
      </c>
      <c r="B3038" s="5">
        <v>45784.5</v>
      </c>
      <c r="C3038" s="1" t="s">
        <v>13</v>
      </c>
      <c r="D3038" s="1" t="s">
        <v>16</v>
      </c>
      <c r="E3038" s="1">
        <v>1</v>
      </c>
      <c r="F3038" s="1">
        <v>308.36</v>
      </c>
      <c r="G3038" s="1">
        <v>14.29</v>
      </c>
      <c r="H3038">
        <f t="shared" si="47"/>
        <v>308.36</v>
      </c>
    </row>
    <row r="3039" spans="1:8" x14ac:dyDescent="0.25">
      <c r="A3039" s="1" t="s">
        <v>3052</v>
      </c>
      <c r="B3039" s="5">
        <v>45784.541666666664</v>
      </c>
      <c r="C3039" s="1" t="s">
        <v>11</v>
      </c>
      <c r="D3039" s="1" t="s">
        <v>19</v>
      </c>
      <c r="E3039" s="1">
        <v>7</v>
      </c>
      <c r="F3039" s="1">
        <v>73.459999999999994</v>
      </c>
      <c r="G3039" s="1">
        <v>23.01</v>
      </c>
      <c r="H3039">
        <f t="shared" si="47"/>
        <v>514.21999999999991</v>
      </c>
    </row>
    <row r="3040" spans="1:8" x14ac:dyDescent="0.25">
      <c r="A3040" s="1" t="s">
        <v>3053</v>
      </c>
      <c r="B3040" s="5">
        <v>45784.583333333336</v>
      </c>
      <c r="C3040" s="1" t="s">
        <v>8</v>
      </c>
      <c r="D3040" s="1" t="s">
        <v>9</v>
      </c>
      <c r="E3040" s="1">
        <v>8</v>
      </c>
      <c r="F3040" s="1">
        <v>397.82</v>
      </c>
      <c r="G3040" s="1">
        <v>38.31</v>
      </c>
      <c r="H3040">
        <f t="shared" si="47"/>
        <v>3182.56</v>
      </c>
    </row>
    <row r="3041" spans="1:8" x14ac:dyDescent="0.25">
      <c r="A3041" s="1" t="s">
        <v>3054</v>
      </c>
      <c r="B3041" s="5">
        <v>45784.625</v>
      </c>
      <c r="C3041" s="1" t="s">
        <v>8</v>
      </c>
      <c r="D3041" s="1" t="s">
        <v>9</v>
      </c>
      <c r="E3041" s="1">
        <v>10</v>
      </c>
      <c r="F3041" s="1">
        <v>237.4</v>
      </c>
      <c r="G3041" s="1">
        <v>16.45</v>
      </c>
      <c r="H3041">
        <f t="shared" si="47"/>
        <v>2374</v>
      </c>
    </row>
    <row r="3042" spans="1:8" x14ac:dyDescent="0.25">
      <c r="A3042" s="1" t="s">
        <v>3055</v>
      </c>
      <c r="B3042" s="5">
        <v>45784.666666666664</v>
      </c>
      <c r="C3042" s="1" t="s">
        <v>8</v>
      </c>
      <c r="D3042" s="1" t="s">
        <v>9</v>
      </c>
      <c r="E3042" s="1">
        <v>5</v>
      </c>
      <c r="F3042" s="1">
        <v>51.26</v>
      </c>
      <c r="G3042" s="1">
        <v>36.44</v>
      </c>
      <c r="H3042">
        <f t="shared" si="47"/>
        <v>256.3</v>
      </c>
    </row>
    <row r="3043" spans="1:8" x14ac:dyDescent="0.25">
      <c r="A3043" s="1" t="s">
        <v>3056</v>
      </c>
      <c r="B3043" s="5">
        <v>45784.708333333336</v>
      </c>
      <c r="C3043" s="1" t="s">
        <v>11</v>
      </c>
      <c r="D3043" s="1" t="s">
        <v>37</v>
      </c>
      <c r="E3043" s="1">
        <v>9</v>
      </c>
      <c r="F3043" s="1">
        <v>283.47000000000003</v>
      </c>
      <c r="G3043" s="1">
        <v>27.12</v>
      </c>
      <c r="H3043">
        <f t="shared" si="47"/>
        <v>2551.2300000000005</v>
      </c>
    </row>
    <row r="3044" spans="1:8" x14ac:dyDescent="0.25">
      <c r="A3044" s="1" t="s">
        <v>3057</v>
      </c>
      <c r="B3044" s="5">
        <v>45784.75</v>
      </c>
      <c r="C3044" s="1" t="s">
        <v>13</v>
      </c>
      <c r="D3044" s="1" t="s">
        <v>37</v>
      </c>
      <c r="E3044" s="1">
        <v>1</v>
      </c>
      <c r="F3044" s="1">
        <v>19.46</v>
      </c>
      <c r="G3044" s="1">
        <v>44.84</v>
      </c>
      <c r="H3044">
        <f t="shared" si="47"/>
        <v>19.46</v>
      </c>
    </row>
    <row r="3045" spans="1:8" x14ac:dyDescent="0.25">
      <c r="A3045" s="1" t="s">
        <v>3058</v>
      </c>
      <c r="B3045" s="5">
        <v>45784.791666666664</v>
      </c>
      <c r="C3045" s="1" t="s">
        <v>13</v>
      </c>
      <c r="D3045" s="1" t="s">
        <v>16</v>
      </c>
      <c r="E3045" s="1">
        <v>2</v>
      </c>
      <c r="F3045" s="1">
        <v>352.68</v>
      </c>
      <c r="G3045" s="1">
        <v>15.48</v>
      </c>
      <c r="H3045">
        <f t="shared" si="47"/>
        <v>705.36</v>
      </c>
    </row>
    <row r="3046" spans="1:8" x14ac:dyDescent="0.25">
      <c r="A3046" s="1" t="s">
        <v>3059</v>
      </c>
      <c r="B3046" s="5">
        <v>45784.833333333336</v>
      </c>
      <c r="C3046" s="1" t="s">
        <v>23</v>
      </c>
      <c r="D3046" s="1" t="s">
        <v>9</v>
      </c>
      <c r="E3046" s="1">
        <v>19</v>
      </c>
      <c r="F3046" s="1">
        <v>298.18</v>
      </c>
      <c r="G3046" s="1">
        <v>25.29</v>
      </c>
      <c r="H3046">
        <f t="shared" si="47"/>
        <v>5665.42</v>
      </c>
    </row>
    <row r="3047" spans="1:8" x14ac:dyDescent="0.25">
      <c r="A3047" s="1" t="s">
        <v>3060</v>
      </c>
      <c r="B3047" s="5">
        <v>45784.875</v>
      </c>
      <c r="C3047" s="1" t="s">
        <v>8</v>
      </c>
      <c r="D3047" s="1" t="s">
        <v>9</v>
      </c>
      <c r="E3047" s="1">
        <v>14</v>
      </c>
      <c r="F3047" s="1">
        <v>107.89</v>
      </c>
      <c r="G3047" s="1">
        <v>9.35</v>
      </c>
      <c r="H3047">
        <f t="shared" si="47"/>
        <v>1510.46</v>
      </c>
    </row>
    <row r="3048" spans="1:8" x14ac:dyDescent="0.25">
      <c r="A3048" s="1" t="s">
        <v>3061</v>
      </c>
      <c r="B3048" s="5">
        <v>45784.916666666664</v>
      </c>
      <c r="C3048" s="1" t="s">
        <v>23</v>
      </c>
      <c r="D3048" s="1" t="s">
        <v>19</v>
      </c>
      <c r="E3048" s="1">
        <v>10</v>
      </c>
      <c r="F3048" s="1">
        <v>178.33</v>
      </c>
      <c r="G3048" s="1">
        <v>20.079999999999998</v>
      </c>
      <c r="H3048">
        <f t="shared" si="47"/>
        <v>1783.3000000000002</v>
      </c>
    </row>
    <row r="3049" spans="1:8" x14ac:dyDescent="0.25">
      <c r="A3049" s="1" t="s">
        <v>3062</v>
      </c>
      <c r="B3049" s="5">
        <v>45784.958333333336</v>
      </c>
      <c r="C3049" s="1" t="s">
        <v>23</v>
      </c>
      <c r="D3049" s="1" t="s">
        <v>16</v>
      </c>
      <c r="E3049" s="1">
        <v>9</v>
      </c>
      <c r="F3049" s="1">
        <v>18.89</v>
      </c>
      <c r="G3049" s="1">
        <v>27.81</v>
      </c>
      <c r="H3049">
        <f t="shared" si="47"/>
        <v>170.01</v>
      </c>
    </row>
    <row r="3050" spans="1:8" x14ac:dyDescent="0.25">
      <c r="A3050" s="1" t="s">
        <v>3063</v>
      </c>
      <c r="B3050" s="5">
        <v>45785</v>
      </c>
      <c r="C3050" s="1" t="s">
        <v>13</v>
      </c>
      <c r="D3050" s="1" t="s">
        <v>19</v>
      </c>
      <c r="E3050" s="1">
        <v>10</v>
      </c>
      <c r="F3050" s="1">
        <v>316.91000000000003</v>
      </c>
      <c r="G3050" s="1">
        <v>37.97</v>
      </c>
      <c r="H3050">
        <f t="shared" si="47"/>
        <v>3169.1000000000004</v>
      </c>
    </row>
    <row r="3051" spans="1:8" x14ac:dyDescent="0.25">
      <c r="A3051" s="1" t="s">
        <v>3064</v>
      </c>
      <c r="B3051" s="5">
        <v>45785.041666666664</v>
      </c>
      <c r="C3051" s="1" t="s">
        <v>11</v>
      </c>
      <c r="D3051" s="1" t="s">
        <v>16</v>
      </c>
      <c r="E3051" s="1">
        <v>6</v>
      </c>
      <c r="F3051" s="1">
        <v>155.69999999999999</v>
      </c>
      <c r="G3051" s="1">
        <v>13.91</v>
      </c>
      <c r="H3051">
        <f t="shared" si="47"/>
        <v>934.19999999999993</v>
      </c>
    </row>
    <row r="3052" spans="1:8" x14ac:dyDescent="0.25">
      <c r="A3052" s="1" t="s">
        <v>3065</v>
      </c>
      <c r="B3052" s="5">
        <v>45785.083333333336</v>
      </c>
      <c r="C3052" s="1" t="s">
        <v>11</v>
      </c>
      <c r="D3052" s="1" t="s">
        <v>16</v>
      </c>
      <c r="E3052" s="1">
        <v>17</v>
      </c>
      <c r="F3052" s="1">
        <v>263.86</v>
      </c>
      <c r="G3052" s="1">
        <v>14.81</v>
      </c>
      <c r="H3052">
        <f t="shared" si="47"/>
        <v>4485.62</v>
      </c>
    </row>
    <row r="3053" spans="1:8" x14ac:dyDescent="0.25">
      <c r="A3053" s="1" t="s">
        <v>3066</v>
      </c>
      <c r="B3053" s="5">
        <v>45785.125</v>
      </c>
      <c r="C3053" s="1" t="s">
        <v>13</v>
      </c>
      <c r="D3053" s="1" t="s">
        <v>37</v>
      </c>
      <c r="E3053" s="1">
        <v>6</v>
      </c>
      <c r="F3053" s="1">
        <v>431.2</v>
      </c>
      <c r="G3053" s="1">
        <v>33.42</v>
      </c>
      <c r="H3053">
        <f t="shared" si="47"/>
        <v>2587.1999999999998</v>
      </c>
    </row>
    <row r="3054" spans="1:8" x14ac:dyDescent="0.25">
      <c r="A3054" s="1" t="s">
        <v>3067</v>
      </c>
      <c r="B3054" s="5">
        <v>45785.166666666664</v>
      </c>
      <c r="C3054" s="1" t="s">
        <v>11</v>
      </c>
      <c r="D3054" s="1" t="s">
        <v>37</v>
      </c>
      <c r="E3054" s="1">
        <v>4</v>
      </c>
      <c r="F3054" s="1">
        <v>145.62</v>
      </c>
      <c r="G3054" s="1">
        <v>22.21</v>
      </c>
      <c r="H3054">
        <f t="shared" si="47"/>
        <v>582.48</v>
      </c>
    </row>
    <row r="3055" spans="1:8" x14ac:dyDescent="0.25">
      <c r="A3055" s="1" t="s">
        <v>3068</v>
      </c>
      <c r="B3055" s="5">
        <v>45785.208333333336</v>
      </c>
      <c r="C3055" s="1" t="s">
        <v>23</v>
      </c>
      <c r="D3055" s="1" t="s">
        <v>19</v>
      </c>
      <c r="E3055" s="1">
        <v>3</v>
      </c>
      <c r="F3055" s="1">
        <v>445.76</v>
      </c>
      <c r="G3055" s="1">
        <v>26.69</v>
      </c>
      <c r="H3055">
        <f t="shared" si="47"/>
        <v>1337.28</v>
      </c>
    </row>
    <row r="3056" spans="1:8" x14ac:dyDescent="0.25">
      <c r="A3056" s="1" t="s">
        <v>3069</v>
      </c>
      <c r="B3056" s="5">
        <v>45785.25</v>
      </c>
      <c r="C3056" s="1" t="s">
        <v>8</v>
      </c>
      <c r="D3056" s="1" t="s">
        <v>16</v>
      </c>
      <c r="E3056" s="1">
        <v>19</v>
      </c>
      <c r="F3056" s="1">
        <v>290.42</v>
      </c>
      <c r="G3056" s="1">
        <v>42.63</v>
      </c>
      <c r="H3056">
        <f t="shared" si="47"/>
        <v>5517.9800000000005</v>
      </c>
    </row>
    <row r="3057" spans="1:8" x14ac:dyDescent="0.25">
      <c r="A3057" s="1" t="s">
        <v>3070</v>
      </c>
      <c r="B3057" s="5">
        <v>45785.291666666664</v>
      </c>
      <c r="C3057" s="1" t="s">
        <v>13</v>
      </c>
      <c r="D3057" s="1" t="s">
        <v>9</v>
      </c>
      <c r="E3057" s="1">
        <v>18</v>
      </c>
      <c r="F3057" s="1">
        <v>120.69</v>
      </c>
      <c r="G3057" s="1">
        <v>27.46</v>
      </c>
      <c r="H3057">
        <f t="shared" si="47"/>
        <v>2172.42</v>
      </c>
    </row>
    <row r="3058" spans="1:8" x14ac:dyDescent="0.25">
      <c r="A3058" s="1" t="s">
        <v>3071</v>
      </c>
      <c r="B3058" s="5">
        <v>45785.333333333336</v>
      </c>
      <c r="C3058" s="1" t="s">
        <v>8</v>
      </c>
      <c r="D3058" s="1" t="s">
        <v>37</v>
      </c>
      <c r="E3058" s="1">
        <v>4</v>
      </c>
      <c r="F3058" s="1">
        <v>205.28</v>
      </c>
      <c r="G3058" s="1">
        <v>34.36</v>
      </c>
      <c r="H3058">
        <f t="shared" si="47"/>
        <v>821.12</v>
      </c>
    </row>
    <row r="3059" spans="1:8" x14ac:dyDescent="0.25">
      <c r="A3059" s="1" t="s">
        <v>3072</v>
      </c>
      <c r="B3059" s="5">
        <v>45785.375</v>
      </c>
      <c r="C3059" s="1" t="s">
        <v>11</v>
      </c>
      <c r="D3059" s="1" t="s">
        <v>9</v>
      </c>
      <c r="E3059" s="1">
        <v>8</v>
      </c>
      <c r="F3059" s="1">
        <v>337.23</v>
      </c>
      <c r="G3059" s="1">
        <v>34.549999999999997</v>
      </c>
      <c r="H3059">
        <f t="shared" si="47"/>
        <v>2697.84</v>
      </c>
    </row>
    <row r="3060" spans="1:8" x14ac:dyDescent="0.25">
      <c r="A3060" s="1" t="s">
        <v>3073</v>
      </c>
      <c r="B3060" s="5">
        <v>45785.416666666664</v>
      </c>
      <c r="C3060" s="1" t="s">
        <v>8</v>
      </c>
      <c r="D3060" s="1" t="s">
        <v>19</v>
      </c>
      <c r="E3060" s="1">
        <v>17</v>
      </c>
      <c r="F3060" s="1">
        <v>209.49</v>
      </c>
      <c r="G3060" s="1">
        <v>41.16</v>
      </c>
      <c r="H3060">
        <f t="shared" si="47"/>
        <v>3561.33</v>
      </c>
    </row>
    <row r="3061" spans="1:8" x14ac:dyDescent="0.25">
      <c r="A3061" s="1" t="s">
        <v>3074</v>
      </c>
      <c r="B3061" s="5">
        <v>45785.458333333336</v>
      </c>
      <c r="C3061" s="1" t="s">
        <v>11</v>
      </c>
      <c r="D3061" s="1" t="s">
        <v>37</v>
      </c>
      <c r="E3061" s="1">
        <v>5</v>
      </c>
      <c r="F3061" s="1">
        <v>45.27</v>
      </c>
      <c r="G3061" s="1">
        <v>33.72</v>
      </c>
      <c r="H3061">
        <f t="shared" si="47"/>
        <v>226.35000000000002</v>
      </c>
    </row>
    <row r="3062" spans="1:8" x14ac:dyDescent="0.25">
      <c r="A3062" s="1" t="s">
        <v>3075</v>
      </c>
      <c r="B3062" s="5">
        <v>45785.5</v>
      </c>
      <c r="C3062" s="1" t="s">
        <v>11</v>
      </c>
      <c r="D3062" s="1" t="s">
        <v>37</v>
      </c>
      <c r="E3062" s="1">
        <v>13</v>
      </c>
      <c r="F3062" s="1">
        <v>88.76</v>
      </c>
      <c r="G3062" s="1">
        <v>7.92</v>
      </c>
      <c r="H3062">
        <f t="shared" si="47"/>
        <v>1153.8800000000001</v>
      </c>
    </row>
    <row r="3063" spans="1:8" x14ac:dyDescent="0.25">
      <c r="A3063" s="1" t="s">
        <v>3076</v>
      </c>
      <c r="B3063" s="5">
        <v>45785.541666666664</v>
      </c>
      <c r="C3063" s="1" t="s">
        <v>23</v>
      </c>
      <c r="D3063" s="1" t="s">
        <v>16</v>
      </c>
      <c r="E3063" s="1">
        <v>1</v>
      </c>
      <c r="F3063" s="1">
        <v>359.32</v>
      </c>
      <c r="G3063" s="1">
        <v>20.399999999999999</v>
      </c>
      <c r="H3063">
        <f t="shared" si="47"/>
        <v>359.32</v>
      </c>
    </row>
    <row r="3064" spans="1:8" x14ac:dyDescent="0.25">
      <c r="A3064" s="1" t="s">
        <v>3077</v>
      </c>
      <c r="B3064" s="5">
        <v>45785.583333333336</v>
      </c>
      <c r="C3064" s="1" t="s">
        <v>11</v>
      </c>
      <c r="D3064" s="1" t="s">
        <v>19</v>
      </c>
      <c r="E3064" s="1">
        <v>13</v>
      </c>
      <c r="F3064" s="1">
        <v>297.22000000000003</v>
      </c>
      <c r="G3064" s="1">
        <v>49.52</v>
      </c>
      <c r="H3064">
        <f t="shared" si="47"/>
        <v>3863.8600000000006</v>
      </c>
    </row>
    <row r="3065" spans="1:8" x14ac:dyDescent="0.25">
      <c r="A3065" s="1" t="s">
        <v>3078</v>
      </c>
      <c r="B3065" s="5">
        <v>45785.625</v>
      </c>
      <c r="C3065" s="1" t="s">
        <v>23</v>
      </c>
      <c r="D3065" s="1" t="s">
        <v>16</v>
      </c>
      <c r="E3065" s="1">
        <v>4</v>
      </c>
      <c r="F3065" s="1">
        <v>263.08999999999997</v>
      </c>
      <c r="G3065" s="1">
        <v>13.84</v>
      </c>
      <c r="H3065">
        <f t="shared" si="47"/>
        <v>1052.3599999999999</v>
      </c>
    </row>
    <row r="3066" spans="1:8" x14ac:dyDescent="0.25">
      <c r="A3066" s="1" t="s">
        <v>3079</v>
      </c>
      <c r="B3066" s="5">
        <v>45785.666666666664</v>
      </c>
      <c r="C3066" s="1" t="s">
        <v>23</v>
      </c>
      <c r="D3066" s="1" t="s">
        <v>37</v>
      </c>
      <c r="E3066" s="1">
        <v>14</v>
      </c>
      <c r="F3066" s="1">
        <v>88.33</v>
      </c>
      <c r="G3066" s="1">
        <v>31.4</v>
      </c>
      <c r="H3066">
        <f t="shared" si="47"/>
        <v>1236.6199999999999</v>
      </c>
    </row>
    <row r="3067" spans="1:8" x14ac:dyDescent="0.25">
      <c r="A3067" s="1" t="s">
        <v>3080</v>
      </c>
      <c r="B3067" s="5">
        <v>45785.708333333336</v>
      </c>
      <c r="C3067" s="1" t="s">
        <v>23</v>
      </c>
      <c r="D3067" s="1" t="s">
        <v>19</v>
      </c>
      <c r="E3067" s="1">
        <v>3</v>
      </c>
      <c r="F3067" s="1">
        <v>379.51</v>
      </c>
      <c r="G3067" s="1">
        <v>42.93</v>
      </c>
      <c r="H3067">
        <f t="shared" si="47"/>
        <v>1138.53</v>
      </c>
    </row>
    <row r="3068" spans="1:8" x14ac:dyDescent="0.25">
      <c r="A3068" s="1" t="s">
        <v>3081</v>
      </c>
      <c r="B3068" s="5">
        <v>45785.75</v>
      </c>
      <c r="C3068" s="1" t="s">
        <v>13</v>
      </c>
      <c r="D3068" s="1" t="s">
        <v>37</v>
      </c>
      <c r="E3068" s="1">
        <v>5</v>
      </c>
      <c r="F3068" s="1">
        <v>432.94</v>
      </c>
      <c r="G3068" s="1">
        <v>31.4</v>
      </c>
      <c r="H3068">
        <f t="shared" si="47"/>
        <v>2164.6999999999998</v>
      </c>
    </row>
    <row r="3069" spans="1:8" x14ac:dyDescent="0.25">
      <c r="A3069" s="1" t="s">
        <v>3082</v>
      </c>
      <c r="B3069" s="5">
        <v>45785.791666666664</v>
      </c>
      <c r="C3069" s="1" t="s">
        <v>13</v>
      </c>
      <c r="D3069" s="1" t="s">
        <v>19</v>
      </c>
      <c r="E3069" s="1">
        <v>7</v>
      </c>
      <c r="F3069" s="1">
        <v>33.270000000000003</v>
      </c>
      <c r="G3069" s="1">
        <v>21.75</v>
      </c>
      <c r="H3069">
        <f t="shared" si="47"/>
        <v>232.89000000000001</v>
      </c>
    </row>
    <row r="3070" spans="1:8" x14ac:dyDescent="0.25">
      <c r="A3070" s="1" t="s">
        <v>3083</v>
      </c>
      <c r="B3070" s="5">
        <v>45785.833333333336</v>
      </c>
      <c r="C3070" s="1" t="s">
        <v>11</v>
      </c>
      <c r="D3070" s="1" t="s">
        <v>37</v>
      </c>
      <c r="E3070" s="1">
        <v>1</v>
      </c>
      <c r="F3070" s="1">
        <v>49.4</v>
      </c>
      <c r="G3070" s="1">
        <v>8.61</v>
      </c>
      <c r="H3070">
        <f t="shared" si="47"/>
        <v>49.4</v>
      </c>
    </row>
    <row r="3071" spans="1:8" x14ac:dyDescent="0.25">
      <c r="A3071" s="1" t="s">
        <v>3084</v>
      </c>
      <c r="B3071" s="5">
        <v>45785.875</v>
      </c>
      <c r="C3071" s="1" t="s">
        <v>23</v>
      </c>
      <c r="D3071" s="1" t="s">
        <v>9</v>
      </c>
      <c r="E3071" s="1">
        <v>12</v>
      </c>
      <c r="F3071" s="1">
        <v>399.91</v>
      </c>
      <c r="G3071" s="1">
        <v>21.27</v>
      </c>
      <c r="H3071">
        <f t="shared" si="47"/>
        <v>4798.92</v>
      </c>
    </row>
    <row r="3072" spans="1:8" x14ac:dyDescent="0.25">
      <c r="A3072" s="1" t="s">
        <v>3085</v>
      </c>
      <c r="B3072" s="5">
        <v>45785.916666666664</v>
      </c>
      <c r="C3072" s="1" t="s">
        <v>13</v>
      </c>
      <c r="D3072" s="1" t="s">
        <v>9</v>
      </c>
      <c r="E3072" s="1">
        <v>11</v>
      </c>
      <c r="F3072" s="1">
        <v>369.86</v>
      </c>
      <c r="G3072" s="1">
        <v>13.19</v>
      </c>
      <c r="H3072">
        <f t="shared" si="47"/>
        <v>4068.46</v>
      </c>
    </row>
    <row r="3073" spans="1:8" x14ac:dyDescent="0.25">
      <c r="A3073" s="1" t="s">
        <v>3086</v>
      </c>
      <c r="B3073" s="5">
        <v>45785.958333333336</v>
      </c>
      <c r="C3073" s="1" t="s">
        <v>23</v>
      </c>
      <c r="D3073" s="1" t="s">
        <v>16</v>
      </c>
      <c r="E3073" s="1">
        <v>8</v>
      </c>
      <c r="F3073" s="1">
        <v>283.99</v>
      </c>
      <c r="G3073" s="1">
        <v>48.24</v>
      </c>
      <c r="H3073">
        <f t="shared" si="47"/>
        <v>2271.92</v>
      </c>
    </row>
    <row r="3074" spans="1:8" x14ac:dyDescent="0.25">
      <c r="A3074" s="1" t="s">
        <v>3087</v>
      </c>
      <c r="B3074" s="5">
        <v>45786</v>
      </c>
      <c r="C3074" s="1" t="s">
        <v>8</v>
      </c>
      <c r="D3074" s="1" t="s">
        <v>9</v>
      </c>
      <c r="E3074" s="1">
        <v>6</v>
      </c>
      <c r="F3074" s="1">
        <v>426.09</v>
      </c>
      <c r="G3074" s="1">
        <v>37.18</v>
      </c>
      <c r="H3074">
        <f t="shared" ref="H3074:H3137" si="48">E3074*F3074</f>
        <v>2556.54</v>
      </c>
    </row>
    <row r="3075" spans="1:8" x14ac:dyDescent="0.25">
      <c r="A3075" s="1" t="s">
        <v>3088</v>
      </c>
      <c r="B3075" s="5">
        <v>45786.041666666664</v>
      </c>
      <c r="C3075" s="1" t="s">
        <v>8</v>
      </c>
      <c r="D3075" s="1" t="s">
        <v>37</v>
      </c>
      <c r="E3075" s="1">
        <v>2</v>
      </c>
      <c r="F3075" s="1">
        <v>296.37</v>
      </c>
      <c r="G3075" s="1">
        <v>38.72</v>
      </c>
      <c r="H3075">
        <f t="shared" si="48"/>
        <v>592.74</v>
      </c>
    </row>
    <row r="3076" spans="1:8" x14ac:dyDescent="0.25">
      <c r="A3076" s="1" t="s">
        <v>3089</v>
      </c>
      <c r="B3076" s="5">
        <v>45786.083333333336</v>
      </c>
      <c r="C3076" s="1" t="s">
        <v>8</v>
      </c>
      <c r="D3076" s="1" t="s">
        <v>37</v>
      </c>
      <c r="E3076" s="1">
        <v>19</v>
      </c>
      <c r="F3076" s="1">
        <v>109.35</v>
      </c>
      <c r="G3076" s="1">
        <v>24.62</v>
      </c>
      <c r="H3076">
        <f t="shared" si="48"/>
        <v>2077.65</v>
      </c>
    </row>
    <row r="3077" spans="1:8" x14ac:dyDescent="0.25">
      <c r="A3077" s="1" t="s">
        <v>3090</v>
      </c>
      <c r="B3077" s="5">
        <v>45786.125</v>
      </c>
      <c r="C3077" s="1" t="s">
        <v>11</v>
      </c>
      <c r="D3077" s="1" t="s">
        <v>9</v>
      </c>
      <c r="E3077" s="1">
        <v>14</v>
      </c>
      <c r="F3077" s="1">
        <v>332.1</v>
      </c>
      <c r="G3077" s="1">
        <v>9.9499999999999993</v>
      </c>
      <c r="H3077">
        <f t="shared" si="48"/>
        <v>4649.4000000000005</v>
      </c>
    </row>
    <row r="3078" spans="1:8" x14ac:dyDescent="0.25">
      <c r="A3078" s="1" t="s">
        <v>3091</v>
      </c>
      <c r="B3078" s="5">
        <v>45786.166666666664</v>
      </c>
      <c r="C3078" s="1" t="s">
        <v>23</v>
      </c>
      <c r="D3078" s="1" t="s">
        <v>16</v>
      </c>
      <c r="E3078" s="1">
        <v>1</v>
      </c>
      <c r="F3078" s="1">
        <v>296.06</v>
      </c>
      <c r="G3078" s="1">
        <v>17</v>
      </c>
      <c r="H3078">
        <f t="shared" si="48"/>
        <v>296.06</v>
      </c>
    </row>
    <row r="3079" spans="1:8" x14ac:dyDescent="0.25">
      <c r="A3079" s="1" t="s">
        <v>3092</v>
      </c>
      <c r="B3079" s="5">
        <v>45786.208333333336</v>
      </c>
      <c r="C3079" s="1" t="s">
        <v>8</v>
      </c>
      <c r="D3079" s="1" t="s">
        <v>9</v>
      </c>
      <c r="E3079" s="1">
        <v>10</v>
      </c>
      <c r="F3079" s="1">
        <v>443.81</v>
      </c>
      <c r="G3079" s="1">
        <v>16.690000000000001</v>
      </c>
      <c r="H3079">
        <f t="shared" si="48"/>
        <v>4438.1000000000004</v>
      </c>
    </row>
    <row r="3080" spans="1:8" x14ac:dyDescent="0.25">
      <c r="A3080" s="1" t="s">
        <v>3093</v>
      </c>
      <c r="B3080" s="5">
        <v>45786.25</v>
      </c>
      <c r="C3080" s="1" t="s">
        <v>13</v>
      </c>
      <c r="D3080" s="1" t="s">
        <v>19</v>
      </c>
      <c r="E3080" s="1">
        <v>16</v>
      </c>
      <c r="F3080" s="1">
        <v>108.44</v>
      </c>
      <c r="G3080" s="1">
        <v>26.91</v>
      </c>
      <c r="H3080">
        <f t="shared" si="48"/>
        <v>1735.04</v>
      </c>
    </row>
    <row r="3081" spans="1:8" x14ac:dyDescent="0.25">
      <c r="A3081" s="1" t="s">
        <v>3094</v>
      </c>
      <c r="B3081" s="5">
        <v>45786.291666666664</v>
      </c>
      <c r="C3081" s="1" t="s">
        <v>8</v>
      </c>
      <c r="D3081" s="1" t="s">
        <v>19</v>
      </c>
      <c r="E3081" s="1">
        <v>4</v>
      </c>
      <c r="F3081" s="1">
        <v>275.27999999999997</v>
      </c>
      <c r="G3081" s="1">
        <v>25.74</v>
      </c>
      <c r="H3081">
        <f t="shared" si="48"/>
        <v>1101.1199999999999</v>
      </c>
    </row>
    <row r="3082" spans="1:8" x14ac:dyDescent="0.25">
      <c r="A3082" s="1" t="s">
        <v>3095</v>
      </c>
      <c r="B3082" s="5">
        <v>45786.333333333336</v>
      </c>
      <c r="C3082" s="1" t="s">
        <v>8</v>
      </c>
      <c r="D3082" s="1" t="s">
        <v>19</v>
      </c>
      <c r="E3082" s="1">
        <v>11</v>
      </c>
      <c r="F3082" s="1">
        <v>354.48</v>
      </c>
      <c r="G3082" s="1">
        <v>24.5</v>
      </c>
      <c r="H3082">
        <f t="shared" si="48"/>
        <v>3899.28</v>
      </c>
    </row>
    <row r="3083" spans="1:8" x14ac:dyDescent="0.25">
      <c r="A3083" s="1" t="s">
        <v>3096</v>
      </c>
      <c r="B3083" s="5">
        <v>45786.375</v>
      </c>
      <c r="C3083" s="1" t="s">
        <v>8</v>
      </c>
      <c r="D3083" s="1" t="s">
        <v>9</v>
      </c>
      <c r="E3083" s="1">
        <v>16</v>
      </c>
      <c r="F3083" s="1">
        <v>162.79</v>
      </c>
      <c r="G3083" s="1">
        <v>27.32</v>
      </c>
      <c r="H3083">
        <f t="shared" si="48"/>
        <v>2604.64</v>
      </c>
    </row>
    <row r="3084" spans="1:8" x14ac:dyDescent="0.25">
      <c r="A3084" s="1" t="s">
        <v>3097</v>
      </c>
      <c r="B3084" s="5">
        <v>45786.416666666664</v>
      </c>
      <c r="C3084" s="1" t="s">
        <v>11</v>
      </c>
      <c r="D3084" s="1" t="s">
        <v>9</v>
      </c>
      <c r="E3084" s="1">
        <v>1</v>
      </c>
      <c r="F3084" s="1">
        <v>180.47</v>
      </c>
      <c r="G3084" s="1">
        <v>49.42</v>
      </c>
      <c r="H3084">
        <f t="shared" si="48"/>
        <v>180.47</v>
      </c>
    </row>
    <row r="3085" spans="1:8" x14ac:dyDescent="0.25">
      <c r="A3085" s="1" t="s">
        <v>3098</v>
      </c>
      <c r="B3085" s="5">
        <v>45786.458333333336</v>
      </c>
      <c r="C3085" s="1" t="s">
        <v>13</v>
      </c>
      <c r="D3085" s="1" t="s">
        <v>9</v>
      </c>
      <c r="E3085" s="1">
        <v>16</v>
      </c>
      <c r="F3085" s="1">
        <v>401.29</v>
      </c>
      <c r="G3085" s="1">
        <v>18.43</v>
      </c>
      <c r="H3085">
        <f t="shared" si="48"/>
        <v>6420.64</v>
      </c>
    </row>
    <row r="3086" spans="1:8" x14ac:dyDescent="0.25">
      <c r="A3086" s="1" t="s">
        <v>3099</v>
      </c>
      <c r="B3086" s="5">
        <v>45786.5</v>
      </c>
      <c r="C3086" s="1" t="s">
        <v>23</v>
      </c>
      <c r="D3086" s="1" t="s">
        <v>19</v>
      </c>
      <c r="E3086" s="1">
        <v>19</v>
      </c>
      <c r="F3086" s="1">
        <v>191.12</v>
      </c>
      <c r="G3086" s="1">
        <v>32.69</v>
      </c>
      <c r="H3086">
        <f t="shared" si="48"/>
        <v>3631.28</v>
      </c>
    </row>
    <row r="3087" spans="1:8" x14ac:dyDescent="0.25">
      <c r="A3087" s="1" t="s">
        <v>3100</v>
      </c>
      <c r="B3087" s="5">
        <v>45786.541666666664</v>
      </c>
      <c r="C3087" s="1" t="s">
        <v>13</v>
      </c>
      <c r="D3087" s="1" t="s">
        <v>16</v>
      </c>
      <c r="E3087" s="1">
        <v>9</v>
      </c>
      <c r="F3087" s="1">
        <v>286.95</v>
      </c>
      <c r="G3087" s="1">
        <v>15.78</v>
      </c>
      <c r="H3087">
        <f t="shared" si="48"/>
        <v>2582.5499999999997</v>
      </c>
    </row>
    <row r="3088" spans="1:8" x14ac:dyDescent="0.25">
      <c r="A3088" s="1" t="s">
        <v>3101</v>
      </c>
      <c r="B3088" s="5">
        <v>45786.583333333336</v>
      </c>
      <c r="C3088" s="1" t="s">
        <v>23</v>
      </c>
      <c r="D3088" s="1" t="s">
        <v>37</v>
      </c>
      <c r="E3088" s="1">
        <v>9</v>
      </c>
      <c r="F3088" s="1">
        <v>401.87</v>
      </c>
      <c r="G3088" s="1">
        <v>26</v>
      </c>
      <c r="H3088">
        <f t="shared" si="48"/>
        <v>3616.83</v>
      </c>
    </row>
    <row r="3089" spans="1:8" x14ac:dyDescent="0.25">
      <c r="A3089" s="1" t="s">
        <v>3102</v>
      </c>
      <c r="B3089" s="5">
        <v>45786.625</v>
      </c>
      <c r="C3089" s="1" t="s">
        <v>11</v>
      </c>
      <c r="D3089" s="1" t="s">
        <v>9</v>
      </c>
      <c r="E3089" s="1">
        <v>9</v>
      </c>
      <c r="F3089" s="1">
        <v>106.67</v>
      </c>
      <c r="G3089" s="1">
        <v>14</v>
      </c>
      <c r="H3089">
        <f t="shared" si="48"/>
        <v>960.03</v>
      </c>
    </row>
    <row r="3090" spans="1:8" x14ac:dyDescent="0.25">
      <c r="A3090" s="1" t="s">
        <v>3103</v>
      </c>
      <c r="B3090" s="5">
        <v>45786.666666666664</v>
      </c>
      <c r="C3090" s="1" t="s">
        <v>11</v>
      </c>
      <c r="D3090" s="1" t="s">
        <v>16</v>
      </c>
      <c r="E3090" s="1">
        <v>17</v>
      </c>
      <c r="F3090" s="1">
        <v>442.13</v>
      </c>
      <c r="G3090" s="1">
        <v>30.12</v>
      </c>
      <c r="H3090">
        <f t="shared" si="48"/>
        <v>7516.21</v>
      </c>
    </row>
    <row r="3091" spans="1:8" x14ac:dyDescent="0.25">
      <c r="A3091" s="1" t="s">
        <v>3104</v>
      </c>
      <c r="B3091" s="5">
        <v>45786.708333333336</v>
      </c>
      <c r="C3091" s="1" t="s">
        <v>11</v>
      </c>
      <c r="D3091" s="1" t="s">
        <v>37</v>
      </c>
      <c r="E3091" s="1">
        <v>12</v>
      </c>
      <c r="F3091" s="1">
        <v>320.5</v>
      </c>
      <c r="G3091" s="1">
        <v>16.93</v>
      </c>
      <c r="H3091">
        <f t="shared" si="48"/>
        <v>3846</v>
      </c>
    </row>
    <row r="3092" spans="1:8" x14ac:dyDescent="0.25">
      <c r="A3092" s="1" t="s">
        <v>3105</v>
      </c>
      <c r="B3092" s="5">
        <v>45786.75</v>
      </c>
      <c r="C3092" s="1" t="s">
        <v>11</v>
      </c>
      <c r="D3092" s="1" t="s">
        <v>37</v>
      </c>
      <c r="E3092" s="1">
        <v>13</v>
      </c>
      <c r="F3092" s="1">
        <v>231.06</v>
      </c>
      <c r="G3092" s="1">
        <v>6.66</v>
      </c>
      <c r="H3092">
        <f t="shared" si="48"/>
        <v>3003.78</v>
      </c>
    </row>
    <row r="3093" spans="1:8" x14ac:dyDescent="0.25">
      <c r="A3093" s="1" t="s">
        <v>3106</v>
      </c>
      <c r="B3093" s="5">
        <v>45786.791666666664</v>
      </c>
      <c r="C3093" s="1" t="s">
        <v>23</v>
      </c>
      <c r="D3093" s="1" t="s">
        <v>37</v>
      </c>
      <c r="E3093" s="1">
        <v>8</v>
      </c>
      <c r="F3093" s="1">
        <v>202.73</v>
      </c>
      <c r="G3093" s="1">
        <v>41.69</v>
      </c>
      <c r="H3093">
        <f t="shared" si="48"/>
        <v>1621.84</v>
      </c>
    </row>
    <row r="3094" spans="1:8" x14ac:dyDescent="0.25">
      <c r="A3094" s="1" t="s">
        <v>3107</v>
      </c>
      <c r="B3094" s="5">
        <v>45786.833333333336</v>
      </c>
      <c r="C3094" s="1" t="s">
        <v>8</v>
      </c>
      <c r="D3094" s="1" t="s">
        <v>16</v>
      </c>
      <c r="E3094" s="1">
        <v>16</v>
      </c>
      <c r="F3094" s="1">
        <v>430.17</v>
      </c>
      <c r="G3094" s="1">
        <v>10.77</v>
      </c>
      <c r="H3094">
        <f t="shared" si="48"/>
        <v>6882.72</v>
      </c>
    </row>
    <row r="3095" spans="1:8" x14ac:dyDescent="0.25">
      <c r="A3095" s="1" t="s">
        <v>3108</v>
      </c>
      <c r="B3095" s="5">
        <v>45786.875</v>
      </c>
      <c r="C3095" s="1" t="s">
        <v>23</v>
      </c>
      <c r="D3095" s="1" t="s">
        <v>16</v>
      </c>
      <c r="E3095" s="1">
        <v>18</v>
      </c>
      <c r="F3095" s="1">
        <v>104.89</v>
      </c>
      <c r="G3095" s="1">
        <v>21.56</v>
      </c>
      <c r="H3095">
        <f t="shared" si="48"/>
        <v>1888.02</v>
      </c>
    </row>
    <row r="3096" spans="1:8" x14ac:dyDescent="0.25">
      <c r="A3096" s="1" t="s">
        <v>3109</v>
      </c>
      <c r="B3096" s="5">
        <v>45786.916666666664</v>
      </c>
      <c r="C3096" s="1" t="s">
        <v>13</v>
      </c>
      <c r="D3096" s="1" t="s">
        <v>19</v>
      </c>
      <c r="E3096" s="1">
        <v>1</v>
      </c>
      <c r="F3096" s="1">
        <v>150.93</v>
      </c>
      <c r="G3096" s="1">
        <v>26.47</v>
      </c>
      <c r="H3096">
        <f t="shared" si="48"/>
        <v>150.93</v>
      </c>
    </row>
    <row r="3097" spans="1:8" x14ac:dyDescent="0.25">
      <c r="A3097" s="1" t="s">
        <v>3110</v>
      </c>
      <c r="B3097" s="5">
        <v>45786.958333333336</v>
      </c>
      <c r="C3097" s="1" t="s">
        <v>11</v>
      </c>
      <c r="D3097" s="1" t="s">
        <v>16</v>
      </c>
      <c r="E3097" s="1">
        <v>1</v>
      </c>
      <c r="F3097" s="1">
        <v>149.24</v>
      </c>
      <c r="G3097" s="1">
        <v>24.46</v>
      </c>
      <c r="H3097">
        <f t="shared" si="48"/>
        <v>149.24</v>
      </c>
    </row>
    <row r="3098" spans="1:8" x14ac:dyDescent="0.25">
      <c r="A3098" s="1" t="s">
        <v>3111</v>
      </c>
      <c r="B3098" s="5">
        <v>45787</v>
      </c>
      <c r="C3098" s="1" t="s">
        <v>11</v>
      </c>
      <c r="D3098" s="1" t="s">
        <v>16</v>
      </c>
      <c r="E3098" s="1">
        <v>12</v>
      </c>
      <c r="F3098" s="1">
        <v>141.07</v>
      </c>
      <c r="G3098" s="1">
        <v>37.65</v>
      </c>
      <c r="H3098">
        <f t="shared" si="48"/>
        <v>1692.84</v>
      </c>
    </row>
    <row r="3099" spans="1:8" x14ac:dyDescent="0.25">
      <c r="A3099" s="1" t="s">
        <v>3112</v>
      </c>
      <c r="B3099" s="5">
        <v>45787.041666666664</v>
      </c>
      <c r="C3099" s="1" t="s">
        <v>13</v>
      </c>
      <c r="D3099" s="1" t="s">
        <v>16</v>
      </c>
      <c r="E3099" s="1">
        <v>6</v>
      </c>
      <c r="F3099" s="1">
        <v>219.08</v>
      </c>
      <c r="G3099" s="1">
        <v>31.85</v>
      </c>
      <c r="H3099">
        <f t="shared" si="48"/>
        <v>1314.48</v>
      </c>
    </row>
    <row r="3100" spans="1:8" x14ac:dyDescent="0.25">
      <c r="A3100" s="1" t="s">
        <v>3113</v>
      </c>
      <c r="B3100" s="5">
        <v>45787.083333333336</v>
      </c>
      <c r="C3100" s="1" t="s">
        <v>23</v>
      </c>
      <c r="D3100" s="1" t="s">
        <v>37</v>
      </c>
      <c r="E3100" s="1">
        <v>9</v>
      </c>
      <c r="F3100" s="1">
        <v>445.3</v>
      </c>
      <c r="G3100" s="1">
        <v>18.29</v>
      </c>
      <c r="H3100">
        <f t="shared" si="48"/>
        <v>4007.7000000000003</v>
      </c>
    </row>
    <row r="3101" spans="1:8" x14ac:dyDescent="0.25">
      <c r="A3101" s="1" t="s">
        <v>3114</v>
      </c>
      <c r="B3101" s="5">
        <v>45787.125</v>
      </c>
      <c r="C3101" s="1" t="s">
        <v>8</v>
      </c>
      <c r="D3101" s="1" t="s">
        <v>9</v>
      </c>
      <c r="E3101" s="1">
        <v>5</v>
      </c>
      <c r="F3101" s="1">
        <v>401.68</v>
      </c>
      <c r="G3101" s="1">
        <v>7.33</v>
      </c>
      <c r="H3101">
        <f t="shared" si="48"/>
        <v>2008.4</v>
      </c>
    </row>
    <row r="3102" spans="1:8" x14ac:dyDescent="0.25">
      <c r="A3102" s="1" t="s">
        <v>3115</v>
      </c>
      <c r="B3102" s="5">
        <v>45787.166666666664</v>
      </c>
      <c r="C3102" s="1" t="s">
        <v>8</v>
      </c>
      <c r="D3102" s="1" t="s">
        <v>19</v>
      </c>
      <c r="E3102" s="1">
        <v>16</v>
      </c>
      <c r="F3102" s="1">
        <v>157.99</v>
      </c>
      <c r="G3102" s="1">
        <v>39.54</v>
      </c>
      <c r="H3102">
        <f t="shared" si="48"/>
        <v>2527.84</v>
      </c>
    </row>
    <row r="3103" spans="1:8" x14ac:dyDescent="0.25">
      <c r="A3103" s="1" t="s">
        <v>3116</v>
      </c>
      <c r="B3103" s="5">
        <v>45787.208333333336</v>
      </c>
      <c r="C3103" s="1" t="s">
        <v>13</v>
      </c>
      <c r="D3103" s="1" t="s">
        <v>9</v>
      </c>
      <c r="E3103" s="1">
        <v>18</v>
      </c>
      <c r="F3103" s="1">
        <v>199.24</v>
      </c>
      <c r="G3103" s="1">
        <v>20.86</v>
      </c>
      <c r="H3103">
        <f t="shared" si="48"/>
        <v>3586.32</v>
      </c>
    </row>
    <row r="3104" spans="1:8" x14ac:dyDescent="0.25">
      <c r="A3104" s="1" t="s">
        <v>3117</v>
      </c>
      <c r="B3104" s="5">
        <v>45787.25</v>
      </c>
      <c r="C3104" s="1" t="s">
        <v>8</v>
      </c>
      <c r="D3104" s="1" t="s">
        <v>9</v>
      </c>
      <c r="E3104" s="1">
        <v>17</v>
      </c>
      <c r="F3104" s="1">
        <v>306.39</v>
      </c>
      <c r="G3104" s="1">
        <v>45.04</v>
      </c>
      <c r="H3104">
        <f t="shared" si="48"/>
        <v>5208.63</v>
      </c>
    </row>
    <row r="3105" spans="1:8" x14ac:dyDescent="0.25">
      <c r="A3105" s="1" t="s">
        <v>3118</v>
      </c>
      <c r="B3105" s="5">
        <v>45787.291666666664</v>
      </c>
      <c r="C3105" s="1" t="s">
        <v>23</v>
      </c>
      <c r="D3105" s="1" t="s">
        <v>16</v>
      </c>
      <c r="E3105" s="1">
        <v>18</v>
      </c>
      <c r="F3105" s="1">
        <v>22.95</v>
      </c>
      <c r="G3105" s="1">
        <v>22.78</v>
      </c>
      <c r="H3105">
        <f t="shared" si="48"/>
        <v>413.09999999999997</v>
      </c>
    </row>
    <row r="3106" spans="1:8" x14ac:dyDescent="0.25">
      <c r="A3106" s="1" t="s">
        <v>3119</v>
      </c>
      <c r="B3106" s="5">
        <v>45787.333333333336</v>
      </c>
      <c r="C3106" s="1" t="s">
        <v>23</v>
      </c>
      <c r="D3106" s="1" t="s">
        <v>19</v>
      </c>
      <c r="E3106" s="1">
        <v>1</v>
      </c>
      <c r="F3106" s="1">
        <v>371.86</v>
      </c>
      <c r="G3106" s="1">
        <v>37.29</v>
      </c>
      <c r="H3106">
        <f t="shared" si="48"/>
        <v>371.86</v>
      </c>
    </row>
    <row r="3107" spans="1:8" x14ac:dyDescent="0.25">
      <c r="A3107" s="1" t="s">
        <v>3120</v>
      </c>
      <c r="B3107" s="5">
        <v>45787.375</v>
      </c>
      <c r="C3107" s="1" t="s">
        <v>13</v>
      </c>
      <c r="D3107" s="1" t="s">
        <v>9</v>
      </c>
      <c r="E3107" s="1">
        <v>19</v>
      </c>
      <c r="F3107" s="1">
        <v>397.77</v>
      </c>
      <c r="G3107" s="1">
        <v>47.28</v>
      </c>
      <c r="H3107">
        <f t="shared" si="48"/>
        <v>7557.6299999999992</v>
      </c>
    </row>
    <row r="3108" spans="1:8" x14ac:dyDescent="0.25">
      <c r="A3108" s="1" t="s">
        <v>3121</v>
      </c>
      <c r="B3108" s="5">
        <v>45787.416666666664</v>
      </c>
      <c r="C3108" s="1" t="s">
        <v>23</v>
      </c>
      <c r="D3108" s="1" t="s">
        <v>9</v>
      </c>
      <c r="E3108" s="1">
        <v>8</v>
      </c>
      <c r="F3108" s="1">
        <v>387.95</v>
      </c>
      <c r="G3108" s="1">
        <v>34.299999999999997</v>
      </c>
      <c r="H3108">
        <f t="shared" si="48"/>
        <v>3103.6</v>
      </c>
    </row>
    <row r="3109" spans="1:8" x14ac:dyDescent="0.25">
      <c r="A3109" s="1" t="s">
        <v>3122</v>
      </c>
      <c r="B3109" s="5">
        <v>45787.458333333336</v>
      </c>
      <c r="C3109" s="1" t="s">
        <v>11</v>
      </c>
      <c r="D3109" s="1" t="s">
        <v>19</v>
      </c>
      <c r="E3109" s="1">
        <v>3</v>
      </c>
      <c r="F3109" s="1">
        <v>178.46</v>
      </c>
      <c r="G3109" s="1">
        <v>23.61</v>
      </c>
      <c r="H3109">
        <f t="shared" si="48"/>
        <v>535.38</v>
      </c>
    </row>
    <row r="3110" spans="1:8" x14ac:dyDescent="0.25">
      <c r="A3110" s="1" t="s">
        <v>3123</v>
      </c>
      <c r="B3110" s="5">
        <v>45787.5</v>
      </c>
      <c r="C3110" s="1" t="s">
        <v>13</v>
      </c>
      <c r="D3110" s="1" t="s">
        <v>16</v>
      </c>
      <c r="E3110" s="1">
        <v>5</v>
      </c>
      <c r="F3110" s="1">
        <v>216.24</v>
      </c>
      <c r="G3110" s="1">
        <v>30.53</v>
      </c>
      <c r="H3110">
        <f t="shared" si="48"/>
        <v>1081.2</v>
      </c>
    </row>
    <row r="3111" spans="1:8" x14ac:dyDescent="0.25">
      <c r="A3111" s="1" t="s">
        <v>3124</v>
      </c>
      <c r="B3111" s="5">
        <v>45787.541666666664</v>
      </c>
      <c r="C3111" s="1" t="s">
        <v>23</v>
      </c>
      <c r="D3111" s="1" t="s">
        <v>9</v>
      </c>
      <c r="E3111" s="1">
        <v>8</v>
      </c>
      <c r="F3111" s="1">
        <v>20.88</v>
      </c>
      <c r="G3111" s="1">
        <v>29.46</v>
      </c>
      <c r="H3111">
        <f t="shared" si="48"/>
        <v>167.04</v>
      </c>
    </row>
    <row r="3112" spans="1:8" x14ac:dyDescent="0.25">
      <c r="A3112" s="1" t="s">
        <v>3125</v>
      </c>
      <c r="B3112" s="5">
        <v>45787.583333333336</v>
      </c>
      <c r="C3112" s="1" t="s">
        <v>13</v>
      </c>
      <c r="D3112" s="1" t="s">
        <v>37</v>
      </c>
      <c r="E3112" s="1">
        <v>19</v>
      </c>
      <c r="F3112" s="1">
        <v>189.04</v>
      </c>
      <c r="G3112" s="1">
        <v>31.32</v>
      </c>
      <c r="H3112">
        <f t="shared" si="48"/>
        <v>3591.7599999999998</v>
      </c>
    </row>
    <row r="3113" spans="1:8" x14ac:dyDescent="0.25">
      <c r="A3113" s="1" t="s">
        <v>3126</v>
      </c>
      <c r="B3113" s="5">
        <v>45787.625</v>
      </c>
      <c r="C3113" s="1" t="s">
        <v>8</v>
      </c>
      <c r="D3113" s="1" t="s">
        <v>9</v>
      </c>
      <c r="E3113" s="1">
        <v>18</v>
      </c>
      <c r="F3113" s="1">
        <v>215.56</v>
      </c>
      <c r="G3113" s="1">
        <v>11.61</v>
      </c>
      <c r="H3113">
        <f t="shared" si="48"/>
        <v>3880.08</v>
      </c>
    </row>
    <row r="3114" spans="1:8" x14ac:dyDescent="0.25">
      <c r="A3114" s="1" t="s">
        <v>3127</v>
      </c>
      <c r="B3114" s="5">
        <v>45787.666666666664</v>
      </c>
      <c r="C3114" s="1" t="s">
        <v>23</v>
      </c>
      <c r="D3114" s="1" t="s">
        <v>37</v>
      </c>
      <c r="E3114" s="1">
        <v>18</v>
      </c>
      <c r="F3114" s="1">
        <v>409.58</v>
      </c>
      <c r="G3114" s="1">
        <v>36.43</v>
      </c>
      <c r="H3114">
        <f t="shared" si="48"/>
        <v>7372.44</v>
      </c>
    </row>
    <row r="3115" spans="1:8" x14ac:dyDescent="0.25">
      <c r="A3115" s="1" t="s">
        <v>3128</v>
      </c>
      <c r="B3115" s="5">
        <v>45787.708333333336</v>
      </c>
      <c r="C3115" s="1" t="s">
        <v>11</v>
      </c>
      <c r="D3115" s="1" t="s">
        <v>16</v>
      </c>
      <c r="E3115" s="1">
        <v>1</v>
      </c>
      <c r="F3115" s="1">
        <v>403.94</v>
      </c>
      <c r="G3115" s="1">
        <v>11.53</v>
      </c>
      <c r="H3115">
        <f t="shared" si="48"/>
        <v>403.94</v>
      </c>
    </row>
    <row r="3116" spans="1:8" x14ac:dyDescent="0.25">
      <c r="A3116" s="1" t="s">
        <v>3129</v>
      </c>
      <c r="B3116" s="5">
        <v>45787.75</v>
      </c>
      <c r="C3116" s="1" t="s">
        <v>23</v>
      </c>
      <c r="D3116" s="1" t="s">
        <v>9</v>
      </c>
      <c r="E3116" s="1">
        <v>15</v>
      </c>
      <c r="F3116" s="1">
        <v>435.27</v>
      </c>
      <c r="G3116" s="1">
        <v>5.66</v>
      </c>
      <c r="H3116">
        <f t="shared" si="48"/>
        <v>6529.0499999999993</v>
      </c>
    </row>
    <row r="3117" spans="1:8" x14ac:dyDescent="0.25">
      <c r="A3117" s="1" t="s">
        <v>3130</v>
      </c>
      <c r="B3117" s="5">
        <v>45787.791666666664</v>
      </c>
      <c r="C3117" s="1" t="s">
        <v>13</v>
      </c>
      <c r="D3117" s="1" t="s">
        <v>19</v>
      </c>
      <c r="E3117" s="1">
        <v>18</v>
      </c>
      <c r="F3117" s="1">
        <v>400.08</v>
      </c>
      <c r="G3117" s="1">
        <v>33.119999999999997</v>
      </c>
      <c r="H3117">
        <f t="shared" si="48"/>
        <v>7201.44</v>
      </c>
    </row>
    <row r="3118" spans="1:8" x14ac:dyDescent="0.25">
      <c r="A3118" s="1" t="s">
        <v>3131</v>
      </c>
      <c r="B3118" s="5">
        <v>45787.833333333336</v>
      </c>
      <c r="C3118" s="1" t="s">
        <v>13</v>
      </c>
      <c r="D3118" s="1" t="s">
        <v>19</v>
      </c>
      <c r="E3118" s="1">
        <v>7</v>
      </c>
      <c r="F3118" s="1">
        <v>19.059999999999999</v>
      </c>
      <c r="G3118" s="1">
        <v>10.26</v>
      </c>
      <c r="H3118">
        <f t="shared" si="48"/>
        <v>133.41999999999999</v>
      </c>
    </row>
    <row r="3119" spans="1:8" x14ac:dyDescent="0.25">
      <c r="A3119" s="1" t="s">
        <v>3132</v>
      </c>
      <c r="B3119" s="5">
        <v>45787.875</v>
      </c>
      <c r="C3119" s="1" t="s">
        <v>23</v>
      </c>
      <c r="D3119" s="1" t="s">
        <v>9</v>
      </c>
      <c r="E3119" s="1">
        <v>16</v>
      </c>
      <c r="F3119" s="1">
        <v>294.20999999999998</v>
      </c>
      <c r="G3119" s="1">
        <v>39.67</v>
      </c>
      <c r="H3119">
        <f t="shared" si="48"/>
        <v>4707.3599999999997</v>
      </c>
    </row>
    <row r="3120" spans="1:8" x14ac:dyDescent="0.25">
      <c r="A3120" s="1" t="s">
        <v>3133</v>
      </c>
      <c r="B3120" s="5">
        <v>45787.916666666664</v>
      </c>
      <c r="C3120" s="1" t="s">
        <v>11</v>
      </c>
      <c r="D3120" s="1" t="s">
        <v>16</v>
      </c>
      <c r="E3120" s="1">
        <v>16</v>
      </c>
      <c r="F3120" s="1">
        <v>45.15</v>
      </c>
      <c r="G3120" s="1">
        <v>43.97</v>
      </c>
      <c r="H3120">
        <f t="shared" si="48"/>
        <v>722.4</v>
      </c>
    </row>
    <row r="3121" spans="1:8" x14ac:dyDescent="0.25">
      <c r="A3121" s="1" t="s">
        <v>3134</v>
      </c>
      <c r="B3121" s="5">
        <v>45787.958333333336</v>
      </c>
      <c r="C3121" s="1" t="s">
        <v>11</v>
      </c>
      <c r="D3121" s="1" t="s">
        <v>16</v>
      </c>
      <c r="E3121" s="1">
        <v>15</v>
      </c>
      <c r="F3121" s="1">
        <v>133.94</v>
      </c>
      <c r="G3121" s="1">
        <v>47.51</v>
      </c>
      <c r="H3121">
        <f t="shared" si="48"/>
        <v>2009.1</v>
      </c>
    </row>
    <row r="3122" spans="1:8" x14ac:dyDescent="0.25">
      <c r="A3122" s="1" t="s">
        <v>3135</v>
      </c>
      <c r="B3122" s="5">
        <v>45788</v>
      </c>
      <c r="C3122" s="1" t="s">
        <v>11</v>
      </c>
      <c r="D3122" s="1" t="s">
        <v>19</v>
      </c>
      <c r="E3122" s="1">
        <v>6</v>
      </c>
      <c r="F3122" s="1">
        <v>266.77</v>
      </c>
      <c r="G3122" s="1">
        <v>34.9</v>
      </c>
      <c r="H3122">
        <f t="shared" si="48"/>
        <v>1600.62</v>
      </c>
    </row>
    <row r="3123" spans="1:8" x14ac:dyDescent="0.25">
      <c r="A3123" s="1" t="s">
        <v>3136</v>
      </c>
      <c r="B3123" s="5">
        <v>45788.041666666664</v>
      </c>
      <c r="C3123" s="1" t="s">
        <v>13</v>
      </c>
      <c r="D3123" s="1" t="s">
        <v>9</v>
      </c>
      <c r="E3123" s="1">
        <v>9</v>
      </c>
      <c r="F3123" s="1">
        <v>319.92</v>
      </c>
      <c r="G3123" s="1">
        <v>26.69</v>
      </c>
      <c r="H3123">
        <f t="shared" si="48"/>
        <v>2879.28</v>
      </c>
    </row>
    <row r="3124" spans="1:8" x14ac:dyDescent="0.25">
      <c r="A3124" s="1" t="s">
        <v>3137</v>
      </c>
      <c r="B3124" s="5">
        <v>45788.083333333336</v>
      </c>
      <c r="C3124" s="1" t="s">
        <v>23</v>
      </c>
      <c r="D3124" s="1" t="s">
        <v>16</v>
      </c>
      <c r="E3124" s="1">
        <v>7</v>
      </c>
      <c r="F3124" s="1">
        <v>299.94</v>
      </c>
      <c r="G3124" s="1">
        <v>20.85</v>
      </c>
      <c r="H3124">
        <f t="shared" si="48"/>
        <v>2099.58</v>
      </c>
    </row>
    <row r="3125" spans="1:8" x14ac:dyDescent="0.25">
      <c r="A3125" s="1" t="s">
        <v>3138</v>
      </c>
      <c r="B3125" s="5">
        <v>45788.125</v>
      </c>
      <c r="C3125" s="1" t="s">
        <v>8</v>
      </c>
      <c r="D3125" s="1" t="s">
        <v>19</v>
      </c>
      <c r="E3125" s="1">
        <v>14</v>
      </c>
      <c r="F3125" s="1">
        <v>36.82</v>
      </c>
      <c r="G3125" s="1">
        <v>27.09</v>
      </c>
      <c r="H3125">
        <f t="shared" si="48"/>
        <v>515.48</v>
      </c>
    </row>
    <row r="3126" spans="1:8" x14ac:dyDescent="0.25">
      <c r="A3126" s="1" t="s">
        <v>3139</v>
      </c>
      <c r="B3126" s="5">
        <v>45788.166666666664</v>
      </c>
      <c r="C3126" s="1" t="s">
        <v>13</v>
      </c>
      <c r="D3126" s="1" t="s">
        <v>37</v>
      </c>
      <c r="E3126" s="1">
        <v>11</v>
      </c>
      <c r="F3126" s="1">
        <v>60.52</v>
      </c>
      <c r="G3126" s="1">
        <v>13.57</v>
      </c>
      <c r="H3126">
        <f t="shared" si="48"/>
        <v>665.72</v>
      </c>
    </row>
    <row r="3127" spans="1:8" x14ac:dyDescent="0.25">
      <c r="A3127" s="1" t="s">
        <v>3140</v>
      </c>
      <c r="B3127" s="5">
        <v>45788.208333333336</v>
      </c>
      <c r="C3127" s="1" t="s">
        <v>11</v>
      </c>
      <c r="D3127" s="1" t="s">
        <v>9</v>
      </c>
      <c r="E3127" s="1">
        <v>16</v>
      </c>
      <c r="F3127" s="1">
        <v>71.37</v>
      </c>
      <c r="G3127" s="1">
        <v>20.68</v>
      </c>
      <c r="H3127">
        <f t="shared" si="48"/>
        <v>1141.92</v>
      </c>
    </row>
    <row r="3128" spans="1:8" x14ac:dyDescent="0.25">
      <c r="A3128" s="1" t="s">
        <v>3141</v>
      </c>
      <c r="B3128" s="5">
        <v>45788.25</v>
      </c>
      <c r="C3128" s="1" t="s">
        <v>23</v>
      </c>
      <c r="D3128" s="1" t="s">
        <v>37</v>
      </c>
      <c r="E3128" s="1">
        <v>6</v>
      </c>
      <c r="F3128" s="1">
        <v>55.22</v>
      </c>
      <c r="G3128" s="1">
        <v>37.31</v>
      </c>
      <c r="H3128">
        <f t="shared" si="48"/>
        <v>331.32</v>
      </c>
    </row>
    <row r="3129" spans="1:8" x14ac:dyDescent="0.25">
      <c r="A3129" s="1" t="s">
        <v>3142</v>
      </c>
      <c r="B3129" s="5">
        <v>45788.291666666664</v>
      </c>
      <c r="C3129" s="1" t="s">
        <v>11</v>
      </c>
      <c r="D3129" s="1" t="s">
        <v>37</v>
      </c>
      <c r="E3129" s="1">
        <v>16</v>
      </c>
      <c r="F3129" s="1">
        <v>92.94</v>
      </c>
      <c r="G3129" s="1">
        <v>14.78</v>
      </c>
      <c r="H3129">
        <f t="shared" si="48"/>
        <v>1487.04</v>
      </c>
    </row>
    <row r="3130" spans="1:8" x14ac:dyDescent="0.25">
      <c r="A3130" s="1" t="s">
        <v>3143</v>
      </c>
      <c r="B3130" s="5">
        <v>45788.333333333336</v>
      </c>
      <c r="C3130" s="1" t="s">
        <v>8</v>
      </c>
      <c r="D3130" s="1" t="s">
        <v>16</v>
      </c>
      <c r="E3130" s="1">
        <v>16</v>
      </c>
      <c r="F3130" s="1">
        <v>314.64999999999998</v>
      </c>
      <c r="G3130" s="1">
        <v>16.88</v>
      </c>
      <c r="H3130">
        <f t="shared" si="48"/>
        <v>5034.3999999999996</v>
      </c>
    </row>
    <row r="3131" spans="1:8" x14ac:dyDescent="0.25">
      <c r="A3131" s="1" t="s">
        <v>3144</v>
      </c>
      <c r="B3131" s="5">
        <v>45788.375</v>
      </c>
      <c r="C3131" s="1" t="s">
        <v>11</v>
      </c>
      <c r="D3131" s="1" t="s">
        <v>16</v>
      </c>
      <c r="E3131" s="1">
        <v>12</v>
      </c>
      <c r="F3131" s="1">
        <v>376.5</v>
      </c>
      <c r="G3131" s="1">
        <v>38.72</v>
      </c>
      <c r="H3131">
        <f t="shared" si="48"/>
        <v>4518</v>
      </c>
    </row>
    <row r="3132" spans="1:8" x14ac:dyDescent="0.25">
      <c r="A3132" s="1" t="s">
        <v>3145</v>
      </c>
      <c r="B3132" s="5">
        <v>45788.416666666664</v>
      </c>
      <c r="C3132" s="1" t="s">
        <v>11</v>
      </c>
      <c r="D3132" s="1" t="s">
        <v>16</v>
      </c>
      <c r="E3132" s="1">
        <v>17</v>
      </c>
      <c r="F3132" s="1">
        <v>193.13</v>
      </c>
      <c r="G3132" s="1">
        <v>13</v>
      </c>
      <c r="H3132">
        <f t="shared" si="48"/>
        <v>3283.21</v>
      </c>
    </row>
    <row r="3133" spans="1:8" x14ac:dyDescent="0.25">
      <c r="A3133" s="1" t="s">
        <v>3146</v>
      </c>
      <c r="B3133" s="5">
        <v>45788.458333333336</v>
      </c>
      <c r="C3133" s="1" t="s">
        <v>8</v>
      </c>
      <c r="D3133" s="1" t="s">
        <v>9</v>
      </c>
      <c r="E3133" s="1">
        <v>5</v>
      </c>
      <c r="F3133" s="1">
        <v>316.51</v>
      </c>
      <c r="G3133" s="1">
        <v>16.059999999999999</v>
      </c>
      <c r="H3133">
        <f t="shared" si="48"/>
        <v>1582.55</v>
      </c>
    </row>
    <row r="3134" spans="1:8" x14ac:dyDescent="0.25">
      <c r="A3134" s="1" t="s">
        <v>3147</v>
      </c>
      <c r="B3134" s="5">
        <v>45788.5</v>
      </c>
      <c r="C3134" s="1" t="s">
        <v>23</v>
      </c>
      <c r="D3134" s="1" t="s">
        <v>37</v>
      </c>
      <c r="E3134" s="1">
        <v>13</v>
      </c>
      <c r="F3134" s="1">
        <v>102.41</v>
      </c>
      <c r="G3134" s="1">
        <v>5.79</v>
      </c>
      <c r="H3134">
        <f t="shared" si="48"/>
        <v>1331.33</v>
      </c>
    </row>
    <row r="3135" spans="1:8" x14ac:dyDescent="0.25">
      <c r="A3135" s="1" t="s">
        <v>3148</v>
      </c>
      <c r="B3135" s="5">
        <v>45788.541666666664</v>
      </c>
      <c r="C3135" s="1" t="s">
        <v>13</v>
      </c>
      <c r="D3135" s="1" t="s">
        <v>9</v>
      </c>
      <c r="E3135" s="1">
        <v>8</v>
      </c>
      <c r="F3135" s="1">
        <v>438.39</v>
      </c>
      <c r="G3135" s="1">
        <v>37.4</v>
      </c>
      <c r="H3135">
        <f t="shared" si="48"/>
        <v>3507.12</v>
      </c>
    </row>
    <row r="3136" spans="1:8" x14ac:dyDescent="0.25">
      <c r="A3136" s="1" t="s">
        <v>3149</v>
      </c>
      <c r="B3136" s="5">
        <v>45788.583333333336</v>
      </c>
      <c r="C3136" s="1" t="s">
        <v>23</v>
      </c>
      <c r="D3136" s="1" t="s">
        <v>16</v>
      </c>
      <c r="E3136" s="1">
        <v>5</v>
      </c>
      <c r="F3136" s="1">
        <v>167.57</v>
      </c>
      <c r="G3136" s="1">
        <v>32.81</v>
      </c>
      <c r="H3136">
        <f t="shared" si="48"/>
        <v>837.84999999999991</v>
      </c>
    </row>
    <row r="3137" spans="1:8" x14ac:dyDescent="0.25">
      <c r="A3137" s="1" t="s">
        <v>3150</v>
      </c>
      <c r="B3137" s="5">
        <v>45788.625</v>
      </c>
      <c r="C3137" s="1" t="s">
        <v>8</v>
      </c>
      <c r="D3137" s="1" t="s">
        <v>37</v>
      </c>
      <c r="E3137" s="1">
        <v>12</v>
      </c>
      <c r="F3137" s="1">
        <v>383.03</v>
      </c>
      <c r="G3137" s="1">
        <v>36.25</v>
      </c>
      <c r="H3137">
        <f t="shared" si="48"/>
        <v>4596.3599999999997</v>
      </c>
    </row>
    <row r="3138" spans="1:8" x14ac:dyDescent="0.25">
      <c r="A3138" s="1" t="s">
        <v>3151</v>
      </c>
      <c r="B3138" s="5">
        <v>45788.666666666664</v>
      </c>
      <c r="C3138" s="1" t="s">
        <v>11</v>
      </c>
      <c r="D3138" s="1" t="s">
        <v>9</v>
      </c>
      <c r="E3138" s="1">
        <v>9</v>
      </c>
      <c r="F3138" s="1">
        <v>426.26</v>
      </c>
      <c r="G3138" s="1">
        <v>14.64</v>
      </c>
      <c r="H3138">
        <f t="shared" ref="H3138:H3201" si="49">E3138*F3138</f>
        <v>3836.34</v>
      </c>
    </row>
    <row r="3139" spans="1:8" x14ac:dyDescent="0.25">
      <c r="A3139" s="1" t="s">
        <v>3152</v>
      </c>
      <c r="B3139" s="5">
        <v>45788.708333333336</v>
      </c>
      <c r="C3139" s="1" t="s">
        <v>23</v>
      </c>
      <c r="D3139" s="1" t="s">
        <v>9</v>
      </c>
      <c r="E3139" s="1">
        <v>3</v>
      </c>
      <c r="F3139" s="1">
        <v>391.22</v>
      </c>
      <c r="G3139" s="1">
        <v>35.93</v>
      </c>
      <c r="H3139">
        <f t="shared" si="49"/>
        <v>1173.6600000000001</v>
      </c>
    </row>
    <row r="3140" spans="1:8" x14ac:dyDescent="0.25">
      <c r="A3140" s="1" t="s">
        <v>3153</v>
      </c>
      <c r="B3140" s="5">
        <v>45788.75</v>
      </c>
      <c r="C3140" s="1" t="s">
        <v>13</v>
      </c>
      <c r="D3140" s="1" t="s">
        <v>19</v>
      </c>
      <c r="E3140" s="1">
        <v>3</v>
      </c>
      <c r="F3140" s="1">
        <v>44.64</v>
      </c>
      <c r="G3140" s="1">
        <v>31.84</v>
      </c>
      <c r="H3140">
        <f t="shared" si="49"/>
        <v>133.92000000000002</v>
      </c>
    </row>
    <row r="3141" spans="1:8" x14ac:dyDescent="0.25">
      <c r="A3141" s="1" t="s">
        <v>3154</v>
      </c>
      <c r="B3141" s="5">
        <v>45788.791666666664</v>
      </c>
      <c r="C3141" s="1" t="s">
        <v>8</v>
      </c>
      <c r="D3141" s="1" t="s">
        <v>9</v>
      </c>
      <c r="E3141" s="1">
        <v>1</v>
      </c>
      <c r="F3141" s="1">
        <v>298.06</v>
      </c>
      <c r="G3141" s="1">
        <v>21.48</v>
      </c>
      <c r="H3141">
        <f t="shared" si="49"/>
        <v>298.06</v>
      </c>
    </row>
    <row r="3142" spans="1:8" x14ac:dyDescent="0.25">
      <c r="A3142" s="1" t="s">
        <v>3155</v>
      </c>
      <c r="B3142" s="5">
        <v>45788.833333333336</v>
      </c>
      <c r="C3142" s="1" t="s">
        <v>23</v>
      </c>
      <c r="D3142" s="1" t="s">
        <v>16</v>
      </c>
      <c r="E3142" s="1">
        <v>18</v>
      </c>
      <c r="F3142" s="1">
        <v>67.680000000000007</v>
      </c>
      <c r="G3142" s="1">
        <v>24.7</v>
      </c>
      <c r="H3142">
        <f t="shared" si="49"/>
        <v>1218.2400000000002</v>
      </c>
    </row>
    <row r="3143" spans="1:8" x14ac:dyDescent="0.25">
      <c r="A3143" s="1" t="s">
        <v>3156</v>
      </c>
      <c r="B3143" s="5">
        <v>45788.875</v>
      </c>
      <c r="C3143" s="1" t="s">
        <v>13</v>
      </c>
      <c r="D3143" s="1" t="s">
        <v>9</v>
      </c>
      <c r="E3143" s="1">
        <v>12</v>
      </c>
      <c r="F3143" s="1">
        <v>17.96</v>
      </c>
      <c r="G3143" s="1">
        <v>30.56</v>
      </c>
      <c r="H3143">
        <f t="shared" si="49"/>
        <v>215.52</v>
      </c>
    </row>
    <row r="3144" spans="1:8" x14ac:dyDescent="0.25">
      <c r="A3144" s="1" t="s">
        <v>3157</v>
      </c>
      <c r="B3144" s="5">
        <v>45788.916666666664</v>
      </c>
      <c r="C3144" s="1" t="s">
        <v>8</v>
      </c>
      <c r="D3144" s="1" t="s">
        <v>37</v>
      </c>
      <c r="E3144" s="1">
        <v>9</v>
      </c>
      <c r="F3144" s="1">
        <v>38</v>
      </c>
      <c r="G3144" s="1">
        <v>27.2</v>
      </c>
      <c r="H3144">
        <f t="shared" si="49"/>
        <v>342</v>
      </c>
    </row>
    <row r="3145" spans="1:8" x14ac:dyDescent="0.25">
      <c r="A3145" s="1" t="s">
        <v>3158</v>
      </c>
      <c r="B3145" s="5">
        <v>45788.958333333336</v>
      </c>
      <c r="C3145" s="1" t="s">
        <v>13</v>
      </c>
      <c r="D3145" s="1" t="s">
        <v>9</v>
      </c>
      <c r="E3145" s="1">
        <v>9</v>
      </c>
      <c r="F3145" s="1">
        <v>413.57</v>
      </c>
      <c r="G3145" s="1">
        <v>33.880000000000003</v>
      </c>
      <c r="H3145">
        <f t="shared" si="49"/>
        <v>3722.13</v>
      </c>
    </row>
    <row r="3146" spans="1:8" x14ac:dyDescent="0.25">
      <c r="A3146" s="1" t="s">
        <v>3159</v>
      </c>
      <c r="B3146" s="5">
        <v>45789</v>
      </c>
      <c r="C3146" s="1" t="s">
        <v>8</v>
      </c>
      <c r="D3146" s="1" t="s">
        <v>19</v>
      </c>
      <c r="E3146" s="1">
        <v>18</v>
      </c>
      <c r="F3146" s="1">
        <v>410.23</v>
      </c>
      <c r="G3146" s="1">
        <v>13.14</v>
      </c>
      <c r="H3146">
        <f t="shared" si="49"/>
        <v>7384.14</v>
      </c>
    </row>
    <row r="3147" spans="1:8" x14ac:dyDescent="0.25">
      <c r="A3147" s="1" t="s">
        <v>3160</v>
      </c>
      <c r="B3147" s="5">
        <v>45789.041666666664</v>
      </c>
      <c r="C3147" s="1" t="s">
        <v>11</v>
      </c>
      <c r="D3147" s="1" t="s">
        <v>37</v>
      </c>
      <c r="E3147" s="1">
        <v>18</v>
      </c>
      <c r="F3147" s="1">
        <v>113.62</v>
      </c>
      <c r="G3147" s="1">
        <v>29.33</v>
      </c>
      <c r="H3147">
        <f t="shared" si="49"/>
        <v>2045.16</v>
      </c>
    </row>
    <row r="3148" spans="1:8" x14ac:dyDescent="0.25">
      <c r="A3148" s="1" t="s">
        <v>3161</v>
      </c>
      <c r="B3148" s="5">
        <v>45789.083333333336</v>
      </c>
      <c r="C3148" s="1" t="s">
        <v>23</v>
      </c>
      <c r="D3148" s="1" t="s">
        <v>37</v>
      </c>
      <c r="E3148" s="1">
        <v>7</v>
      </c>
      <c r="F3148" s="1">
        <v>253.2</v>
      </c>
      <c r="G3148" s="1">
        <v>25.26</v>
      </c>
      <c r="H3148">
        <f t="shared" si="49"/>
        <v>1772.3999999999999</v>
      </c>
    </row>
    <row r="3149" spans="1:8" x14ac:dyDescent="0.25">
      <c r="A3149" s="1" t="s">
        <v>3162</v>
      </c>
      <c r="B3149" s="5">
        <v>45789.125</v>
      </c>
      <c r="C3149" s="1" t="s">
        <v>13</v>
      </c>
      <c r="D3149" s="1" t="s">
        <v>19</v>
      </c>
      <c r="E3149" s="1">
        <v>4</v>
      </c>
      <c r="F3149" s="1">
        <v>430.46</v>
      </c>
      <c r="G3149" s="1">
        <v>25.75</v>
      </c>
      <c r="H3149">
        <f t="shared" si="49"/>
        <v>1721.84</v>
      </c>
    </row>
    <row r="3150" spans="1:8" x14ac:dyDescent="0.25">
      <c r="A3150" s="1" t="s">
        <v>3163</v>
      </c>
      <c r="B3150" s="5">
        <v>45789.166666666664</v>
      </c>
      <c r="C3150" s="1" t="s">
        <v>8</v>
      </c>
      <c r="D3150" s="1" t="s">
        <v>16</v>
      </c>
      <c r="E3150" s="1">
        <v>13</v>
      </c>
      <c r="F3150" s="1">
        <v>231.32</v>
      </c>
      <c r="G3150" s="1">
        <v>26.12</v>
      </c>
      <c r="H3150">
        <f t="shared" si="49"/>
        <v>3007.16</v>
      </c>
    </row>
    <row r="3151" spans="1:8" x14ac:dyDescent="0.25">
      <c r="A3151" s="1" t="s">
        <v>3164</v>
      </c>
      <c r="B3151" s="5">
        <v>45789.208333333336</v>
      </c>
      <c r="C3151" s="1" t="s">
        <v>13</v>
      </c>
      <c r="D3151" s="1" t="s">
        <v>37</v>
      </c>
      <c r="E3151" s="1">
        <v>17</v>
      </c>
      <c r="F3151" s="1">
        <v>186.51</v>
      </c>
      <c r="G3151" s="1">
        <v>44.67</v>
      </c>
      <c r="H3151">
        <f t="shared" si="49"/>
        <v>3170.67</v>
      </c>
    </row>
    <row r="3152" spans="1:8" x14ac:dyDescent="0.25">
      <c r="A3152" s="1" t="s">
        <v>3165</v>
      </c>
      <c r="B3152" s="5">
        <v>45789.25</v>
      </c>
      <c r="C3152" s="1" t="s">
        <v>13</v>
      </c>
      <c r="D3152" s="1" t="s">
        <v>16</v>
      </c>
      <c r="E3152" s="1">
        <v>2</v>
      </c>
      <c r="F3152" s="1">
        <v>225.47</v>
      </c>
      <c r="G3152" s="1">
        <v>41.84</v>
      </c>
      <c r="H3152">
        <f t="shared" si="49"/>
        <v>450.94</v>
      </c>
    </row>
    <row r="3153" spans="1:8" x14ac:dyDescent="0.25">
      <c r="A3153" s="1" t="s">
        <v>3166</v>
      </c>
      <c r="B3153" s="5">
        <v>45789.291666666664</v>
      </c>
      <c r="C3153" s="1" t="s">
        <v>23</v>
      </c>
      <c r="D3153" s="1" t="s">
        <v>37</v>
      </c>
      <c r="E3153" s="1">
        <v>14</v>
      </c>
      <c r="F3153" s="1">
        <v>358.85</v>
      </c>
      <c r="G3153" s="1">
        <v>33.33</v>
      </c>
      <c r="H3153">
        <f t="shared" si="49"/>
        <v>5023.9000000000005</v>
      </c>
    </row>
    <row r="3154" spans="1:8" x14ac:dyDescent="0.25">
      <c r="A3154" s="1" t="s">
        <v>3167</v>
      </c>
      <c r="B3154" s="5">
        <v>45789.333333333336</v>
      </c>
      <c r="C3154" s="1" t="s">
        <v>11</v>
      </c>
      <c r="D3154" s="1" t="s">
        <v>37</v>
      </c>
      <c r="E3154" s="1">
        <v>3</v>
      </c>
      <c r="F3154" s="1">
        <v>222.88</v>
      </c>
      <c r="G3154" s="1">
        <v>37.24</v>
      </c>
      <c r="H3154">
        <f t="shared" si="49"/>
        <v>668.64</v>
      </c>
    </row>
    <row r="3155" spans="1:8" x14ac:dyDescent="0.25">
      <c r="A3155" s="1" t="s">
        <v>3168</v>
      </c>
      <c r="B3155" s="5">
        <v>45789.375</v>
      </c>
      <c r="C3155" s="1" t="s">
        <v>13</v>
      </c>
      <c r="D3155" s="1" t="s">
        <v>16</v>
      </c>
      <c r="E3155" s="1">
        <v>5</v>
      </c>
      <c r="F3155" s="1">
        <v>355.83</v>
      </c>
      <c r="G3155" s="1">
        <v>6.93</v>
      </c>
      <c r="H3155">
        <f t="shared" si="49"/>
        <v>1779.1499999999999</v>
      </c>
    </row>
    <row r="3156" spans="1:8" x14ac:dyDescent="0.25">
      <c r="A3156" s="1" t="s">
        <v>3169</v>
      </c>
      <c r="B3156" s="5">
        <v>45789.416666666664</v>
      </c>
      <c r="C3156" s="1" t="s">
        <v>8</v>
      </c>
      <c r="D3156" s="1" t="s">
        <v>37</v>
      </c>
      <c r="E3156" s="1">
        <v>14</v>
      </c>
      <c r="F3156" s="1">
        <v>203.07</v>
      </c>
      <c r="G3156" s="1">
        <v>38.479999999999997</v>
      </c>
      <c r="H3156">
        <f t="shared" si="49"/>
        <v>2842.98</v>
      </c>
    </row>
    <row r="3157" spans="1:8" x14ac:dyDescent="0.25">
      <c r="A3157" s="1" t="s">
        <v>3170</v>
      </c>
      <c r="B3157" s="5">
        <v>45789.458333333336</v>
      </c>
      <c r="C3157" s="1" t="s">
        <v>8</v>
      </c>
      <c r="D3157" s="1" t="s">
        <v>16</v>
      </c>
      <c r="E3157" s="1">
        <v>3</v>
      </c>
      <c r="F3157" s="1">
        <v>125</v>
      </c>
      <c r="G3157" s="1">
        <v>26.88</v>
      </c>
      <c r="H3157">
        <f t="shared" si="49"/>
        <v>375</v>
      </c>
    </row>
    <row r="3158" spans="1:8" x14ac:dyDescent="0.25">
      <c r="A3158" s="1" t="s">
        <v>3171</v>
      </c>
      <c r="B3158" s="5">
        <v>45789.5</v>
      </c>
      <c r="C3158" s="1" t="s">
        <v>11</v>
      </c>
      <c r="D3158" s="1" t="s">
        <v>19</v>
      </c>
      <c r="E3158" s="1">
        <v>7</v>
      </c>
      <c r="F3158" s="1">
        <v>157.35</v>
      </c>
      <c r="G3158" s="1">
        <v>19.3</v>
      </c>
      <c r="H3158">
        <f t="shared" si="49"/>
        <v>1101.45</v>
      </c>
    </row>
    <row r="3159" spans="1:8" x14ac:dyDescent="0.25">
      <c r="A3159" s="1" t="s">
        <v>3172</v>
      </c>
      <c r="B3159" s="5">
        <v>45789.541666666664</v>
      </c>
      <c r="C3159" s="1" t="s">
        <v>8</v>
      </c>
      <c r="D3159" s="1" t="s">
        <v>16</v>
      </c>
      <c r="E3159" s="1">
        <v>18</v>
      </c>
      <c r="F3159" s="1">
        <v>49.31</v>
      </c>
      <c r="G3159" s="1">
        <v>11.29</v>
      </c>
      <c r="H3159">
        <f t="shared" si="49"/>
        <v>887.58</v>
      </c>
    </row>
    <row r="3160" spans="1:8" x14ac:dyDescent="0.25">
      <c r="A3160" s="1" t="s">
        <v>3173</v>
      </c>
      <c r="B3160" s="5">
        <v>45789.583333333336</v>
      </c>
      <c r="C3160" s="1" t="s">
        <v>11</v>
      </c>
      <c r="D3160" s="1" t="s">
        <v>19</v>
      </c>
      <c r="E3160" s="1">
        <v>13</v>
      </c>
      <c r="F3160" s="1">
        <v>231.61</v>
      </c>
      <c r="G3160" s="1">
        <v>8.3800000000000008</v>
      </c>
      <c r="H3160">
        <f t="shared" si="49"/>
        <v>3010.9300000000003</v>
      </c>
    </row>
    <row r="3161" spans="1:8" x14ac:dyDescent="0.25">
      <c r="A3161" s="1" t="s">
        <v>3174</v>
      </c>
      <c r="B3161" s="5">
        <v>45789.625</v>
      </c>
      <c r="C3161" s="1" t="s">
        <v>8</v>
      </c>
      <c r="D3161" s="1" t="s">
        <v>37</v>
      </c>
      <c r="E3161" s="1">
        <v>10</v>
      </c>
      <c r="F3161" s="1">
        <v>79.849999999999994</v>
      </c>
      <c r="G3161" s="1">
        <v>7.02</v>
      </c>
      <c r="H3161">
        <f t="shared" si="49"/>
        <v>798.5</v>
      </c>
    </row>
    <row r="3162" spans="1:8" x14ac:dyDescent="0.25">
      <c r="A3162" s="1" t="s">
        <v>3175</v>
      </c>
      <c r="B3162" s="5">
        <v>45789.666666666664</v>
      </c>
      <c r="C3162" s="1" t="s">
        <v>23</v>
      </c>
      <c r="D3162" s="1" t="s">
        <v>16</v>
      </c>
      <c r="E3162" s="1">
        <v>13</v>
      </c>
      <c r="F3162" s="1">
        <v>368.12</v>
      </c>
      <c r="G3162" s="1">
        <v>12.28</v>
      </c>
      <c r="H3162">
        <f t="shared" si="49"/>
        <v>4785.5600000000004</v>
      </c>
    </row>
    <row r="3163" spans="1:8" x14ac:dyDescent="0.25">
      <c r="A3163" s="1" t="s">
        <v>3176</v>
      </c>
      <c r="B3163" s="5">
        <v>45789.708333333336</v>
      </c>
      <c r="C3163" s="1" t="s">
        <v>13</v>
      </c>
      <c r="D3163" s="1" t="s">
        <v>37</v>
      </c>
      <c r="E3163" s="1">
        <v>16</v>
      </c>
      <c r="F3163" s="1">
        <v>198.25</v>
      </c>
      <c r="G3163" s="1">
        <v>6.36</v>
      </c>
      <c r="H3163">
        <f t="shared" si="49"/>
        <v>3172</v>
      </c>
    </row>
    <row r="3164" spans="1:8" x14ac:dyDescent="0.25">
      <c r="A3164" s="1" t="s">
        <v>3177</v>
      </c>
      <c r="B3164" s="5">
        <v>45789.75</v>
      </c>
      <c r="C3164" s="1" t="s">
        <v>23</v>
      </c>
      <c r="D3164" s="1" t="s">
        <v>16</v>
      </c>
      <c r="E3164" s="1">
        <v>9</v>
      </c>
      <c r="F3164" s="1">
        <v>347.89</v>
      </c>
      <c r="G3164" s="1">
        <v>37.97</v>
      </c>
      <c r="H3164">
        <f t="shared" si="49"/>
        <v>3131.0099999999998</v>
      </c>
    </row>
    <row r="3165" spans="1:8" x14ac:dyDescent="0.25">
      <c r="A3165" s="1" t="s">
        <v>3178</v>
      </c>
      <c r="B3165" s="5">
        <v>45789.791666666664</v>
      </c>
      <c r="C3165" s="1" t="s">
        <v>13</v>
      </c>
      <c r="D3165" s="1" t="s">
        <v>19</v>
      </c>
      <c r="E3165" s="1">
        <v>2</v>
      </c>
      <c r="F3165" s="1">
        <v>430.21</v>
      </c>
      <c r="G3165" s="1">
        <v>16.190000000000001</v>
      </c>
      <c r="H3165">
        <f t="shared" si="49"/>
        <v>860.42</v>
      </c>
    </row>
    <row r="3166" spans="1:8" x14ac:dyDescent="0.25">
      <c r="A3166" s="1" t="s">
        <v>3179</v>
      </c>
      <c r="B3166" s="5">
        <v>45789.833333333336</v>
      </c>
      <c r="C3166" s="1" t="s">
        <v>13</v>
      </c>
      <c r="D3166" s="1" t="s">
        <v>19</v>
      </c>
      <c r="E3166" s="1">
        <v>5</v>
      </c>
      <c r="F3166" s="1">
        <v>384.6</v>
      </c>
      <c r="G3166" s="1">
        <v>21.59</v>
      </c>
      <c r="H3166">
        <f t="shared" si="49"/>
        <v>1923</v>
      </c>
    </row>
    <row r="3167" spans="1:8" x14ac:dyDescent="0.25">
      <c r="A3167" s="1" t="s">
        <v>3180</v>
      </c>
      <c r="B3167" s="5">
        <v>45789.875</v>
      </c>
      <c r="C3167" s="1" t="s">
        <v>13</v>
      </c>
      <c r="D3167" s="1" t="s">
        <v>16</v>
      </c>
      <c r="E3167" s="1">
        <v>17</v>
      </c>
      <c r="F3167" s="1">
        <v>428.91</v>
      </c>
      <c r="G3167" s="1">
        <v>42.02</v>
      </c>
      <c r="H3167">
        <f t="shared" si="49"/>
        <v>7291.47</v>
      </c>
    </row>
    <row r="3168" spans="1:8" x14ac:dyDescent="0.25">
      <c r="A3168" s="1" t="s">
        <v>3181</v>
      </c>
      <c r="B3168" s="5">
        <v>45789.916666666664</v>
      </c>
      <c r="C3168" s="1" t="s">
        <v>23</v>
      </c>
      <c r="D3168" s="1" t="s">
        <v>19</v>
      </c>
      <c r="E3168" s="1">
        <v>4</v>
      </c>
      <c r="F3168" s="1">
        <v>262.27</v>
      </c>
      <c r="G3168" s="1">
        <v>10.16</v>
      </c>
      <c r="H3168">
        <f t="shared" si="49"/>
        <v>1049.08</v>
      </c>
    </row>
    <row r="3169" spans="1:8" x14ac:dyDescent="0.25">
      <c r="A3169" s="1" t="s">
        <v>3182</v>
      </c>
      <c r="B3169" s="5">
        <v>45789.958333333336</v>
      </c>
      <c r="C3169" s="1" t="s">
        <v>13</v>
      </c>
      <c r="D3169" s="1" t="s">
        <v>37</v>
      </c>
      <c r="E3169" s="1">
        <v>17</v>
      </c>
      <c r="F3169" s="1">
        <v>87.33</v>
      </c>
      <c r="G3169" s="1">
        <v>42.6</v>
      </c>
      <c r="H3169">
        <f t="shared" si="49"/>
        <v>1484.61</v>
      </c>
    </row>
    <row r="3170" spans="1:8" x14ac:dyDescent="0.25">
      <c r="A3170" s="1" t="s">
        <v>3183</v>
      </c>
      <c r="B3170" s="5">
        <v>45790</v>
      </c>
      <c r="C3170" s="1" t="s">
        <v>23</v>
      </c>
      <c r="D3170" s="1" t="s">
        <v>37</v>
      </c>
      <c r="E3170" s="1">
        <v>9</v>
      </c>
      <c r="F3170" s="1">
        <v>421.93</v>
      </c>
      <c r="G3170" s="1">
        <v>33.78</v>
      </c>
      <c r="H3170">
        <f t="shared" si="49"/>
        <v>3797.37</v>
      </c>
    </row>
    <row r="3171" spans="1:8" x14ac:dyDescent="0.25">
      <c r="A3171" s="1" t="s">
        <v>3184</v>
      </c>
      <c r="B3171" s="5">
        <v>45790.041666666664</v>
      </c>
      <c r="C3171" s="1" t="s">
        <v>11</v>
      </c>
      <c r="D3171" s="1" t="s">
        <v>9</v>
      </c>
      <c r="E3171" s="1">
        <v>2</v>
      </c>
      <c r="F3171" s="1">
        <v>392.87</v>
      </c>
      <c r="G3171" s="1">
        <v>20.39</v>
      </c>
      <c r="H3171">
        <f t="shared" si="49"/>
        <v>785.74</v>
      </c>
    </row>
    <row r="3172" spans="1:8" x14ac:dyDescent="0.25">
      <c r="A3172" s="1" t="s">
        <v>3185</v>
      </c>
      <c r="B3172" s="5">
        <v>45790.083333333336</v>
      </c>
      <c r="C3172" s="1" t="s">
        <v>8</v>
      </c>
      <c r="D3172" s="1" t="s">
        <v>19</v>
      </c>
      <c r="E3172" s="1">
        <v>18</v>
      </c>
      <c r="F3172" s="1">
        <v>391.09</v>
      </c>
      <c r="G3172" s="1">
        <v>10.3</v>
      </c>
      <c r="H3172">
        <f t="shared" si="49"/>
        <v>7039.62</v>
      </c>
    </row>
    <row r="3173" spans="1:8" x14ac:dyDescent="0.25">
      <c r="A3173" s="1" t="s">
        <v>3186</v>
      </c>
      <c r="B3173" s="5">
        <v>45790.125</v>
      </c>
      <c r="C3173" s="1" t="s">
        <v>8</v>
      </c>
      <c r="D3173" s="1" t="s">
        <v>37</v>
      </c>
      <c r="E3173" s="1">
        <v>11</v>
      </c>
      <c r="F3173" s="1">
        <v>316.73</v>
      </c>
      <c r="G3173" s="1">
        <v>9.1199999999999992</v>
      </c>
      <c r="H3173">
        <f t="shared" si="49"/>
        <v>3484.03</v>
      </c>
    </row>
    <row r="3174" spans="1:8" x14ac:dyDescent="0.25">
      <c r="A3174" s="1" t="s">
        <v>3187</v>
      </c>
      <c r="B3174" s="5">
        <v>45790.166666666664</v>
      </c>
      <c r="C3174" s="1" t="s">
        <v>13</v>
      </c>
      <c r="D3174" s="1" t="s">
        <v>16</v>
      </c>
      <c r="E3174" s="1">
        <v>13</v>
      </c>
      <c r="F3174" s="1">
        <v>287.02999999999997</v>
      </c>
      <c r="G3174" s="1">
        <v>20.100000000000001</v>
      </c>
      <c r="H3174">
        <f t="shared" si="49"/>
        <v>3731.3899999999994</v>
      </c>
    </row>
    <row r="3175" spans="1:8" x14ac:dyDescent="0.25">
      <c r="A3175" s="1" t="s">
        <v>3188</v>
      </c>
      <c r="B3175" s="5">
        <v>45790.208333333336</v>
      </c>
      <c r="C3175" s="1" t="s">
        <v>23</v>
      </c>
      <c r="D3175" s="1" t="s">
        <v>19</v>
      </c>
      <c r="E3175" s="1">
        <v>8</v>
      </c>
      <c r="F3175" s="1">
        <v>21.9</v>
      </c>
      <c r="G3175" s="1">
        <v>11.32</v>
      </c>
      <c r="H3175">
        <f t="shared" si="49"/>
        <v>175.2</v>
      </c>
    </row>
    <row r="3176" spans="1:8" x14ac:dyDescent="0.25">
      <c r="A3176" s="1" t="s">
        <v>3189</v>
      </c>
      <c r="B3176" s="5">
        <v>45790.25</v>
      </c>
      <c r="C3176" s="1" t="s">
        <v>8</v>
      </c>
      <c r="D3176" s="1" t="s">
        <v>37</v>
      </c>
      <c r="E3176" s="1">
        <v>1</v>
      </c>
      <c r="F3176" s="1">
        <v>340.53</v>
      </c>
      <c r="G3176" s="1">
        <v>17.05</v>
      </c>
      <c r="H3176">
        <f t="shared" si="49"/>
        <v>340.53</v>
      </c>
    </row>
    <row r="3177" spans="1:8" x14ac:dyDescent="0.25">
      <c r="A3177" s="1" t="s">
        <v>3190</v>
      </c>
      <c r="B3177" s="5">
        <v>45790.291666666664</v>
      </c>
      <c r="C3177" s="1" t="s">
        <v>23</v>
      </c>
      <c r="D3177" s="1" t="s">
        <v>19</v>
      </c>
      <c r="E3177" s="1">
        <v>17</v>
      </c>
      <c r="F3177" s="1">
        <v>55.27</v>
      </c>
      <c r="G3177" s="1">
        <v>7.38</v>
      </c>
      <c r="H3177">
        <f t="shared" si="49"/>
        <v>939.59</v>
      </c>
    </row>
    <row r="3178" spans="1:8" x14ac:dyDescent="0.25">
      <c r="A3178" s="1" t="s">
        <v>3191</v>
      </c>
      <c r="B3178" s="5">
        <v>45790.333333333336</v>
      </c>
      <c r="C3178" s="1" t="s">
        <v>23</v>
      </c>
      <c r="D3178" s="1" t="s">
        <v>16</v>
      </c>
      <c r="E3178" s="1">
        <v>12</v>
      </c>
      <c r="F3178" s="1">
        <v>128.36000000000001</v>
      </c>
      <c r="G3178" s="1">
        <v>31.78</v>
      </c>
      <c r="H3178">
        <f t="shared" si="49"/>
        <v>1540.3200000000002</v>
      </c>
    </row>
    <row r="3179" spans="1:8" x14ac:dyDescent="0.25">
      <c r="A3179" s="1" t="s">
        <v>3192</v>
      </c>
      <c r="B3179" s="5">
        <v>45790.375</v>
      </c>
      <c r="C3179" s="1" t="s">
        <v>13</v>
      </c>
      <c r="D3179" s="1" t="s">
        <v>37</v>
      </c>
      <c r="E3179" s="1">
        <v>4</v>
      </c>
      <c r="F3179" s="1">
        <v>255.12</v>
      </c>
      <c r="G3179" s="1">
        <v>11.54</v>
      </c>
      <c r="H3179">
        <f t="shared" si="49"/>
        <v>1020.48</v>
      </c>
    </row>
    <row r="3180" spans="1:8" x14ac:dyDescent="0.25">
      <c r="A3180" s="1" t="s">
        <v>3193</v>
      </c>
      <c r="B3180" s="5">
        <v>45790.416666666664</v>
      </c>
      <c r="C3180" s="1" t="s">
        <v>8</v>
      </c>
      <c r="D3180" s="1" t="s">
        <v>9</v>
      </c>
      <c r="E3180" s="1">
        <v>13</v>
      </c>
      <c r="F3180" s="1">
        <v>211.78</v>
      </c>
      <c r="G3180" s="1">
        <v>39.049999999999997</v>
      </c>
      <c r="H3180">
        <f t="shared" si="49"/>
        <v>2753.14</v>
      </c>
    </row>
    <row r="3181" spans="1:8" x14ac:dyDescent="0.25">
      <c r="A3181" s="1" t="s">
        <v>3194</v>
      </c>
      <c r="B3181" s="5">
        <v>45790.458333333336</v>
      </c>
      <c r="C3181" s="1" t="s">
        <v>13</v>
      </c>
      <c r="D3181" s="1" t="s">
        <v>9</v>
      </c>
      <c r="E3181" s="1">
        <v>9</v>
      </c>
      <c r="F3181" s="1">
        <v>22.35</v>
      </c>
      <c r="G3181" s="1">
        <v>14.82</v>
      </c>
      <c r="H3181">
        <f t="shared" si="49"/>
        <v>201.15</v>
      </c>
    </row>
    <row r="3182" spans="1:8" x14ac:dyDescent="0.25">
      <c r="A3182" s="1" t="s">
        <v>3195</v>
      </c>
      <c r="B3182" s="5">
        <v>45790.5</v>
      </c>
      <c r="C3182" s="1" t="s">
        <v>13</v>
      </c>
      <c r="D3182" s="1" t="s">
        <v>19</v>
      </c>
      <c r="E3182" s="1">
        <v>7</v>
      </c>
      <c r="F3182" s="1">
        <v>373.52</v>
      </c>
      <c r="G3182" s="1">
        <v>40.909999999999997</v>
      </c>
      <c r="H3182">
        <f t="shared" si="49"/>
        <v>2614.64</v>
      </c>
    </row>
    <row r="3183" spans="1:8" x14ac:dyDescent="0.25">
      <c r="A3183" s="1" t="s">
        <v>3196</v>
      </c>
      <c r="B3183" s="5">
        <v>45790.541666666664</v>
      </c>
      <c r="C3183" s="1" t="s">
        <v>8</v>
      </c>
      <c r="D3183" s="1" t="s">
        <v>16</v>
      </c>
      <c r="E3183" s="1">
        <v>5</v>
      </c>
      <c r="F3183" s="1">
        <v>397.34</v>
      </c>
      <c r="G3183" s="1">
        <v>13.54</v>
      </c>
      <c r="H3183">
        <f t="shared" si="49"/>
        <v>1986.6999999999998</v>
      </c>
    </row>
    <row r="3184" spans="1:8" x14ac:dyDescent="0.25">
      <c r="A3184" s="1" t="s">
        <v>3197</v>
      </c>
      <c r="B3184" s="5">
        <v>45790.583333333336</v>
      </c>
      <c r="C3184" s="1" t="s">
        <v>8</v>
      </c>
      <c r="D3184" s="1" t="s">
        <v>37</v>
      </c>
      <c r="E3184" s="1">
        <v>5</v>
      </c>
      <c r="F3184" s="1">
        <v>311.77</v>
      </c>
      <c r="G3184" s="1">
        <v>37.46</v>
      </c>
      <c r="H3184">
        <f t="shared" si="49"/>
        <v>1558.85</v>
      </c>
    </row>
    <row r="3185" spans="1:8" x14ac:dyDescent="0.25">
      <c r="A3185" s="1" t="s">
        <v>3198</v>
      </c>
      <c r="B3185" s="5">
        <v>45790.625</v>
      </c>
      <c r="C3185" s="1" t="s">
        <v>11</v>
      </c>
      <c r="D3185" s="1" t="s">
        <v>16</v>
      </c>
      <c r="E3185" s="1">
        <v>17</v>
      </c>
      <c r="F3185" s="1">
        <v>250.59</v>
      </c>
      <c r="G3185" s="1">
        <v>19.989999999999998</v>
      </c>
      <c r="H3185">
        <f t="shared" si="49"/>
        <v>4260.03</v>
      </c>
    </row>
    <row r="3186" spans="1:8" x14ac:dyDescent="0.25">
      <c r="A3186" s="1" t="s">
        <v>3199</v>
      </c>
      <c r="B3186" s="5">
        <v>45790.666666666664</v>
      </c>
      <c r="C3186" s="1" t="s">
        <v>11</v>
      </c>
      <c r="D3186" s="1" t="s">
        <v>37</v>
      </c>
      <c r="E3186" s="1">
        <v>9</v>
      </c>
      <c r="F3186" s="1">
        <v>432.94</v>
      </c>
      <c r="G3186" s="1">
        <v>31.24</v>
      </c>
      <c r="H3186">
        <f t="shared" si="49"/>
        <v>3896.46</v>
      </c>
    </row>
    <row r="3187" spans="1:8" x14ac:dyDescent="0.25">
      <c r="A3187" s="1" t="s">
        <v>3200</v>
      </c>
      <c r="B3187" s="5">
        <v>45790.708333333336</v>
      </c>
      <c r="C3187" s="1" t="s">
        <v>23</v>
      </c>
      <c r="D3187" s="1" t="s">
        <v>19</v>
      </c>
      <c r="E3187" s="1">
        <v>6</v>
      </c>
      <c r="F3187" s="1">
        <v>67.62</v>
      </c>
      <c r="G3187" s="1">
        <v>6.74</v>
      </c>
      <c r="H3187">
        <f t="shared" si="49"/>
        <v>405.72</v>
      </c>
    </row>
    <row r="3188" spans="1:8" x14ac:dyDescent="0.25">
      <c r="A3188" s="1" t="s">
        <v>3201</v>
      </c>
      <c r="B3188" s="5">
        <v>45790.75</v>
      </c>
      <c r="C3188" s="1" t="s">
        <v>8</v>
      </c>
      <c r="D3188" s="1" t="s">
        <v>37</v>
      </c>
      <c r="E3188" s="1">
        <v>19</v>
      </c>
      <c r="F3188" s="1">
        <v>336.12</v>
      </c>
      <c r="G3188" s="1">
        <v>27.29</v>
      </c>
      <c r="H3188">
        <f t="shared" si="49"/>
        <v>6386.28</v>
      </c>
    </row>
    <row r="3189" spans="1:8" x14ac:dyDescent="0.25">
      <c r="A3189" s="1" t="s">
        <v>3202</v>
      </c>
      <c r="B3189" s="5">
        <v>45790.791666666664</v>
      </c>
      <c r="C3189" s="1" t="s">
        <v>11</v>
      </c>
      <c r="D3189" s="1" t="s">
        <v>16</v>
      </c>
      <c r="E3189" s="1">
        <v>16</v>
      </c>
      <c r="F3189" s="1">
        <v>71.27</v>
      </c>
      <c r="G3189" s="1">
        <v>11.69</v>
      </c>
      <c r="H3189">
        <f t="shared" si="49"/>
        <v>1140.32</v>
      </c>
    </row>
    <row r="3190" spans="1:8" x14ac:dyDescent="0.25">
      <c r="A3190" s="1" t="s">
        <v>3203</v>
      </c>
      <c r="B3190" s="5">
        <v>45790.833333333336</v>
      </c>
      <c r="C3190" s="1" t="s">
        <v>23</v>
      </c>
      <c r="D3190" s="1" t="s">
        <v>16</v>
      </c>
      <c r="E3190" s="1">
        <v>2</v>
      </c>
      <c r="F3190" s="1">
        <v>181.41</v>
      </c>
      <c r="G3190" s="1">
        <v>26.88</v>
      </c>
      <c r="H3190">
        <f t="shared" si="49"/>
        <v>362.82</v>
      </c>
    </row>
    <row r="3191" spans="1:8" x14ac:dyDescent="0.25">
      <c r="A3191" s="1" t="s">
        <v>3204</v>
      </c>
      <c r="B3191" s="5">
        <v>45790.875</v>
      </c>
      <c r="C3191" s="1" t="s">
        <v>23</v>
      </c>
      <c r="D3191" s="1" t="s">
        <v>19</v>
      </c>
      <c r="E3191" s="1">
        <v>10</v>
      </c>
      <c r="F3191" s="1">
        <v>269.89</v>
      </c>
      <c r="G3191" s="1">
        <v>11.36</v>
      </c>
      <c r="H3191">
        <f t="shared" si="49"/>
        <v>2698.8999999999996</v>
      </c>
    </row>
    <row r="3192" spans="1:8" x14ac:dyDescent="0.25">
      <c r="A3192" s="1" t="s">
        <v>3205</v>
      </c>
      <c r="B3192" s="5">
        <v>45790.916666666664</v>
      </c>
      <c r="C3192" s="1" t="s">
        <v>23</v>
      </c>
      <c r="D3192" s="1" t="s">
        <v>16</v>
      </c>
      <c r="E3192" s="1">
        <v>16</v>
      </c>
      <c r="F3192" s="1">
        <v>335.76</v>
      </c>
      <c r="G3192" s="1">
        <v>24.67</v>
      </c>
      <c r="H3192">
        <f t="shared" si="49"/>
        <v>5372.16</v>
      </c>
    </row>
    <row r="3193" spans="1:8" x14ac:dyDescent="0.25">
      <c r="A3193" s="1" t="s">
        <v>3206</v>
      </c>
      <c r="B3193" s="5">
        <v>45790.958333333336</v>
      </c>
      <c r="C3193" s="1" t="s">
        <v>11</v>
      </c>
      <c r="D3193" s="1" t="s">
        <v>37</v>
      </c>
      <c r="E3193" s="1">
        <v>5</v>
      </c>
      <c r="F3193" s="1">
        <v>17.11</v>
      </c>
      <c r="G3193" s="1">
        <v>9.98</v>
      </c>
      <c r="H3193">
        <f t="shared" si="49"/>
        <v>85.55</v>
      </c>
    </row>
    <row r="3194" spans="1:8" x14ac:dyDescent="0.25">
      <c r="A3194" s="1" t="s">
        <v>3207</v>
      </c>
      <c r="B3194" s="5">
        <v>45791</v>
      </c>
      <c r="C3194" s="1" t="s">
        <v>8</v>
      </c>
      <c r="D3194" s="1" t="s">
        <v>19</v>
      </c>
      <c r="E3194" s="1">
        <v>15</v>
      </c>
      <c r="F3194" s="1">
        <v>128.72999999999999</v>
      </c>
      <c r="G3194" s="1">
        <v>14.9</v>
      </c>
      <c r="H3194">
        <f t="shared" si="49"/>
        <v>1930.9499999999998</v>
      </c>
    </row>
    <row r="3195" spans="1:8" x14ac:dyDescent="0.25">
      <c r="A3195" s="1" t="s">
        <v>3208</v>
      </c>
      <c r="B3195" s="5">
        <v>45791.041666666664</v>
      </c>
      <c r="C3195" s="1" t="s">
        <v>13</v>
      </c>
      <c r="D3195" s="1" t="s">
        <v>37</v>
      </c>
      <c r="E3195" s="1">
        <v>13</v>
      </c>
      <c r="F3195" s="1">
        <v>249.35</v>
      </c>
      <c r="G3195" s="1">
        <v>31.78</v>
      </c>
      <c r="H3195">
        <f t="shared" si="49"/>
        <v>3241.5499999999997</v>
      </c>
    </row>
    <row r="3196" spans="1:8" x14ac:dyDescent="0.25">
      <c r="A3196" s="1" t="s">
        <v>3209</v>
      </c>
      <c r="B3196" s="5">
        <v>45791.083333333336</v>
      </c>
      <c r="C3196" s="1" t="s">
        <v>23</v>
      </c>
      <c r="D3196" s="1" t="s">
        <v>16</v>
      </c>
      <c r="E3196" s="1">
        <v>13</v>
      </c>
      <c r="F3196" s="1">
        <v>247.03</v>
      </c>
      <c r="G3196" s="1">
        <v>48.95</v>
      </c>
      <c r="H3196">
        <f t="shared" si="49"/>
        <v>3211.39</v>
      </c>
    </row>
    <row r="3197" spans="1:8" x14ac:dyDescent="0.25">
      <c r="A3197" s="1" t="s">
        <v>3210</v>
      </c>
      <c r="B3197" s="5">
        <v>45791.125</v>
      </c>
      <c r="C3197" s="1" t="s">
        <v>11</v>
      </c>
      <c r="D3197" s="1" t="s">
        <v>19</v>
      </c>
      <c r="E3197" s="1">
        <v>13</v>
      </c>
      <c r="F3197" s="1">
        <v>292.55</v>
      </c>
      <c r="G3197" s="1">
        <v>25.21</v>
      </c>
      <c r="H3197">
        <f t="shared" si="49"/>
        <v>3803.15</v>
      </c>
    </row>
    <row r="3198" spans="1:8" x14ac:dyDescent="0.25">
      <c r="A3198" s="1" t="s">
        <v>3211</v>
      </c>
      <c r="B3198" s="5">
        <v>45791.166666666664</v>
      </c>
      <c r="C3198" s="1" t="s">
        <v>11</v>
      </c>
      <c r="D3198" s="1" t="s">
        <v>37</v>
      </c>
      <c r="E3198" s="1">
        <v>15</v>
      </c>
      <c r="F3198" s="1">
        <v>147.52000000000001</v>
      </c>
      <c r="G3198" s="1">
        <v>35.92</v>
      </c>
      <c r="H3198">
        <f t="shared" si="49"/>
        <v>2212.8000000000002</v>
      </c>
    </row>
    <row r="3199" spans="1:8" x14ac:dyDescent="0.25">
      <c r="A3199" s="1" t="s">
        <v>3212</v>
      </c>
      <c r="B3199" s="5">
        <v>45791.208333333336</v>
      </c>
      <c r="C3199" s="1" t="s">
        <v>13</v>
      </c>
      <c r="D3199" s="1" t="s">
        <v>16</v>
      </c>
      <c r="E3199" s="1">
        <v>14</v>
      </c>
      <c r="F3199" s="1">
        <v>250.36</v>
      </c>
      <c r="G3199" s="1">
        <v>29.27</v>
      </c>
      <c r="H3199">
        <f t="shared" si="49"/>
        <v>3505.04</v>
      </c>
    </row>
    <row r="3200" spans="1:8" x14ac:dyDescent="0.25">
      <c r="A3200" s="1" t="s">
        <v>3213</v>
      </c>
      <c r="B3200" s="5">
        <v>45791.25</v>
      </c>
      <c r="C3200" s="1" t="s">
        <v>13</v>
      </c>
      <c r="D3200" s="1" t="s">
        <v>16</v>
      </c>
      <c r="E3200" s="1">
        <v>8</v>
      </c>
      <c r="F3200" s="1">
        <v>97.96</v>
      </c>
      <c r="G3200" s="1">
        <v>27.43</v>
      </c>
      <c r="H3200">
        <f t="shared" si="49"/>
        <v>783.68</v>
      </c>
    </row>
    <row r="3201" spans="1:8" x14ac:dyDescent="0.25">
      <c r="A3201" s="1" t="s">
        <v>3214</v>
      </c>
      <c r="B3201" s="5">
        <v>45791.291666666664</v>
      </c>
      <c r="C3201" s="1" t="s">
        <v>11</v>
      </c>
      <c r="D3201" s="1" t="s">
        <v>9</v>
      </c>
      <c r="E3201" s="1">
        <v>11</v>
      </c>
      <c r="F3201" s="1">
        <v>96.7</v>
      </c>
      <c r="G3201" s="1">
        <v>7.91</v>
      </c>
      <c r="H3201">
        <f t="shared" si="49"/>
        <v>1063.7</v>
      </c>
    </row>
    <row r="3202" spans="1:8" x14ac:dyDescent="0.25">
      <c r="A3202" s="1" t="s">
        <v>3215</v>
      </c>
      <c r="B3202" s="5">
        <v>45791.333333333336</v>
      </c>
      <c r="C3202" s="1" t="s">
        <v>8</v>
      </c>
      <c r="D3202" s="1" t="s">
        <v>16</v>
      </c>
      <c r="E3202" s="1">
        <v>18</v>
      </c>
      <c r="F3202" s="1">
        <v>266.02</v>
      </c>
      <c r="G3202" s="1">
        <v>11.49</v>
      </c>
      <c r="H3202">
        <f t="shared" ref="H3202:H3265" si="50">E3202*F3202</f>
        <v>4788.3599999999997</v>
      </c>
    </row>
    <row r="3203" spans="1:8" x14ac:dyDescent="0.25">
      <c r="A3203" s="1" t="s">
        <v>3216</v>
      </c>
      <c r="B3203" s="5">
        <v>45791.375</v>
      </c>
      <c r="C3203" s="1" t="s">
        <v>13</v>
      </c>
      <c r="D3203" s="1" t="s">
        <v>37</v>
      </c>
      <c r="E3203" s="1">
        <v>4</v>
      </c>
      <c r="F3203" s="1">
        <v>313.33999999999997</v>
      </c>
      <c r="G3203" s="1">
        <v>44.74</v>
      </c>
      <c r="H3203">
        <f t="shared" si="50"/>
        <v>1253.3599999999999</v>
      </c>
    </row>
    <row r="3204" spans="1:8" x14ac:dyDescent="0.25">
      <c r="A3204" s="1" t="s">
        <v>3217</v>
      </c>
      <c r="B3204" s="5">
        <v>45791.416666666664</v>
      </c>
      <c r="C3204" s="1" t="s">
        <v>11</v>
      </c>
      <c r="D3204" s="1" t="s">
        <v>19</v>
      </c>
      <c r="E3204" s="1">
        <v>10</v>
      </c>
      <c r="F3204" s="1">
        <v>67.81</v>
      </c>
      <c r="G3204" s="1">
        <v>23.46</v>
      </c>
      <c r="H3204">
        <f t="shared" si="50"/>
        <v>678.1</v>
      </c>
    </row>
    <row r="3205" spans="1:8" x14ac:dyDescent="0.25">
      <c r="A3205" s="1" t="s">
        <v>3218</v>
      </c>
      <c r="B3205" s="5">
        <v>45791.458333333336</v>
      </c>
      <c r="C3205" s="1" t="s">
        <v>13</v>
      </c>
      <c r="D3205" s="1" t="s">
        <v>9</v>
      </c>
      <c r="E3205" s="1">
        <v>1</v>
      </c>
      <c r="F3205" s="1">
        <v>68.849999999999994</v>
      </c>
      <c r="G3205" s="1">
        <v>32.64</v>
      </c>
      <c r="H3205">
        <f t="shared" si="50"/>
        <v>68.849999999999994</v>
      </c>
    </row>
    <row r="3206" spans="1:8" x14ac:dyDescent="0.25">
      <c r="A3206" s="1" t="s">
        <v>3219</v>
      </c>
      <c r="B3206" s="5">
        <v>45791.5</v>
      </c>
      <c r="C3206" s="1" t="s">
        <v>8</v>
      </c>
      <c r="D3206" s="1" t="s">
        <v>16</v>
      </c>
      <c r="E3206" s="1">
        <v>5</v>
      </c>
      <c r="F3206" s="1">
        <v>261.12</v>
      </c>
      <c r="G3206" s="1">
        <v>28.77</v>
      </c>
      <c r="H3206">
        <f t="shared" si="50"/>
        <v>1305.5999999999999</v>
      </c>
    </row>
    <row r="3207" spans="1:8" x14ac:dyDescent="0.25">
      <c r="A3207" s="1" t="s">
        <v>3220</v>
      </c>
      <c r="B3207" s="5">
        <v>45791.541666666664</v>
      </c>
      <c r="C3207" s="1" t="s">
        <v>23</v>
      </c>
      <c r="D3207" s="1" t="s">
        <v>16</v>
      </c>
      <c r="E3207" s="1">
        <v>13</v>
      </c>
      <c r="F3207" s="1">
        <v>132.86000000000001</v>
      </c>
      <c r="G3207" s="1">
        <v>22.05</v>
      </c>
      <c r="H3207">
        <f t="shared" si="50"/>
        <v>1727.1800000000003</v>
      </c>
    </row>
    <row r="3208" spans="1:8" x14ac:dyDescent="0.25">
      <c r="A3208" s="1" t="s">
        <v>3221</v>
      </c>
      <c r="B3208" s="5">
        <v>45791.583333333336</v>
      </c>
      <c r="C3208" s="1" t="s">
        <v>13</v>
      </c>
      <c r="D3208" s="1" t="s">
        <v>16</v>
      </c>
      <c r="E3208" s="1">
        <v>1</v>
      </c>
      <c r="F3208" s="1">
        <v>186</v>
      </c>
      <c r="G3208" s="1">
        <v>22.45</v>
      </c>
      <c r="H3208">
        <f t="shared" si="50"/>
        <v>186</v>
      </c>
    </row>
    <row r="3209" spans="1:8" x14ac:dyDescent="0.25">
      <c r="A3209" s="1" t="s">
        <v>3222</v>
      </c>
      <c r="B3209" s="5">
        <v>45791.625</v>
      </c>
      <c r="C3209" s="1" t="s">
        <v>8</v>
      </c>
      <c r="D3209" s="1" t="s">
        <v>37</v>
      </c>
      <c r="E3209" s="1">
        <v>8</v>
      </c>
      <c r="F3209" s="1">
        <v>189.63</v>
      </c>
      <c r="G3209" s="1">
        <v>30</v>
      </c>
      <c r="H3209">
        <f t="shared" si="50"/>
        <v>1517.04</v>
      </c>
    </row>
    <row r="3210" spans="1:8" x14ac:dyDescent="0.25">
      <c r="A3210" s="1" t="s">
        <v>3223</v>
      </c>
      <c r="B3210" s="5">
        <v>45791.666666666664</v>
      </c>
      <c r="C3210" s="1" t="s">
        <v>11</v>
      </c>
      <c r="D3210" s="1" t="s">
        <v>9</v>
      </c>
      <c r="E3210" s="1">
        <v>3</v>
      </c>
      <c r="F3210" s="1">
        <v>93.08</v>
      </c>
      <c r="G3210" s="1">
        <v>11.35</v>
      </c>
      <c r="H3210">
        <f t="shared" si="50"/>
        <v>279.24</v>
      </c>
    </row>
    <row r="3211" spans="1:8" x14ac:dyDescent="0.25">
      <c r="A3211" s="1" t="s">
        <v>3224</v>
      </c>
      <c r="B3211" s="5">
        <v>45791.708333333336</v>
      </c>
      <c r="C3211" s="1" t="s">
        <v>13</v>
      </c>
      <c r="D3211" s="1" t="s">
        <v>37</v>
      </c>
      <c r="E3211" s="1">
        <v>3</v>
      </c>
      <c r="F3211" s="1">
        <v>16.07</v>
      </c>
      <c r="G3211" s="1">
        <v>22.43</v>
      </c>
      <c r="H3211">
        <f t="shared" si="50"/>
        <v>48.21</v>
      </c>
    </row>
    <row r="3212" spans="1:8" x14ac:dyDescent="0.25">
      <c r="A3212" s="1" t="s">
        <v>3225</v>
      </c>
      <c r="B3212" s="5">
        <v>45791.75</v>
      </c>
      <c r="C3212" s="1" t="s">
        <v>13</v>
      </c>
      <c r="D3212" s="1" t="s">
        <v>9</v>
      </c>
      <c r="E3212" s="1">
        <v>7</v>
      </c>
      <c r="F3212" s="1">
        <v>386.19</v>
      </c>
      <c r="G3212" s="1">
        <v>25.11</v>
      </c>
      <c r="H3212">
        <f t="shared" si="50"/>
        <v>2703.33</v>
      </c>
    </row>
    <row r="3213" spans="1:8" x14ac:dyDescent="0.25">
      <c r="A3213" s="1" t="s">
        <v>3226</v>
      </c>
      <c r="B3213" s="5">
        <v>45791.791666666664</v>
      </c>
      <c r="C3213" s="1" t="s">
        <v>11</v>
      </c>
      <c r="D3213" s="1" t="s">
        <v>19</v>
      </c>
      <c r="E3213" s="1">
        <v>4</v>
      </c>
      <c r="F3213" s="1">
        <v>326.17</v>
      </c>
      <c r="G3213" s="1">
        <v>49.33</v>
      </c>
      <c r="H3213">
        <f t="shared" si="50"/>
        <v>1304.68</v>
      </c>
    </row>
    <row r="3214" spans="1:8" x14ac:dyDescent="0.25">
      <c r="A3214" s="1" t="s">
        <v>3227</v>
      </c>
      <c r="B3214" s="5">
        <v>45791.833333333336</v>
      </c>
      <c r="C3214" s="1" t="s">
        <v>23</v>
      </c>
      <c r="D3214" s="1" t="s">
        <v>37</v>
      </c>
      <c r="E3214" s="1">
        <v>3</v>
      </c>
      <c r="F3214" s="1">
        <v>315.54000000000002</v>
      </c>
      <c r="G3214" s="1">
        <v>20.82</v>
      </c>
      <c r="H3214">
        <f t="shared" si="50"/>
        <v>946.62000000000012</v>
      </c>
    </row>
    <row r="3215" spans="1:8" x14ac:dyDescent="0.25">
      <c r="A3215" s="1" t="s">
        <v>3228</v>
      </c>
      <c r="B3215" s="5">
        <v>45791.875</v>
      </c>
      <c r="C3215" s="1" t="s">
        <v>11</v>
      </c>
      <c r="D3215" s="1" t="s">
        <v>37</v>
      </c>
      <c r="E3215" s="1">
        <v>15</v>
      </c>
      <c r="F3215" s="1">
        <v>252.96</v>
      </c>
      <c r="G3215" s="1">
        <v>34.01</v>
      </c>
      <c r="H3215">
        <f t="shared" si="50"/>
        <v>3794.4</v>
      </c>
    </row>
    <row r="3216" spans="1:8" x14ac:dyDescent="0.25">
      <c r="A3216" s="1" t="s">
        <v>3229</v>
      </c>
      <c r="B3216" s="5">
        <v>45791.916666666664</v>
      </c>
      <c r="C3216" s="1" t="s">
        <v>13</v>
      </c>
      <c r="D3216" s="1" t="s">
        <v>19</v>
      </c>
      <c r="E3216" s="1">
        <v>8</v>
      </c>
      <c r="F3216" s="1">
        <v>320.07</v>
      </c>
      <c r="G3216" s="1">
        <v>11.18</v>
      </c>
      <c r="H3216">
        <f t="shared" si="50"/>
        <v>2560.56</v>
      </c>
    </row>
    <row r="3217" spans="1:8" x14ac:dyDescent="0.25">
      <c r="A3217" s="1" t="s">
        <v>3230</v>
      </c>
      <c r="B3217" s="5">
        <v>45791.958333333336</v>
      </c>
      <c r="C3217" s="1" t="s">
        <v>11</v>
      </c>
      <c r="D3217" s="1" t="s">
        <v>9</v>
      </c>
      <c r="E3217" s="1">
        <v>3</v>
      </c>
      <c r="F3217" s="1">
        <v>422.06</v>
      </c>
      <c r="G3217" s="1">
        <v>7.95</v>
      </c>
      <c r="H3217">
        <f t="shared" si="50"/>
        <v>1266.18</v>
      </c>
    </row>
    <row r="3218" spans="1:8" x14ac:dyDescent="0.25">
      <c r="A3218" s="1" t="s">
        <v>3231</v>
      </c>
      <c r="B3218" s="5">
        <v>45792</v>
      </c>
      <c r="C3218" s="1" t="s">
        <v>8</v>
      </c>
      <c r="D3218" s="1" t="s">
        <v>16</v>
      </c>
      <c r="E3218" s="1">
        <v>7</v>
      </c>
      <c r="F3218" s="1">
        <v>304.74</v>
      </c>
      <c r="G3218" s="1">
        <v>44.22</v>
      </c>
      <c r="H3218">
        <f t="shared" si="50"/>
        <v>2133.1800000000003</v>
      </c>
    </row>
    <row r="3219" spans="1:8" x14ac:dyDescent="0.25">
      <c r="A3219" s="1" t="s">
        <v>3232</v>
      </c>
      <c r="B3219" s="5">
        <v>45792.041666666664</v>
      </c>
      <c r="C3219" s="1" t="s">
        <v>11</v>
      </c>
      <c r="D3219" s="1" t="s">
        <v>19</v>
      </c>
      <c r="E3219" s="1">
        <v>18</v>
      </c>
      <c r="F3219" s="1">
        <v>130.68</v>
      </c>
      <c r="G3219" s="1">
        <v>37.880000000000003</v>
      </c>
      <c r="H3219">
        <f t="shared" si="50"/>
        <v>2352.2400000000002</v>
      </c>
    </row>
    <row r="3220" spans="1:8" x14ac:dyDescent="0.25">
      <c r="A3220" s="1" t="s">
        <v>3233</v>
      </c>
      <c r="B3220" s="5">
        <v>45792.083333333336</v>
      </c>
      <c r="C3220" s="1" t="s">
        <v>13</v>
      </c>
      <c r="D3220" s="1" t="s">
        <v>16</v>
      </c>
      <c r="E3220" s="1">
        <v>11</v>
      </c>
      <c r="F3220" s="1">
        <v>263.41000000000003</v>
      </c>
      <c r="G3220" s="1">
        <v>19.29</v>
      </c>
      <c r="H3220">
        <f t="shared" si="50"/>
        <v>2897.51</v>
      </c>
    </row>
    <row r="3221" spans="1:8" x14ac:dyDescent="0.25">
      <c r="A3221" s="1" t="s">
        <v>3234</v>
      </c>
      <c r="B3221" s="5">
        <v>45792.125</v>
      </c>
      <c r="C3221" s="1" t="s">
        <v>11</v>
      </c>
      <c r="D3221" s="1" t="s">
        <v>16</v>
      </c>
      <c r="E3221" s="1">
        <v>11</v>
      </c>
      <c r="F3221" s="1">
        <v>207.69</v>
      </c>
      <c r="G3221" s="1">
        <v>27.71</v>
      </c>
      <c r="H3221">
        <f t="shared" si="50"/>
        <v>2284.59</v>
      </c>
    </row>
    <row r="3222" spans="1:8" x14ac:dyDescent="0.25">
      <c r="A3222" s="1" t="s">
        <v>3235</v>
      </c>
      <c r="B3222" s="5">
        <v>45792.166666666664</v>
      </c>
      <c r="C3222" s="1" t="s">
        <v>23</v>
      </c>
      <c r="D3222" s="1" t="s">
        <v>19</v>
      </c>
      <c r="E3222" s="1">
        <v>17</v>
      </c>
      <c r="F3222" s="1">
        <v>257.26</v>
      </c>
      <c r="G3222" s="1">
        <v>11.11</v>
      </c>
      <c r="H3222">
        <f t="shared" si="50"/>
        <v>4373.42</v>
      </c>
    </row>
    <row r="3223" spans="1:8" x14ac:dyDescent="0.25">
      <c r="A3223" s="1" t="s">
        <v>3236</v>
      </c>
      <c r="B3223" s="5">
        <v>45792.208333333336</v>
      </c>
      <c r="C3223" s="1" t="s">
        <v>11</v>
      </c>
      <c r="D3223" s="1" t="s">
        <v>9</v>
      </c>
      <c r="E3223" s="1">
        <v>6</v>
      </c>
      <c r="F3223" s="1">
        <v>240.4</v>
      </c>
      <c r="G3223" s="1">
        <v>36.82</v>
      </c>
      <c r="H3223">
        <f t="shared" si="50"/>
        <v>1442.4</v>
      </c>
    </row>
    <row r="3224" spans="1:8" x14ac:dyDescent="0.25">
      <c r="A3224" s="1" t="s">
        <v>3237</v>
      </c>
      <c r="B3224" s="5">
        <v>45792.25</v>
      </c>
      <c r="C3224" s="1" t="s">
        <v>23</v>
      </c>
      <c r="D3224" s="1" t="s">
        <v>16</v>
      </c>
      <c r="E3224" s="1">
        <v>8</v>
      </c>
      <c r="F3224" s="1">
        <v>388.64</v>
      </c>
      <c r="G3224" s="1">
        <v>8.16</v>
      </c>
      <c r="H3224">
        <f t="shared" si="50"/>
        <v>3109.12</v>
      </c>
    </row>
    <row r="3225" spans="1:8" x14ac:dyDescent="0.25">
      <c r="A3225" s="1" t="s">
        <v>3238</v>
      </c>
      <c r="B3225" s="5">
        <v>45792.291666666664</v>
      </c>
      <c r="C3225" s="1" t="s">
        <v>8</v>
      </c>
      <c r="D3225" s="1" t="s">
        <v>19</v>
      </c>
      <c r="E3225" s="1">
        <v>1</v>
      </c>
      <c r="F3225" s="1">
        <v>298.70999999999998</v>
      </c>
      <c r="G3225" s="1">
        <v>39.07</v>
      </c>
      <c r="H3225">
        <f t="shared" si="50"/>
        <v>298.70999999999998</v>
      </c>
    </row>
    <row r="3226" spans="1:8" x14ac:dyDescent="0.25">
      <c r="A3226" s="1" t="s">
        <v>3239</v>
      </c>
      <c r="B3226" s="5">
        <v>45792.333333333336</v>
      </c>
      <c r="C3226" s="1" t="s">
        <v>23</v>
      </c>
      <c r="D3226" s="1" t="s">
        <v>37</v>
      </c>
      <c r="E3226" s="1">
        <v>10</v>
      </c>
      <c r="F3226" s="1">
        <v>97.52</v>
      </c>
      <c r="G3226" s="1">
        <v>29.61</v>
      </c>
      <c r="H3226">
        <f t="shared" si="50"/>
        <v>975.19999999999993</v>
      </c>
    </row>
    <row r="3227" spans="1:8" x14ac:dyDescent="0.25">
      <c r="A3227" s="1" t="s">
        <v>3240</v>
      </c>
      <c r="B3227" s="5">
        <v>45792.375</v>
      </c>
      <c r="C3227" s="1" t="s">
        <v>11</v>
      </c>
      <c r="D3227" s="1" t="s">
        <v>37</v>
      </c>
      <c r="E3227" s="1">
        <v>19</v>
      </c>
      <c r="F3227" s="1">
        <v>42.88</v>
      </c>
      <c r="G3227" s="1">
        <v>17.55</v>
      </c>
      <c r="H3227">
        <f t="shared" si="50"/>
        <v>814.72</v>
      </c>
    </row>
    <row r="3228" spans="1:8" x14ac:dyDescent="0.25">
      <c r="A3228" s="1" t="s">
        <v>3241</v>
      </c>
      <c r="B3228" s="5">
        <v>45792.416666666664</v>
      </c>
      <c r="C3228" s="1" t="s">
        <v>13</v>
      </c>
      <c r="D3228" s="1" t="s">
        <v>37</v>
      </c>
      <c r="E3228" s="1">
        <v>3</v>
      </c>
      <c r="F3228" s="1">
        <v>199.89</v>
      </c>
      <c r="G3228" s="1">
        <v>43.82</v>
      </c>
      <c r="H3228">
        <f t="shared" si="50"/>
        <v>599.66999999999996</v>
      </c>
    </row>
    <row r="3229" spans="1:8" x14ac:dyDescent="0.25">
      <c r="A3229" s="1" t="s">
        <v>3242</v>
      </c>
      <c r="B3229" s="5">
        <v>45792.458333333336</v>
      </c>
      <c r="C3229" s="1" t="s">
        <v>23</v>
      </c>
      <c r="D3229" s="1" t="s">
        <v>19</v>
      </c>
      <c r="E3229" s="1">
        <v>4</v>
      </c>
      <c r="F3229" s="1">
        <v>22.28</v>
      </c>
      <c r="G3229" s="1">
        <v>49.37</v>
      </c>
      <c r="H3229">
        <f t="shared" si="50"/>
        <v>89.12</v>
      </c>
    </row>
    <row r="3230" spans="1:8" x14ac:dyDescent="0.25">
      <c r="A3230" s="1" t="s">
        <v>3243</v>
      </c>
      <c r="B3230" s="5">
        <v>45792.5</v>
      </c>
      <c r="C3230" s="1" t="s">
        <v>8</v>
      </c>
      <c r="D3230" s="1" t="s">
        <v>37</v>
      </c>
      <c r="E3230" s="1">
        <v>11</v>
      </c>
      <c r="F3230" s="1">
        <v>153.80000000000001</v>
      </c>
      <c r="G3230" s="1">
        <v>16.45</v>
      </c>
      <c r="H3230">
        <f t="shared" si="50"/>
        <v>1691.8000000000002</v>
      </c>
    </row>
    <row r="3231" spans="1:8" x14ac:dyDescent="0.25">
      <c r="A3231" s="1" t="s">
        <v>3244</v>
      </c>
      <c r="B3231" s="5">
        <v>45792.541666666664</v>
      </c>
      <c r="C3231" s="1" t="s">
        <v>23</v>
      </c>
      <c r="D3231" s="1" t="s">
        <v>16</v>
      </c>
      <c r="E3231" s="1">
        <v>15</v>
      </c>
      <c r="F3231" s="1">
        <v>175.41</v>
      </c>
      <c r="G3231" s="1">
        <v>41.28</v>
      </c>
      <c r="H3231">
        <f t="shared" si="50"/>
        <v>2631.15</v>
      </c>
    </row>
    <row r="3232" spans="1:8" x14ac:dyDescent="0.25">
      <c r="A3232" s="1" t="s">
        <v>3245</v>
      </c>
      <c r="B3232" s="5">
        <v>45792.583333333336</v>
      </c>
      <c r="C3232" s="1" t="s">
        <v>23</v>
      </c>
      <c r="D3232" s="1" t="s">
        <v>37</v>
      </c>
      <c r="E3232" s="1">
        <v>1</v>
      </c>
      <c r="F3232" s="1">
        <v>178.69</v>
      </c>
      <c r="G3232" s="1">
        <v>38.76</v>
      </c>
      <c r="H3232">
        <f t="shared" si="50"/>
        <v>178.69</v>
      </c>
    </row>
    <row r="3233" spans="1:8" x14ac:dyDescent="0.25">
      <c r="A3233" s="1" t="s">
        <v>3246</v>
      </c>
      <c r="B3233" s="5">
        <v>45792.625</v>
      </c>
      <c r="C3233" s="1" t="s">
        <v>23</v>
      </c>
      <c r="D3233" s="1" t="s">
        <v>37</v>
      </c>
      <c r="E3233" s="1">
        <v>9</v>
      </c>
      <c r="F3233" s="1">
        <v>441.03</v>
      </c>
      <c r="G3233" s="1">
        <v>38.619999999999997</v>
      </c>
      <c r="H3233">
        <f t="shared" si="50"/>
        <v>3969.2699999999995</v>
      </c>
    </row>
    <row r="3234" spans="1:8" x14ac:dyDescent="0.25">
      <c r="A3234" s="1" t="s">
        <v>3247</v>
      </c>
      <c r="B3234" s="5">
        <v>45792.666666666664</v>
      </c>
      <c r="C3234" s="1" t="s">
        <v>8</v>
      </c>
      <c r="D3234" s="1" t="s">
        <v>16</v>
      </c>
      <c r="E3234" s="1">
        <v>11</v>
      </c>
      <c r="F3234" s="1">
        <v>147.54</v>
      </c>
      <c r="G3234" s="1">
        <v>48.08</v>
      </c>
      <c r="H3234">
        <f t="shared" si="50"/>
        <v>1622.9399999999998</v>
      </c>
    </row>
    <row r="3235" spans="1:8" x14ac:dyDescent="0.25">
      <c r="A3235" s="1" t="s">
        <v>3248</v>
      </c>
      <c r="B3235" s="5">
        <v>45792.708333333336</v>
      </c>
      <c r="C3235" s="1" t="s">
        <v>11</v>
      </c>
      <c r="D3235" s="1" t="s">
        <v>37</v>
      </c>
      <c r="E3235" s="1">
        <v>19</v>
      </c>
      <c r="F3235" s="1">
        <v>130.74</v>
      </c>
      <c r="G3235" s="1">
        <v>26.9</v>
      </c>
      <c r="H3235">
        <f t="shared" si="50"/>
        <v>2484.0600000000004</v>
      </c>
    </row>
    <row r="3236" spans="1:8" x14ac:dyDescent="0.25">
      <c r="A3236" s="1" t="s">
        <v>3249</v>
      </c>
      <c r="B3236" s="5">
        <v>45792.75</v>
      </c>
      <c r="C3236" s="1" t="s">
        <v>23</v>
      </c>
      <c r="D3236" s="1" t="s">
        <v>16</v>
      </c>
      <c r="E3236" s="1">
        <v>13</v>
      </c>
      <c r="F3236" s="1">
        <v>71.72</v>
      </c>
      <c r="G3236" s="1">
        <v>35.340000000000003</v>
      </c>
      <c r="H3236">
        <f t="shared" si="50"/>
        <v>932.36</v>
      </c>
    </row>
    <row r="3237" spans="1:8" x14ac:dyDescent="0.25">
      <c r="A3237" s="1" t="s">
        <v>3250</v>
      </c>
      <c r="B3237" s="5">
        <v>45792.791666666664</v>
      </c>
      <c r="C3237" s="1" t="s">
        <v>23</v>
      </c>
      <c r="D3237" s="1" t="s">
        <v>37</v>
      </c>
      <c r="E3237" s="1">
        <v>16</v>
      </c>
      <c r="F3237" s="1">
        <v>237.53</v>
      </c>
      <c r="G3237" s="1">
        <v>42.07</v>
      </c>
      <c r="H3237">
        <f t="shared" si="50"/>
        <v>3800.48</v>
      </c>
    </row>
    <row r="3238" spans="1:8" x14ac:dyDescent="0.25">
      <c r="A3238" s="1" t="s">
        <v>3251</v>
      </c>
      <c r="B3238" s="5">
        <v>45792.833333333336</v>
      </c>
      <c r="C3238" s="1" t="s">
        <v>13</v>
      </c>
      <c r="D3238" s="1" t="s">
        <v>16</v>
      </c>
      <c r="E3238" s="1">
        <v>4</v>
      </c>
      <c r="F3238" s="1">
        <v>82.27</v>
      </c>
      <c r="G3238" s="1">
        <v>26.58</v>
      </c>
      <c r="H3238">
        <f t="shared" si="50"/>
        <v>329.08</v>
      </c>
    </row>
    <row r="3239" spans="1:8" x14ac:dyDescent="0.25">
      <c r="A3239" s="1" t="s">
        <v>3252</v>
      </c>
      <c r="B3239" s="5">
        <v>45792.875</v>
      </c>
      <c r="C3239" s="1" t="s">
        <v>8</v>
      </c>
      <c r="D3239" s="1" t="s">
        <v>37</v>
      </c>
      <c r="E3239" s="1">
        <v>1</v>
      </c>
      <c r="F3239" s="1">
        <v>283.27999999999997</v>
      </c>
      <c r="G3239" s="1">
        <v>26.66</v>
      </c>
      <c r="H3239">
        <f t="shared" si="50"/>
        <v>283.27999999999997</v>
      </c>
    </row>
    <row r="3240" spans="1:8" x14ac:dyDescent="0.25">
      <c r="A3240" s="1" t="s">
        <v>3253</v>
      </c>
      <c r="B3240" s="5">
        <v>45792.916666666664</v>
      </c>
      <c r="C3240" s="1" t="s">
        <v>23</v>
      </c>
      <c r="D3240" s="1" t="s">
        <v>16</v>
      </c>
      <c r="E3240" s="1">
        <v>13</v>
      </c>
      <c r="F3240" s="1">
        <v>82.92</v>
      </c>
      <c r="G3240" s="1">
        <v>19.34</v>
      </c>
      <c r="H3240">
        <f t="shared" si="50"/>
        <v>1077.96</v>
      </c>
    </row>
    <row r="3241" spans="1:8" x14ac:dyDescent="0.25">
      <c r="A3241" s="1" t="s">
        <v>3254</v>
      </c>
      <c r="B3241" s="5">
        <v>45792.958333333336</v>
      </c>
      <c r="C3241" s="1" t="s">
        <v>8</v>
      </c>
      <c r="D3241" s="1" t="s">
        <v>19</v>
      </c>
      <c r="E3241" s="1">
        <v>1</v>
      </c>
      <c r="F3241" s="1">
        <v>266.06</v>
      </c>
      <c r="G3241" s="1">
        <v>40.14</v>
      </c>
      <c r="H3241">
        <f t="shared" si="50"/>
        <v>266.06</v>
      </c>
    </row>
    <row r="3242" spans="1:8" x14ac:dyDescent="0.25">
      <c r="A3242" s="1" t="s">
        <v>3255</v>
      </c>
      <c r="B3242" s="5">
        <v>45793</v>
      </c>
      <c r="C3242" s="1" t="s">
        <v>23</v>
      </c>
      <c r="D3242" s="1" t="s">
        <v>16</v>
      </c>
      <c r="E3242" s="1">
        <v>5</v>
      </c>
      <c r="F3242" s="1">
        <v>374.51</v>
      </c>
      <c r="G3242" s="1">
        <v>35.880000000000003</v>
      </c>
      <c r="H3242">
        <f t="shared" si="50"/>
        <v>1872.55</v>
      </c>
    </row>
    <row r="3243" spans="1:8" x14ac:dyDescent="0.25">
      <c r="A3243" s="1" t="s">
        <v>3256</v>
      </c>
      <c r="B3243" s="5">
        <v>45793.041666666664</v>
      </c>
      <c r="C3243" s="1" t="s">
        <v>11</v>
      </c>
      <c r="D3243" s="1" t="s">
        <v>37</v>
      </c>
      <c r="E3243" s="1">
        <v>5</v>
      </c>
      <c r="F3243" s="1">
        <v>33.979999999999997</v>
      </c>
      <c r="G3243" s="1">
        <v>25.3</v>
      </c>
      <c r="H3243">
        <f t="shared" si="50"/>
        <v>169.89999999999998</v>
      </c>
    </row>
    <row r="3244" spans="1:8" x14ac:dyDescent="0.25">
      <c r="A3244" s="1" t="s">
        <v>3257</v>
      </c>
      <c r="B3244" s="5">
        <v>45793.083333333336</v>
      </c>
      <c r="C3244" s="1" t="s">
        <v>11</v>
      </c>
      <c r="D3244" s="1" t="s">
        <v>37</v>
      </c>
      <c r="E3244" s="1">
        <v>14</v>
      </c>
      <c r="F3244" s="1">
        <v>197.88</v>
      </c>
      <c r="G3244" s="1">
        <v>23.87</v>
      </c>
      <c r="H3244">
        <f t="shared" si="50"/>
        <v>2770.3199999999997</v>
      </c>
    </row>
    <row r="3245" spans="1:8" x14ac:dyDescent="0.25">
      <c r="A3245" s="1" t="s">
        <v>3258</v>
      </c>
      <c r="B3245" s="5">
        <v>45793.125</v>
      </c>
      <c r="C3245" s="1" t="s">
        <v>23</v>
      </c>
      <c r="D3245" s="1" t="s">
        <v>9</v>
      </c>
      <c r="E3245" s="1">
        <v>14</v>
      </c>
      <c r="F3245" s="1">
        <v>215.83</v>
      </c>
      <c r="G3245" s="1">
        <v>8.27</v>
      </c>
      <c r="H3245">
        <f t="shared" si="50"/>
        <v>3021.6200000000003</v>
      </c>
    </row>
    <row r="3246" spans="1:8" x14ac:dyDescent="0.25">
      <c r="A3246" s="1" t="s">
        <v>3259</v>
      </c>
      <c r="B3246" s="5">
        <v>45793.166666666664</v>
      </c>
      <c r="C3246" s="1" t="s">
        <v>11</v>
      </c>
      <c r="D3246" s="1" t="s">
        <v>16</v>
      </c>
      <c r="E3246" s="1">
        <v>8</v>
      </c>
      <c r="F3246" s="1">
        <v>359.22</v>
      </c>
      <c r="G3246" s="1">
        <v>5.29</v>
      </c>
      <c r="H3246">
        <f t="shared" si="50"/>
        <v>2873.76</v>
      </c>
    </row>
    <row r="3247" spans="1:8" x14ac:dyDescent="0.25">
      <c r="A3247" s="1" t="s">
        <v>3260</v>
      </c>
      <c r="B3247" s="5">
        <v>45793.208333333336</v>
      </c>
      <c r="C3247" s="1" t="s">
        <v>23</v>
      </c>
      <c r="D3247" s="1" t="s">
        <v>19</v>
      </c>
      <c r="E3247" s="1">
        <v>4</v>
      </c>
      <c r="F3247" s="1">
        <v>218.81</v>
      </c>
      <c r="G3247" s="1">
        <v>28.8</v>
      </c>
      <c r="H3247">
        <f t="shared" si="50"/>
        <v>875.24</v>
      </c>
    </row>
    <row r="3248" spans="1:8" x14ac:dyDescent="0.25">
      <c r="A3248" s="1" t="s">
        <v>3261</v>
      </c>
      <c r="B3248" s="5">
        <v>45793.25</v>
      </c>
      <c r="C3248" s="1" t="s">
        <v>11</v>
      </c>
      <c r="D3248" s="1" t="s">
        <v>16</v>
      </c>
      <c r="E3248" s="1">
        <v>7</v>
      </c>
      <c r="F3248" s="1">
        <v>262.08999999999997</v>
      </c>
      <c r="G3248" s="1">
        <v>23.79</v>
      </c>
      <c r="H3248">
        <f t="shared" si="50"/>
        <v>1834.6299999999999</v>
      </c>
    </row>
    <row r="3249" spans="1:8" x14ac:dyDescent="0.25">
      <c r="A3249" s="1" t="s">
        <v>3262</v>
      </c>
      <c r="B3249" s="5">
        <v>45793.291666666664</v>
      </c>
      <c r="C3249" s="1" t="s">
        <v>13</v>
      </c>
      <c r="D3249" s="1" t="s">
        <v>16</v>
      </c>
      <c r="E3249" s="1">
        <v>19</v>
      </c>
      <c r="F3249" s="1">
        <v>359.28</v>
      </c>
      <c r="G3249" s="1">
        <v>40.82</v>
      </c>
      <c r="H3249">
        <f t="shared" si="50"/>
        <v>6826.32</v>
      </c>
    </row>
    <row r="3250" spans="1:8" x14ac:dyDescent="0.25">
      <c r="A3250" s="1" t="s">
        <v>3263</v>
      </c>
      <c r="B3250" s="5">
        <v>45793.333333333336</v>
      </c>
      <c r="C3250" s="1" t="s">
        <v>13</v>
      </c>
      <c r="D3250" s="1" t="s">
        <v>19</v>
      </c>
      <c r="E3250" s="1">
        <v>15</v>
      </c>
      <c r="F3250" s="1">
        <v>258.72000000000003</v>
      </c>
      <c r="G3250" s="1">
        <v>29.42</v>
      </c>
      <c r="H3250">
        <f t="shared" si="50"/>
        <v>3880.8</v>
      </c>
    </row>
    <row r="3251" spans="1:8" x14ac:dyDescent="0.25">
      <c r="A3251" s="1" t="s">
        <v>3264</v>
      </c>
      <c r="B3251" s="5">
        <v>45793.375</v>
      </c>
      <c r="C3251" s="1" t="s">
        <v>13</v>
      </c>
      <c r="D3251" s="1" t="s">
        <v>16</v>
      </c>
      <c r="E3251" s="1">
        <v>4</v>
      </c>
      <c r="F3251" s="1">
        <v>171.18</v>
      </c>
      <c r="G3251" s="1">
        <v>47.15</v>
      </c>
      <c r="H3251">
        <f t="shared" si="50"/>
        <v>684.72</v>
      </c>
    </row>
    <row r="3252" spans="1:8" x14ac:dyDescent="0.25">
      <c r="A3252" s="1" t="s">
        <v>3265</v>
      </c>
      <c r="B3252" s="5">
        <v>45793.416666666664</v>
      </c>
      <c r="C3252" s="1" t="s">
        <v>8</v>
      </c>
      <c r="D3252" s="1" t="s">
        <v>19</v>
      </c>
      <c r="E3252" s="1">
        <v>19</v>
      </c>
      <c r="F3252" s="1">
        <v>52.8</v>
      </c>
      <c r="G3252" s="1">
        <v>13.83</v>
      </c>
      <c r="H3252">
        <f t="shared" si="50"/>
        <v>1003.1999999999999</v>
      </c>
    </row>
    <row r="3253" spans="1:8" x14ac:dyDescent="0.25">
      <c r="A3253" s="1" t="s">
        <v>3266</v>
      </c>
      <c r="B3253" s="5">
        <v>45793.458333333336</v>
      </c>
      <c r="C3253" s="1" t="s">
        <v>8</v>
      </c>
      <c r="D3253" s="1" t="s">
        <v>19</v>
      </c>
      <c r="E3253" s="1">
        <v>9</v>
      </c>
      <c r="F3253" s="1">
        <v>332.65</v>
      </c>
      <c r="G3253" s="1">
        <v>49.56</v>
      </c>
      <c r="H3253">
        <f t="shared" si="50"/>
        <v>2993.85</v>
      </c>
    </row>
    <row r="3254" spans="1:8" x14ac:dyDescent="0.25">
      <c r="A3254" s="1" t="s">
        <v>3267</v>
      </c>
      <c r="B3254" s="5">
        <v>45793.5</v>
      </c>
      <c r="C3254" s="1" t="s">
        <v>13</v>
      </c>
      <c r="D3254" s="1" t="s">
        <v>16</v>
      </c>
      <c r="E3254" s="1">
        <v>13</v>
      </c>
      <c r="F3254" s="1">
        <v>394.01</v>
      </c>
      <c r="G3254" s="1">
        <v>18.41</v>
      </c>
      <c r="H3254">
        <f t="shared" si="50"/>
        <v>5122.13</v>
      </c>
    </row>
    <row r="3255" spans="1:8" x14ac:dyDescent="0.25">
      <c r="A3255" s="1" t="s">
        <v>3268</v>
      </c>
      <c r="B3255" s="5">
        <v>45793.541666666664</v>
      </c>
      <c r="C3255" s="1" t="s">
        <v>8</v>
      </c>
      <c r="D3255" s="1" t="s">
        <v>16</v>
      </c>
      <c r="E3255" s="1">
        <v>14</v>
      </c>
      <c r="F3255" s="1">
        <v>436.99</v>
      </c>
      <c r="G3255" s="1">
        <v>33.909999999999997</v>
      </c>
      <c r="H3255">
        <f t="shared" si="50"/>
        <v>6117.8600000000006</v>
      </c>
    </row>
    <row r="3256" spans="1:8" x14ac:dyDescent="0.25">
      <c r="A3256" s="1" t="s">
        <v>3269</v>
      </c>
      <c r="B3256" s="5">
        <v>45793.583333333336</v>
      </c>
      <c r="C3256" s="1" t="s">
        <v>11</v>
      </c>
      <c r="D3256" s="1" t="s">
        <v>37</v>
      </c>
      <c r="E3256" s="1">
        <v>14</v>
      </c>
      <c r="F3256" s="1">
        <v>418.11</v>
      </c>
      <c r="G3256" s="1">
        <v>27.58</v>
      </c>
      <c r="H3256">
        <f t="shared" si="50"/>
        <v>5853.54</v>
      </c>
    </row>
    <row r="3257" spans="1:8" x14ac:dyDescent="0.25">
      <c r="A3257" s="1" t="s">
        <v>3270</v>
      </c>
      <c r="B3257" s="5">
        <v>45793.625</v>
      </c>
      <c r="C3257" s="1" t="s">
        <v>23</v>
      </c>
      <c r="D3257" s="1" t="s">
        <v>37</v>
      </c>
      <c r="E3257" s="1">
        <v>10</v>
      </c>
      <c r="F3257" s="1">
        <v>361.98</v>
      </c>
      <c r="G3257" s="1">
        <v>21.18</v>
      </c>
      <c r="H3257">
        <f t="shared" si="50"/>
        <v>3619.8</v>
      </c>
    </row>
    <row r="3258" spans="1:8" x14ac:dyDescent="0.25">
      <c r="A3258" s="1" t="s">
        <v>3271</v>
      </c>
      <c r="B3258" s="5">
        <v>45793.666666666664</v>
      </c>
      <c r="C3258" s="1" t="s">
        <v>23</v>
      </c>
      <c r="D3258" s="1" t="s">
        <v>9</v>
      </c>
      <c r="E3258" s="1">
        <v>16</v>
      </c>
      <c r="F3258" s="1">
        <v>295.08999999999997</v>
      </c>
      <c r="G3258" s="1">
        <v>11.27</v>
      </c>
      <c r="H3258">
        <f t="shared" si="50"/>
        <v>4721.4399999999996</v>
      </c>
    </row>
    <row r="3259" spans="1:8" x14ac:dyDescent="0.25">
      <c r="A3259" s="1" t="s">
        <v>3272</v>
      </c>
      <c r="B3259" s="5">
        <v>45793.708333333336</v>
      </c>
      <c r="C3259" s="1" t="s">
        <v>23</v>
      </c>
      <c r="D3259" s="1" t="s">
        <v>9</v>
      </c>
      <c r="E3259" s="1">
        <v>5</v>
      </c>
      <c r="F3259" s="1">
        <v>355.04</v>
      </c>
      <c r="G3259" s="1">
        <v>11.07</v>
      </c>
      <c r="H3259">
        <f t="shared" si="50"/>
        <v>1775.2</v>
      </c>
    </row>
    <row r="3260" spans="1:8" x14ac:dyDescent="0.25">
      <c r="A3260" s="1" t="s">
        <v>3273</v>
      </c>
      <c r="B3260" s="5">
        <v>45793.75</v>
      </c>
      <c r="C3260" s="1" t="s">
        <v>13</v>
      </c>
      <c r="D3260" s="1" t="s">
        <v>16</v>
      </c>
      <c r="E3260" s="1">
        <v>6</v>
      </c>
      <c r="F3260" s="1">
        <v>203.24</v>
      </c>
      <c r="G3260" s="1">
        <v>37.020000000000003</v>
      </c>
      <c r="H3260">
        <f t="shared" si="50"/>
        <v>1219.44</v>
      </c>
    </row>
    <row r="3261" spans="1:8" x14ac:dyDescent="0.25">
      <c r="A3261" s="1" t="s">
        <v>3274</v>
      </c>
      <c r="B3261" s="5">
        <v>45793.791666666664</v>
      </c>
      <c r="C3261" s="1" t="s">
        <v>8</v>
      </c>
      <c r="D3261" s="1" t="s">
        <v>19</v>
      </c>
      <c r="E3261" s="1">
        <v>2</v>
      </c>
      <c r="F3261" s="1">
        <v>273.93</v>
      </c>
      <c r="G3261" s="1">
        <v>21.99</v>
      </c>
      <c r="H3261">
        <f t="shared" si="50"/>
        <v>547.86</v>
      </c>
    </row>
    <row r="3262" spans="1:8" x14ac:dyDescent="0.25">
      <c r="A3262" s="1" t="s">
        <v>3275</v>
      </c>
      <c r="B3262" s="5">
        <v>45793.833333333336</v>
      </c>
      <c r="C3262" s="1" t="s">
        <v>11</v>
      </c>
      <c r="D3262" s="1" t="s">
        <v>9</v>
      </c>
      <c r="E3262" s="1">
        <v>13</v>
      </c>
      <c r="F3262" s="1">
        <v>167.01</v>
      </c>
      <c r="G3262" s="1">
        <v>48.26</v>
      </c>
      <c r="H3262">
        <f t="shared" si="50"/>
        <v>2171.13</v>
      </c>
    </row>
    <row r="3263" spans="1:8" x14ac:dyDescent="0.25">
      <c r="A3263" s="1" t="s">
        <v>3276</v>
      </c>
      <c r="B3263" s="5">
        <v>45793.875</v>
      </c>
      <c r="C3263" s="1" t="s">
        <v>11</v>
      </c>
      <c r="D3263" s="1" t="s">
        <v>16</v>
      </c>
      <c r="E3263" s="1">
        <v>13</v>
      </c>
      <c r="F3263" s="1">
        <v>157.46</v>
      </c>
      <c r="G3263" s="1">
        <v>19.649999999999999</v>
      </c>
      <c r="H3263">
        <f t="shared" si="50"/>
        <v>2046.98</v>
      </c>
    </row>
    <row r="3264" spans="1:8" x14ac:dyDescent="0.25">
      <c r="A3264" s="1" t="s">
        <v>3277</v>
      </c>
      <c r="B3264" s="5">
        <v>45793.916666666664</v>
      </c>
      <c r="C3264" s="1" t="s">
        <v>13</v>
      </c>
      <c r="D3264" s="1" t="s">
        <v>9</v>
      </c>
      <c r="E3264" s="1">
        <v>19</v>
      </c>
      <c r="F3264" s="1">
        <v>344.28</v>
      </c>
      <c r="G3264" s="1">
        <v>49.26</v>
      </c>
      <c r="H3264">
        <f t="shared" si="50"/>
        <v>6541.32</v>
      </c>
    </row>
    <row r="3265" spans="1:8" x14ac:dyDescent="0.25">
      <c r="A3265" s="1" t="s">
        <v>3278</v>
      </c>
      <c r="B3265" s="5">
        <v>45793.958333333336</v>
      </c>
      <c r="C3265" s="1" t="s">
        <v>11</v>
      </c>
      <c r="D3265" s="1" t="s">
        <v>19</v>
      </c>
      <c r="E3265" s="1">
        <v>18</v>
      </c>
      <c r="F3265" s="1">
        <v>212.73</v>
      </c>
      <c r="G3265" s="1">
        <v>14.24</v>
      </c>
      <c r="H3265">
        <f t="shared" si="50"/>
        <v>3829.14</v>
      </c>
    </row>
    <row r="3266" spans="1:8" x14ac:dyDescent="0.25">
      <c r="A3266" s="1" t="s">
        <v>3279</v>
      </c>
      <c r="B3266" s="5">
        <v>45794</v>
      </c>
      <c r="C3266" s="1" t="s">
        <v>11</v>
      </c>
      <c r="D3266" s="1" t="s">
        <v>16</v>
      </c>
      <c r="E3266" s="1">
        <v>19</v>
      </c>
      <c r="F3266" s="1">
        <v>107.68</v>
      </c>
      <c r="G3266" s="1">
        <v>9.6300000000000008</v>
      </c>
      <c r="H3266">
        <f t="shared" ref="H3266:H3329" si="51">E3266*F3266</f>
        <v>2045.92</v>
      </c>
    </row>
    <row r="3267" spans="1:8" x14ac:dyDescent="0.25">
      <c r="A3267" s="1" t="s">
        <v>3280</v>
      </c>
      <c r="B3267" s="5">
        <v>45794.041666666664</v>
      </c>
      <c r="C3267" s="1" t="s">
        <v>11</v>
      </c>
      <c r="D3267" s="1" t="s">
        <v>19</v>
      </c>
      <c r="E3267" s="1">
        <v>1</v>
      </c>
      <c r="F3267" s="1">
        <v>103.24</v>
      </c>
      <c r="G3267" s="1">
        <v>19.07</v>
      </c>
      <c r="H3267">
        <f t="shared" si="51"/>
        <v>103.24</v>
      </c>
    </row>
    <row r="3268" spans="1:8" x14ac:dyDescent="0.25">
      <c r="A3268" s="1" t="s">
        <v>3281</v>
      </c>
      <c r="B3268" s="5">
        <v>45794.083333333336</v>
      </c>
      <c r="C3268" s="1" t="s">
        <v>11</v>
      </c>
      <c r="D3268" s="1" t="s">
        <v>16</v>
      </c>
      <c r="E3268" s="1">
        <v>8</v>
      </c>
      <c r="F3268" s="1">
        <v>388.81</v>
      </c>
      <c r="G3268" s="1">
        <v>44.85</v>
      </c>
      <c r="H3268">
        <f t="shared" si="51"/>
        <v>3110.48</v>
      </c>
    </row>
    <row r="3269" spans="1:8" x14ac:dyDescent="0.25">
      <c r="A3269" s="1" t="s">
        <v>3282</v>
      </c>
      <c r="B3269" s="5">
        <v>45794.125</v>
      </c>
      <c r="C3269" s="1" t="s">
        <v>8</v>
      </c>
      <c r="D3269" s="1" t="s">
        <v>9</v>
      </c>
      <c r="E3269" s="1">
        <v>16</v>
      </c>
      <c r="F3269" s="1">
        <v>309.99</v>
      </c>
      <c r="G3269" s="1">
        <v>28.48</v>
      </c>
      <c r="H3269">
        <f t="shared" si="51"/>
        <v>4959.84</v>
      </c>
    </row>
    <row r="3270" spans="1:8" x14ac:dyDescent="0.25">
      <c r="A3270" s="1" t="s">
        <v>3283</v>
      </c>
      <c r="B3270" s="5">
        <v>45794.166666666664</v>
      </c>
      <c r="C3270" s="1" t="s">
        <v>11</v>
      </c>
      <c r="D3270" s="1" t="s">
        <v>37</v>
      </c>
      <c r="E3270" s="1">
        <v>2</v>
      </c>
      <c r="F3270" s="1">
        <v>252.76</v>
      </c>
      <c r="G3270" s="1">
        <v>11.1</v>
      </c>
      <c r="H3270">
        <f t="shared" si="51"/>
        <v>505.52</v>
      </c>
    </row>
    <row r="3271" spans="1:8" x14ac:dyDescent="0.25">
      <c r="A3271" s="1" t="s">
        <v>3284</v>
      </c>
      <c r="B3271" s="5">
        <v>45794.208333333336</v>
      </c>
      <c r="C3271" s="1" t="s">
        <v>23</v>
      </c>
      <c r="D3271" s="1" t="s">
        <v>9</v>
      </c>
      <c r="E3271" s="1">
        <v>8</v>
      </c>
      <c r="F3271" s="1">
        <v>189.71</v>
      </c>
      <c r="G3271" s="1">
        <v>14.11</v>
      </c>
      <c r="H3271">
        <f t="shared" si="51"/>
        <v>1517.68</v>
      </c>
    </row>
    <row r="3272" spans="1:8" x14ac:dyDescent="0.25">
      <c r="A3272" s="1" t="s">
        <v>3285</v>
      </c>
      <c r="B3272" s="5">
        <v>45794.25</v>
      </c>
      <c r="C3272" s="1" t="s">
        <v>13</v>
      </c>
      <c r="D3272" s="1" t="s">
        <v>9</v>
      </c>
      <c r="E3272" s="1">
        <v>6</v>
      </c>
      <c r="F3272" s="1">
        <v>202.69</v>
      </c>
      <c r="G3272" s="1">
        <v>19.010000000000002</v>
      </c>
      <c r="H3272">
        <f t="shared" si="51"/>
        <v>1216.1399999999999</v>
      </c>
    </row>
    <row r="3273" spans="1:8" x14ac:dyDescent="0.25">
      <c r="A3273" s="1" t="s">
        <v>3286</v>
      </c>
      <c r="B3273" s="5">
        <v>45794.291666666664</v>
      </c>
      <c r="C3273" s="1" t="s">
        <v>8</v>
      </c>
      <c r="D3273" s="1" t="s">
        <v>37</v>
      </c>
      <c r="E3273" s="1">
        <v>16</v>
      </c>
      <c r="F3273" s="1">
        <v>40.46</v>
      </c>
      <c r="G3273" s="1">
        <v>31.56</v>
      </c>
      <c r="H3273">
        <f t="shared" si="51"/>
        <v>647.36</v>
      </c>
    </row>
    <row r="3274" spans="1:8" x14ac:dyDescent="0.25">
      <c r="A3274" s="1" t="s">
        <v>3287</v>
      </c>
      <c r="B3274" s="5">
        <v>45794.333333333336</v>
      </c>
      <c r="C3274" s="1" t="s">
        <v>11</v>
      </c>
      <c r="D3274" s="1" t="s">
        <v>37</v>
      </c>
      <c r="E3274" s="1">
        <v>11</v>
      </c>
      <c r="F3274" s="1">
        <v>213.16</v>
      </c>
      <c r="G3274" s="1">
        <v>19.96</v>
      </c>
      <c r="H3274">
        <f t="shared" si="51"/>
        <v>2344.7599999999998</v>
      </c>
    </row>
    <row r="3275" spans="1:8" x14ac:dyDescent="0.25">
      <c r="A3275" s="1" t="s">
        <v>3288</v>
      </c>
      <c r="B3275" s="5">
        <v>45794.375</v>
      </c>
      <c r="C3275" s="1" t="s">
        <v>8</v>
      </c>
      <c r="D3275" s="1" t="s">
        <v>16</v>
      </c>
      <c r="E3275" s="1">
        <v>17</v>
      </c>
      <c r="F3275" s="1">
        <v>361.13</v>
      </c>
      <c r="G3275" s="1">
        <v>38.619999999999997</v>
      </c>
      <c r="H3275">
        <f t="shared" si="51"/>
        <v>6139.21</v>
      </c>
    </row>
    <row r="3276" spans="1:8" x14ac:dyDescent="0.25">
      <c r="A3276" s="1" t="s">
        <v>3289</v>
      </c>
      <c r="B3276" s="5">
        <v>45794.416666666664</v>
      </c>
      <c r="C3276" s="1" t="s">
        <v>11</v>
      </c>
      <c r="D3276" s="1" t="s">
        <v>16</v>
      </c>
      <c r="E3276" s="1">
        <v>19</v>
      </c>
      <c r="F3276" s="1">
        <v>184.08</v>
      </c>
      <c r="G3276" s="1">
        <v>32.729999999999997</v>
      </c>
      <c r="H3276">
        <f t="shared" si="51"/>
        <v>3497.5200000000004</v>
      </c>
    </row>
    <row r="3277" spans="1:8" x14ac:dyDescent="0.25">
      <c r="A3277" s="1" t="s">
        <v>3290</v>
      </c>
      <c r="B3277" s="5">
        <v>45794.458333333336</v>
      </c>
      <c r="C3277" s="1" t="s">
        <v>23</v>
      </c>
      <c r="D3277" s="1" t="s">
        <v>19</v>
      </c>
      <c r="E3277" s="1">
        <v>11</v>
      </c>
      <c r="F3277" s="1">
        <v>182.17</v>
      </c>
      <c r="G3277" s="1">
        <v>44.32</v>
      </c>
      <c r="H3277">
        <f t="shared" si="51"/>
        <v>2003.87</v>
      </c>
    </row>
    <row r="3278" spans="1:8" x14ac:dyDescent="0.25">
      <c r="A3278" s="1" t="s">
        <v>3291</v>
      </c>
      <c r="B3278" s="5">
        <v>45794.5</v>
      </c>
      <c r="C3278" s="1" t="s">
        <v>13</v>
      </c>
      <c r="D3278" s="1" t="s">
        <v>19</v>
      </c>
      <c r="E3278" s="1">
        <v>8</v>
      </c>
      <c r="F3278" s="1">
        <v>22.33</v>
      </c>
      <c r="G3278" s="1">
        <v>27.54</v>
      </c>
      <c r="H3278">
        <f t="shared" si="51"/>
        <v>178.64</v>
      </c>
    </row>
    <row r="3279" spans="1:8" x14ac:dyDescent="0.25">
      <c r="A3279" s="1" t="s">
        <v>3292</v>
      </c>
      <c r="B3279" s="5">
        <v>45794.541666666664</v>
      </c>
      <c r="C3279" s="1" t="s">
        <v>11</v>
      </c>
      <c r="D3279" s="1" t="s">
        <v>9</v>
      </c>
      <c r="E3279" s="1">
        <v>4</v>
      </c>
      <c r="F3279" s="1">
        <v>214.43</v>
      </c>
      <c r="G3279" s="1">
        <v>19.899999999999999</v>
      </c>
      <c r="H3279">
        <f t="shared" si="51"/>
        <v>857.72</v>
      </c>
    </row>
    <row r="3280" spans="1:8" x14ac:dyDescent="0.25">
      <c r="A3280" s="1" t="s">
        <v>3293</v>
      </c>
      <c r="B3280" s="5">
        <v>45794.583333333336</v>
      </c>
      <c r="C3280" s="1" t="s">
        <v>11</v>
      </c>
      <c r="D3280" s="1" t="s">
        <v>37</v>
      </c>
      <c r="E3280" s="1">
        <v>11</v>
      </c>
      <c r="F3280" s="1">
        <v>26.51</v>
      </c>
      <c r="G3280" s="1">
        <v>49.83</v>
      </c>
      <c r="H3280">
        <f t="shared" si="51"/>
        <v>291.61</v>
      </c>
    </row>
    <row r="3281" spans="1:8" x14ac:dyDescent="0.25">
      <c r="A3281" s="1" t="s">
        <v>3294</v>
      </c>
      <c r="B3281" s="5">
        <v>45794.625</v>
      </c>
      <c r="C3281" s="1" t="s">
        <v>11</v>
      </c>
      <c r="D3281" s="1" t="s">
        <v>19</v>
      </c>
      <c r="E3281" s="1">
        <v>8</v>
      </c>
      <c r="F3281" s="1">
        <v>263.32</v>
      </c>
      <c r="G3281" s="1">
        <v>21</v>
      </c>
      <c r="H3281">
        <f t="shared" si="51"/>
        <v>2106.56</v>
      </c>
    </row>
    <row r="3282" spans="1:8" x14ac:dyDescent="0.25">
      <c r="A3282" s="1" t="s">
        <v>3295</v>
      </c>
      <c r="B3282" s="5">
        <v>45794.666666666664</v>
      </c>
      <c r="C3282" s="1" t="s">
        <v>11</v>
      </c>
      <c r="D3282" s="1" t="s">
        <v>9</v>
      </c>
      <c r="E3282" s="1">
        <v>9</v>
      </c>
      <c r="F3282" s="1">
        <v>235.7</v>
      </c>
      <c r="G3282" s="1">
        <v>24.29</v>
      </c>
      <c r="H3282">
        <f t="shared" si="51"/>
        <v>2121.2999999999997</v>
      </c>
    </row>
    <row r="3283" spans="1:8" x14ac:dyDescent="0.25">
      <c r="A3283" s="1" t="s">
        <v>3296</v>
      </c>
      <c r="B3283" s="5">
        <v>45794.708333333336</v>
      </c>
      <c r="C3283" s="1" t="s">
        <v>13</v>
      </c>
      <c r="D3283" s="1" t="s">
        <v>37</v>
      </c>
      <c r="E3283" s="1">
        <v>2</v>
      </c>
      <c r="F3283" s="1">
        <v>380.48</v>
      </c>
      <c r="G3283" s="1">
        <v>41.41</v>
      </c>
      <c r="H3283">
        <f t="shared" si="51"/>
        <v>760.96</v>
      </c>
    </row>
    <row r="3284" spans="1:8" x14ac:dyDescent="0.25">
      <c r="A3284" s="1" t="s">
        <v>3297</v>
      </c>
      <c r="B3284" s="5">
        <v>45794.75</v>
      </c>
      <c r="C3284" s="1" t="s">
        <v>13</v>
      </c>
      <c r="D3284" s="1" t="s">
        <v>16</v>
      </c>
      <c r="E3284" s="1">
        <v>16</v>
      </c>
      <c r="F3284" s="1">
        <v>268.27999999999997</v>
      </c>
      <c r="G3284" s="1">
        <v>8.99</v>
      </c>
      <c r="H3284">
        <f t="shared" si="51"/>
        <v>4292.4799999999996</v>
      </c>
    </row>
    <row r="3285" spans="1:8" x14ac:dyDescent="0.25">
      <c r="A3285" s="1" t="s">
        <v>3298</v>
      </c>
      <c r="B3285" s="5">
        <v>45794.791666666664</v>
      </c>
      <c r="C3285" s="1" t="s">
        <v>23</v>
      </c>
      <c r="D3285" s="1" t="s">
        <v>9</v>
      </c>
      <c r="E3285" s="1">
        <v>6</v>
      </c>
      <c r="F3285" s="1">
        <v>156.03</v>
      </c>
      <c r="G3285" s="1">
        <v>22.39</v>
      </c>
      <c r="H3285">
        <f t="shared" si="51"/>
        <v>936.18000000000006</v>
      </c>
    </row>
    <row r="3286" spans="1:8" x14ac:dyDescent="0.25">
      <c r="A3286" s="1" t="s">
        <v>3299</v>
      </c>
      <c r="B3286" s="5">
        <v>45794.833333333336</v>
      </c>
      <c r="C3286" s="1" t="s">
        <v>13</v>
      </c>
      <c r="D3286" s="1" t="s">
        <v>16</v>
      </c>
      <c r="E3286" s="1">
        <v>19</v>
      </c>
      <c r="F3286" s="1">
        <v>239.8</v>
      </c>
      <c r="G3286" s="1">
        <v>8.86</v>
      </c>
      <c r="H3286">
        <f t="shared" si="51"/>
        <v>4556.2</v>
      </c>
    </row>
    <row r="3287" spans="1:8" x14ac:dyDescent="0.25">
      <c r="A3287" s="1" t="s">
        <v>3300</v>
      </c>
      <c r="B3287" s="5">
        <v>45794.875</v>
      </c>
      <c r="C3287" s="1" t="s">
        <v>11</v>
      </c>
      <c r="D3287" s="1" t="s">
        <v>19</v>
      </c>
      <c r="E3287" s="1">
        <v>8</v>
      </c>
      <c r="F3287" s="1">
        <v>319.52</v>
      </c>
      <c r="G3287" s="1">
        <v>11.27</v>
      </c>
      <c r="H3287">
        <f t="shared" si="51"/>
        <v>2556.16</v>
      </c>
    </row>
    <row r="3288" spans="1:8" x14ac:dyDescent="0.25">
      <c r="A3288" s="1" t="s">
        <v>3301</v>
      </c>
      <c r="B3288" s="5">
        <v>45794.916666666664</v>
      </c>
      <c r="C3288" s="1" t="s">
        <v>23</v>
      </c>
      <c r="D3288" s="1" t="s">
        <v>19</v>
      </c>
      <c r="E3288" s="1">
        <v>14</v>
      </c>
      <c r="F3288" s="1">
        <v>56.33</v>
      </c>
      <c r="G3288" s="1">
        <v>5.21</v>
      </c>
      <c r="H3288">
        <f t="shared" si="51"/>
        <v>788.62</v>
      </c>
    </row>
    <row r="3289" spans="1:8" x14ac:dyDescent="0.25">
      <c r="A3289" s="1" t="s">
        <v>3302</v>
      </c>
      <c r="B3289" s="5">
        <v>45794.958333333336</v>
      </c>
      <c r="C3289" s="1" t="s">
        <v>23</v>
      </c>
      <c r="D3289" s="1" t="s">
        <v>37</v>
      </c>
      <c r="E3289" s="1">
        <v>16</v>
      </c>
      <c r="F3289" s="1">
        <v>285.36</v>
      </c>
      <c r="G3289" s="1">
        <v>5.43</v>
      </c>
      <c r="H3289">
        <f t="shared" si="51"/>
        <v>4565.76</v>
      </c>
    </row>
    <row r="3290" spans="1:8" x14ac:dyDescent="0.25">
      <c r="A3290" s="1" t="s">
        <v>3303</v>
      </c>
      <c r="B3290" s="5">
        <v>45795</v>
      </c>
      <c r="C3290" s="1" t="s">
        <v>23</v>
      </c>
      <c r="D3290" s="1" t="s">
        <v>9</v>
      </c>
      <c r="E3290" s="1">
        <v>12</v>
      </c>
      <c r="F3290" s="1">
        <v>413.77</v>
      </c>
      <c r="G3290" s="1">
        <v>22.11</v>
      </c>
      <c r="H3290">
        <f t="shared" si="51"/>
        <v>4965.24</v>
      </c>
    </row>
    <row r="3291" spans="1:8" x14ac:dyDescent="0.25">
      <c r="A3291" s="1" t="s">
        <v>3304</v>
      </c>
      <c r="B3291" s="5">
        <v>45795.041666666664</v>
      </c>
      <c r="C3291" s="1" t="s">
        <v>11</v>
      </c>
      <c r="D3291" s="1" t="s">
        <v>16</v>
      </c>
      <c r="E3291" s="1">
        <v>5</v>
      </c>
      <c r="F3291" s="1">
        <v>145.47</v>
      </c>
      <c r="G3291" s="1">
        <v>41.41</v>
      </c>
      <c r="H3291">
        <f t="shared" si="51"/>
        <v>727.35</v>
      </c>
    </row>
    <row r="3292" spans="1:8" x14ac:dyDescent="0.25">
      <c r="A3292" s="1" t="s">
        <v>3305</v>
      </c>
      <c r="B3292" s="5">
        <v>45795.083333333336</v>
      </c>
      <c r="C3292" s="1" t="s">
        <v>8</v>
      </c>
      <c r="D3292" s="1" t="s">
        <v>37</v>
      </c>
      <c r="E3292" s="1">
        <v>19</v>
      </c>
      <c r="F3292" s="1">
        <v>287.77</v>
      </c>
      <c r="G3292" s="1">
        <v>31.42</v>
      </c>
      <c r="H3292">
        <f t="shared" si="51"/>
        <v>5467.6299999999992</v>
      </c>
    </row>
    <row r="3293" spans="1:8" x14ac:dyDescent="0.25">
      <c r="A3293" s="1" t="s">
        <v>3306</v>
      </c>
      <c r="B3293" s="5">
        <v>45795.125</v>
      </c>
      <c r="C3293" s="1" t="s">
        <v>11</v>
      </c>
      <c r="D3293" s="1" t="s">
        <v>19</v>
      </c>
      <c r="E3293" s="1">
        <v>18</v>
      </c>
      <c r="F3293" s="1">
        <v>372.37</v>
      </c>
      <c r="G3293" s="1">
        <v>33.57</v>
      </c>
      <c r="H3293">
        <f t="shared" si="51"/>
        <v>6702.66</v>
      </c>
    </row>
    <row r="3294" spans="1:8" x14ac:dyDescent="0.25">
      <c r="A3294" s="1" t="s">
        <v>3307</v>
      </c>
      <c r="B3294" s="5">
        <v>45795.166666666664</v>
      </c>
      <c r="C3294" s="1" t="s">
        <v>13</v>
      </c>
      <c r="D3294" s="1" t="s">
        <v>19</v>
      </c>
      <c r="E3294" s="1">
        <v>9</v>
      </c>
      <c r="F3294" s="1">
        <v>237.88</v>
      </c>
      <c r="G3294" s="1">
        <v>28.37</v>
      </c>
      <c r="H3294">
        <f t="shared" si="51"/>
        <v>2140.92</v>
      </c>
    </row>
    <row r="3295" spans="1:8" x14ac:dyDescent="0.25">
      <c r="A3295" s="1" t="s">
        <v>3308</v>
      </c>
      <c r="B3295" s="5">
        <v>45795.208333333336</v>
      </c>
      <c r="C3295" s="1" t="s">
        <v>13</v>
      </c>
      <c r="D3295" s="1" t="s">
        <v>9</v>
      </c>
      <c r="E3295" s="1">
        <v>2</v>
      </c>
      <c r="F3295" s="1">
        <v>327.45999999999998</v>
      </c>
      <c r="G3295" s="1">
        <v>41.89</v>
      </c>
      <c r="H3295">
        <f t="shared" si="51"/>
        <v>654.91999999999996</v>
      </c>
    </row>
    <row r="3296" spans="1:8" x14ac:dyDescent="0.25">
      <c r="A3296" s="1" t="s">
        <v>3309</v>
      </c>
      <c r="B3296" s="5">
        <v>45795.25</v>
      </c>
      <c r="C3296" s="1" t="s">
        <v>11</v>
      </c>
      <c r="D3296" s="1" t="s">
        <v>16</v>
      </c>
      <c r="E3296" s="1">
        <v>12</v>
      </c>
      <c r="F3296" s="1">
        <v>150.63</v>
      </c>
      <c r="G3296" s="1">
        <v>44.62</v>
      </c>
      <c r="H3296">
        <f t="shared" si="51"/>
        <v>1807.56</v>
      </c>
    </row>
    <row r="3297" spans="1:8" x14ac:dyDescent="0.25">
      <c r="A3297" s="1" t="s">
        <v>3310</v>
      </c>
      <c r="B3297" s="5">
        <v>45795.291666666664</v>
      </c>
      <c r="C3297" s="1" t="s">
        <v>11</v>
      </c>
      <c r="D3297" s="1" t="s">
        <v>9</v>
      </c>
      <c r="E3297" s="1">
        <v>2</v>
      </c>
      <c r="F3297" s="1">
        <v>148.47999999999999</v>
      </c>
      <c r="G3297" s="1">
        <v>43.24</v>
      </c>
      <c r="H3297">
        <f t="shared" si="51"/>
        <v>296.95999999999998</v>
      </c>
    </row>
    <row r="3298" spans="1:8" x14ac:dyDescent="0.25">
      <c r="A3298" s="1" t="s">
        <v>3311</v>
      </c>
      <c r="B3298" s="5">
        <v>45795.333333333336</v>
      </c>
      <c r="C3298" s="1" t="s">
        <v>23</v>
      </c>
      <c r="D3298" s="1" t="s">
        <v>16</v>
      </c>
      <c r="E3298" s="1">
        <v>10</v>
      </c>
      <c r="F3298" s="1">
        <v>305.57</v>
      </c>
      <c r="G3298" s="1">
        <v>41.55</v>
      </c>
      <c r="H3298">
        <f t="shared" si="51"/>
        <v>3055.7</v>
      </c>
    </row>
    <row r="3299" spans="1:8" x14ac:dyDescent="0.25">
      <c r="A3299" s="1" t="s">
        <v>3312</v>
      </c>
      <c r="B3299" s="5">
        <v>45795.375</v>
      </c>
      <c r="C3299" s="1" t="s">
        <v>11</v>
      </c>
      <c r="D3299" s="1" t="s">
        <v>16</v>
      </c>
      <c r="E3299" s="1">
        <v>1</v>
      </c>
      <c r="F3299" s="1">
        <v>322</v>
      </c>
      <c r="G3299" s="1">
        <v>13.22</v>
      </c>
      <c r="H3299">
        <f t="shared" si="51"/>
        <v>322</v>
      </c>
    </row>
    <row r="3300" spans="1:8" x14ac:dyDescent="0.25">
      <c r="A3300" s="1" t="s">
        <v>3313</v>
      </c>
      <c r="B3300" s="5">
        <v>45795.416666666664</v>
      </c>
      <c r="C3300" s="1" t="s">
        <v>23</v>
      </c>
      <c r="D3300" s="1" t="s">
        <v>9</v>
      </c>
      <c r="E3300" s="1">
        <v>4</v>
      </c>
      <c r="F3300" s="1">
        <v>422.63</v>
      </c>
      <c r="G3300" s="1">
        <v>31.72</v>
      </c>
      <c r="H3300">
        <f t="shared" si="51"/>
        <v>1690.52</v>
      </c>
    </row>
    <row r="3301" spans="1:8" x14ac:dyDescent="0.25">
      <c r="A3301" s="1" t="s">
        <v>3314</v>
      </c>
      <c r="B3301" s="5">
        <v>45795.458333333336</v>
      </c>
      <c r="C3301" s="1" t="s">
        <v>13</v>
      </c>
      <c r="D3301" s="1" t="s">
        <v>37</v>
      </c>
      <c r="E3301" s="1">
        <v>12</v>
      </c>
      <c r="F3301" s="1">
        <v>113.19</v>
      </c>
      <c r="G3301" s="1">
        <v>31.2</v>
      </c>
      <c r="H3301">
        <f t="shared" si="51"/>
        <v>1358.28</v>
      </c>
    </row>
    <row r="3302" spans="1:8" x14ac:dyDescent="0.25">
      <c r="A3302" s="1" t="s">
        <v>3315</v>
      </c>
      <c r="B3302" s="5">
        <v>45795.5</v>
      </c>
      <c r="C3302" s="1" t="s">
        <v>23</v>
      </c>
      <c r="D3302" s="1" t="s">
        <v>9</v>
      </c>
      <c r="E3302" s="1">
        <v>9</v>
      </c>
      <c r="F3302" s="1">
        <v>218.94</v>
      </c>
      <c r="G3302" s="1">
        <v>28.76</v>
      </c>
      <c r="H3302">
        <f t="shared" si="51"/>
        <v>1970.46</v>
      </c>
    </row>
    <row r="3303" spans="1:8" x14ac:dyDescent="0.25">
      <c r="A3303" s="1" t="s">
        <v>3316</v>
      </c>
      <c r="B3303" s="5">
        <v>45795.541666666664</v>
      </c>
      <c r="C3303" s="1" t="s">
        <v>11</v>
      </c>
      <c r="D3303" s="1" t="s">
        <v>9</v>
      </c>
      <c r="E3303" s="1">
        <v>4</v>
      </c>
      <c r="F3303" s="1">
        <v>124.35</v>
      </c>
      <c r="G3303" s="1">
        <v>26.64</v>
      </c>
      <c r="H3303">
        <f t="shared" si="51"/>
        <v>497.4</v>
      </c>
    </row>
    <row r="3304" spans="1:8" x14ac:dyDescent="0.25">
      <c r="A3304" s="1" t="s">
        <v>3317</v>
      </c>
      <c r="B3304" s="5">
        <v>45795.583333333336</v>
      </c>
      <c r="C3304" s="1" t="s">
        <v>13</v>
      </c>
      <c r="D3304" s="1" t="s">
        <v>19</v>
      </c>
      <c r="E3304" s="1">
        <v>9</v>
      </c>
      <c r="F3304" s="1">
        <v>50.3</v>
      </c>
      <c r="G3304" s="1">
        <v>9.01</v>
      </c>
      <c r="H3304">
        <f t="shared" si="51"/>
        <v>452.7</v>
      </c>
    </row>
    <row r="3305" spans="1:8" x14ac:dyDescent="0.25">
      <c r="A3305" s="1" t="s">
        <v>3318</v>
      </c>
      <c r="B3305" s="5">
        <v>45795.625</v>
      </c>
      <c r="C3305" s="1" t="s">
        <v>8</v>
      </c>
      <c r="D3305" s="1" t="s">
        <v>19</v>
      </c>
      <c r="E3305" s="1">
        <v>6</v>
      </c>
      <c r="F3305" s="1">
        <v>190.7</v>
      </c>
      <c r="G3305" s="1">
        <v>9.6</v>
      </c>
      <c r="H3305">
        <f t="shared" si="51"/>
        <v>1144.1999999999998</v>
      </c>
    </row>
    <row r="3306" spans="1:8" x14ac:dyDescent="0.25">
      <c r="A3306" s="1" t="s">
        <v>3319</v>
      </c>
      <c r="B3306" s="5">
        <v>45795.666666666664</v>
      </c>
      <c r="C3306" s="1" t="s">
        <v>23</v>
      </c>
      <c r="D3306" s="1" t="s">
        <v>9</v>
      </c>
      <c r="E3306" s="1">
        <v>1</v>
      </c>
      <c r="F3306" s="1">
        <v>178.04</v>
      </c>
      <c r="G3306" s="1">
        <v>45.6</v>
      </c>
      <c r="H3306">
        <f t="shared" si="51"/>
        <v>178.04</v>
      </c>
    </row>
    <row r="3307" spans="1:8" x14ac:dyDescent="0.25">
      <c r="A3307" s="1" t="s">
        <v>3320</v>
      </c>
      <c r="B3307" s="5">
        <v>45795.708333333336</v>
      </c>
      <c r="C3307" s="1" t="s">
        <v>13</v>
      </c>
      <c r="D3307" s="1" t="s">
        <v>9</v>
      </c>
      <c r="E3307" s="1">
        <v>10</v>
      </c>
      <c r="F3307" s="1">
        <v>133</v>
      </c>
      <c r="G3307" s="1">
        <v>33.36</v>
      </c>
      <c r="H3307">
        <f t="shared" si="51"/>
        <v>1330</v>
      </c>
    </row>
    <row r="3308" spans="1:8" x14ac:dyDescent="0.25">
      <c r="A3308" s="1" t="s">
        <v>3321</v>
      </c>
      <c r="B3308" s="5">
        <v>45795.75</v>
      </c>
      <c r="C3308" s="1" t="s">
        <v>23</v>
      </c>
      <c r="D3308" s="1" t="s">
        <v>19</v>
      </c>
      <c r="E3308" s="1">
        <v>14</v>
      </c>
      <c r="F3308" s="1">
        <v>144.54</v>
      </c>
      <c r="G3308" s="1">
        <v>16.8</v>
      </c>
      <c r="H3308">
        <f t="shared" si="51"/>
        <v>2023.56</v>
      </c>
    </row>
    <row r="3309" spans="1:8" x14ac:dyDescent="0.25">
      <c r="A3309" s="1" t="s">
        <v>3322</v>
      </c>
      <c r="B3309" s="5">
        <v>45795.791666666664</v>
      </c>
      <c r="C3309" s="1" t="s">
        <v>13</v>
      </c>
      <c r="D3309" s="1" t="s">
        <v>16</v>
      </c>
      <c r="E3309" s="1">
        <v>18</v>
      </c>
      <c r="F3309" s="1">
        <v>172.1</v>
      </c>
      <c r="G3309" s="1">
        <v>17.57</v>
      </c>
      <c r="H3309">
        <f t="shared" si="51"/>
        <v>3097.7999999999997</v>
      </c>
    </row>
    <row r="3310" spans="1:8" x14ac:dyDescent="0.25">
      <c r="A3310" s="1" t="s">
        <v>3323</v>
      </c>
      <c r="B3310" s="5">
        <v>45795.833333333336</v>
      </c>
      <c r="C3310" s="1" t="s">
        <v>13</v>
      </c>
      <c r="D3310" s="1" t="s">
        <v>9</v>
      </c>
      <c r="E3310" s="1">
        <v>6</v>
      </c>
      <c r="F3310" s="1">
        <v>445.15</v>
      </c>
      <c r="G3310" s="1">
        <v>32.46</v>
      </c>
      <c r="H3310">
        <f t="shared" si="51"/>
        <v>2670.8999999999996</v>
      </c>
    </row>
    <row r="3311" spans="1:8" x14ac:dyDescent="0.25">
      <c r="A3311" s="1" t="s">
        <v>3324</v>
      </c>
      <c r="B3311" s="5">
        <v>45795.875</v>
      </c>
      <c r="C3311" s="1" t="s">
        <v>23</v>
      </c>
      <c r="D3311" s="1" t="s">
        <v>37</v>
      </c>
      <c r="E3311" s="1">
        <v>18</v>
      </c>
      <c r="F3311" s="1">
        <v>355.7</v>
      </c>
      <c r="G3311" s="1">
        <v>23.31</v>
      </c>
      <c r="H3311">
        <f t="shared" si="51"/>
        <v>6402.5999999999995</v>
      </c>
    </row>
    <row r="3312" spans="1:8" x14ac:dyDescent="0.25">
      <c r="A3312" s="1" t="s">
        <v>3325</v>
      </c>
      <c r="B3312" s="5">
        <v>45795.916666666664</v>
      </c>
      <c r="C3312" s="1" t="s">
        <v>8</v>
      </c>
      <c r="D3312" s="1" t="s">
        <v>37</v>
      </c>
      <c r="E3312" s="1">
        <v>16</v>
      </c>
      <c r="F3312" s="1">
        <v>46.52</v>
      </c>
      <c r="G3312" s="1">
        <v>24.86</v>
      </c>
      <c r="H3312">
        <f t="shared" si="51"/>
        <v>744.32</v>
      </c>
    </row>
    <row r="3313" spans="1:8" x14ac:dyDescent="0.25">
      <c r="A3313" s="1" t="s">
        <v>3326</v>
      </c>
      <c r="B3313" s="5">
        <v>45795.958333333336</v>
      </c>
      <c r="C3313" s="1" t="s">
        <v>13</v>
      </c>
      <c r="D3313" s="1" t="s">
        <v>37</v>
      </c>
      <c r="E3313" s="1">
        <v>15</v>
      </c>
      <c r="F3313" s="1">
        <v>394.56</v>
      </c>
      <c r="G3313" s="1">
        <v>7.73</v>
      </c>
      <c r="H3313">
        <f t="shared" si="51"/>
        <v>5918.4</v>
      </c>
    </row>
    <row r="3314" spans="1:8" x14ac:dyDescent="0.25">
      <c r="A3314" s="1" t="s">
        <v>3327</v>
      </c>
      <c r="B3314" s="5">
        <v>45796</v>
      </c>
      <c r="C3314" s="1" t="s">
        <v>13</v>
      </c>
      <c r="D3314" s="1" t="s">
        <v>9</v>
      </c>
      <c r="E3314" s="1">
        <v>16</v>
      </c>
      <c r="F3314" s="1">
        <v>290.67</v>
      </c>
      <c r="G3314" s="1">
        <v>11.24</v>
      </c>
      <c r="H3314">
        <f t="shared" si="51"/>
        <v>4650.72</v>
      </c>
    </row>
    <row r="3315" spans="1:8" x14ac:dyDescent="0.25">
      <c r="A3315" s="1" t="s">
        <v>3328</v>
      </c>
      <c r="B3315" s="5">
        <v>45796.041666666664</v>
      </c>
      <c r="C3315" s="1" t="s">
        <v>13</v>
      </c>
      <c r="D3315" s="1" t="s">
        <v>16</v>
      </c>
      <c r="E3315" s="1">
        <v>8</v>
      </c>
      <c r="F3315" s="1">
        <v>402.46</v>
      </c>
      <c r="G3315" s="1">
        <v>22.7</v>
      </c>
      <c r="H3315">
        <f t="shared" si="51"/>
        <v>3219.68</v>
      </c>
    </row>
    <row r="3316" spans="1:8" x14ac:dyDescent="0.25">
      <c r="A3316" s="1" t="s">
        <v>3329</v>
      </c>
      <c r="B3316" s="5">
        <v>45796.083333333336</v>
      </c>
      <c r="C3316" s="1" t="s">
        <v>8</v>
      </c>
      <c r="D3316" s="1" t="s">
        <v>16</v>
      </c>
      <c r="E3316" s="1">
        <v>13</v>
      </c>
      <c r="F3316" s="1">
        <v>163.97</v>
      </c>
      <c r="G3316" s="1">
        <v>36.49</v>
      </c>
      <c r="H3316">
        <f t="shared" si="51"/>
        <v>2131.61</v>
      </c>
    </row>
    <row r="3317" spans="1:8" x14ac:dyDescent="0.25">
      <c r="A3317" s="1" t="s">
        <v>3330</v>
      </c>
      <c r="B3317" s="5">
        <v>45796.125</v>
      </c>
      <c r="C3317" s="1" t="s">
        <v>8</v>
      </c>
      <c r="D3317" s="1" t="s">
        <v>19</v>
      </c>
      <c r="E3317" s="1">
        <v>11</v>
      </c>
      <c r="F3317" s="1">
        <v>217.33</v>
      </c>
      <c r="G3317" s="1">
        <v>7.16</v>
      </c>
      <c r="H3317">
        <f t="shared" si="51"/>
        <v>2390.63</v>
      </c>
    </row>
    <row r="3318" spans="1:8" x14ac:dyDescent="0.25">
      <c r="A3318" s="1" t="s">
        <v>3331</v>
      </c>
      <c r="B3318" s="5">
        <v>45796.166666666664</v>
      </c>
      <c r="C3318" s="1" t="s">
        <v>11</v>
      </c>
      <c r="D3318" s="1" t="s">
        <v>9</v>
      </c>
      <c r="E3318" s="1">
        <v>7</v>
      </c>
      <c r="F3318" s="1">
        <v>404.91</v>
      </c>
      <c r="G3318" s="1">
        <v>20.059999999999999</v>
      </c>
      <c r="H3318">
        <f t="shared" si="51"/>
        <v>2834.3700000000003</v>
      </c>
    </row>
    <row r="3319" spans="1:8" x14ac:dyDescent="0.25">
      <c r="A3319" s="1" t="s">
        <v>3332</v>
      </c>
      <c r="B3319" s="5">
        <v>45796.208333333336</v>
      </c>
      <c r="C3319" s="1" t="s">
        <v>23</v>
      </c>
      <c r="D3319" s="1" t="s">
        <v>16</v>
      </c>
      <c r="E3319" s="1">
        <v>17</v>
      </c>
      <c r="F3319" s="1">
        <v>133.93</v>
      </c>
      <c r="G3319" s="1">
        <v>36.28</v>
      </c>
      <c r="H3319">
        <f t="shared" si="51"/>
        <v>2276.81</v>
      </c>
    </row>
    <row r="3320" spans="1:8" x14ac:dyDescent="0.25">
      <c r="A3320" s="1" t="s">
        <v>3333</v>
      </c>
      <c r="B3320" s="5">
        <v>45796.25</v>
      </c>
      <c r="C3320" s="1" t="s">
        <v>8</v>
      </c>
      <c r="D3320" s="1" t="s">
        <v>9</v>
      </c>
      <c r="E3320" s="1">
        <v>18</v>
      </c>
      <c r="F3320" s="1">
        <v>413.29</v>
      </c>
      <c r="G3320" s="1">
        <v>40.64</v>
      </c>
      <c r="H3320">
        <f t="shared" si="51"/>
        <v>7439.22</v>
      </c>
    </row>
    <row r="3321" spans="1:8" x14ac:dyDescent="0.25">
      <c r="A3321" s="1" t="s">
        <v>3334</v>
      </c>
      <c r="B3321" s="5">
        <v>45796.291666666664</v>
      </c>
      <c r="C3321" s="1" t="s">
        <v>23</v>
      </c>
      <c r="D3321" s="1" t="s">
        <v>19</v>
      </c>
      <c r="E3321" s="1">
        <v>19</v>
      </c>
      <c r="F3321" s="1">
        <v>375.48</v>
      </c>
      <c r="G3321" s="1">
        <v>13.56</v>
      </c>
      <c r="H3321">
        <f t="shared" si="51"/>
        <v>7134.1200000000008</v>
      </c>
    </row>
    <row r="3322" spans="1:8" x14ac:dyDescent="0.25">
      <c r="A3322" s="1" t="s">
        <v>3335</v>
      </c>
      <c r="B3322" s="5">
        <v>45796.333333333336</v>
      </c>
      <c r="C3322" s="1" t="s">
        <v>11</v>
      </c>
      <c r="D3322" s="1" t="s">
        <v>19</v>
      </c>
      <c r="E3322" s="1">
        <v>13</v>
      </c>
      <c r="F3322" s="1">
        <v>441.55</v>
      </c>
      <c r="G3322" s="1">
        <v>37.92</v>
      </c>
      <c r="H3322">
        <f t="shared" si="51"/>
        <v>5740.1500000000005</v>
      </c>
    </row>
    <row r="3323" spans="1:8" x14ac:dyDescent="0.25">
      <c r="A3323" s="1" t="s">
        <v>3336</v>
      </c>
      <c r="B3323" s="5">
        <v>45796.375</v>
      </c>
      <c r="C3323" s="1" t="s">
        <v>23</v>
      </c>
      <c r="D3323" s="1" t="s">
        <v>19</v>
      </c>
      <c r="E3323" s="1">
        <v>15</v>
      </c>
      <c r="F3323" s="1">
        <v>156.38999999999999</v>
      </c>
      <c r="G3323" s="1">
        <v>47.99</v>
      </c>
      <c r="H3323">
        <f t="shared" si="51"/>
        <v>2345.85</v>
      </c>
    </row>
    <row r="3324" spans="1:8" x14ac:dyDescent="0.25">
      <c r="A3324" s="1" t="s">
        <v>3337</v>
      </c>
      <c r="B3324" s="5">
        <v>45796.416666666664</v>
      </c>
      <c r="C3324" s="1" t="s">
        <v>8</v>
      </c>
      <c r="D3324" s="1" t="s">
        <v>37</v>
      </c>
      <c r="E3324" s="1">
        <v>1</v>
      </c>
      <c r="F3324" s="1">
        <v>117.93</v>
      </c>
      <c r="G3324" s="1">
        <v>45.81</v>
      </c>
      <c r="H3324">
        <f t="shared" si="51"/>
        <v>117.93</v>
      </c>
    </row>
    <row r="3325" spans="1:8" x14ac:dyDescent="0.25">
      <c r="A3325" s="1" t="s">
        <v>3338</v>
      </c>
      <c r="B3325" s="5">
        <v>45796.458333333336</v>
      </c>
      <c r="C3325" s="1" t="s">
        <v>23</v>
      </c>
      <c r="D3325" s="1" t="s">
        <v>9</v>
      </c>
      <c r="E3325" s="1">
        <v>16</v>
      </c>
      <c r="F3325" s="1">
        <v>159.26</v>
      </c>
      <c r="G3325" s="1">
        <v>40.520000000000003</v>
      </c>
      <c r="H3325">
        <f t="shared" si="51"/>
        <v>2548.16</v>
      </c>
    </row>
    <row r="3326" spans="1:8" x14ac:dyDescent="0.25">
      <c r="A3326" s="1" t="s">
        <v>3339</v>
      </c>
      <c r="B3326" s="5">
        <v>45796.5</v>
      </c>
      <c r="C3326" s="1" t="s">
        <v>8</v>
      </c>
      <c r="D3326" s="1" t="s">
        <v>19</v>
      </c>
      <c r="E3326" s="1">
        <v>5</v>
      </c>
      <c r="F3326" s="1">
        <v>430.3</v>
      </c>
      <c r="G3326" s="1">
        <v>37.049999999999997</v>
      </c>
      <c r="H3326">
        <f t="shared" si="51"/>
        <v>2151.5</v>
      </c>
    </row>
    <row r="3327" spans="1:8" x14ac:dyDescent="0.25">
      <c r="A3327" s="1" t="s">
        <v>3340</v>
      </c>
      <c r="B3327" s="5">
        <v>45796.541666666664</v>
      </c>
      <c r="C3327" s="1" t="s">
        <v>23</v>
      </c>
      <c r="D3327" s="1" t="s">
        <v>9</v>
      </c>
      <c r="E3327" s="1">
        <v>3</v>
      </c>
      <c r="F3327" s="1">
        <v>160.22</v>
      </c>
      <c r="G3327" s="1">
        <v>15.58</v>
      </c>
      <c r="H3327">
        <f t="shared" si="51"/>
        <v>480.65999999999997</v>
      </c>
    </row>
    <row r="3328" spans="1:8" x14ac:dyDescent="0.25">
      <c r="A3328" s="1" t="s">
        <v>3341</v>
      </c>
      <c r="B3328" s="5">
        <v>45796.583333333336</v>
      </c>
      <c r="C3328" s="1" t="s">
        <v>8</v>
      </c>
      <c r="D3328" s="1" t="s">
        <v>37</v>
      </c>
      <c r="E3328" s="1">
        <v>10</v>
      </c>
      <c r="F3328" s="1">
        <v>261.08</v>
      </c>
      <c r="G3328" s="1">
        <v>33.53</v>
      </c>
      <c r="H3328">
        <f t="shared" si="51"/>
        <v>2610.7999999999997</v>
      </c>
    </row>
    <row r="3329" spans="1:8" x14ac:dyDescent="0.25">
      <c r="A3329" s="1" t="s">
        <v>3342</v>
      </c>
      <c r="B3329" s="5">
        <v>45796.625</v>
      </c>
      <c r="C3329" s="1" t="s">
        <v>8</v>
      </c>
      <c r="D3329" s="1" t="s">
        <v>37</v>
      </c>
      <c r="E3329" s="1">
        <v>19</v>
      </c>
      <c r="F3329" s="1">
        <v>190.9</v>
      </c>
      <c r="G3329" s="1">
        <v>33.950000000000003</v>
      </c>
      <c r="H3329">
        <f t="shared" si="51"/>
        <v>3627.1</v>
      </c>
    </row>
    <row r="3330" spans="1:8" x14ac:dyDescent="0.25">
      <c r="A3330" s="1" t="s">
        <v>3343</v>
      </c>
      <c r="B3330" s="5">
        <v>45796.666666666664</v>
      </c>
      <c r="C3330" s="1" t="s">
        <v>23</v>
      </c>
      <c r="D3330" s="1" t="s">
        <v>19</v>
      </c>
      <c r="E3330" s="1">
        <v>5</v>
      </c>
      <c r="F3330" s="1">
        <v>187.66</v>
      </c>
      <c r="G3330" s="1">
        <v>23.31</v>
      </c>
      <c r="H3330">
        <f t="shared" ref="H3330:H3393" si="52">E3330*F3330</f>
        <v>938.3</v>
      </c>
    </row>
    <row r="3331" spans="1:8" x14ac:dyDescent="0.25">
      <c r="A3331" s="1" t="s">
        <v>3344</v>
      </c>
      <c r="B3331" s="5">
        <v>45796.708333333336</v>
      </c>
      <c r="C3331" s="1" t="s">
        <v>11</v>
      </c>
      <c r="D3331" s="1" t="s">
        <v>19</v>
      </c>
      <c r="E3331" s="1">
        <v>7</v>
      </c>
      <c r="F3331" s="1">
        <v>99.52</v>
      </c>
      <c r="G3331" s="1">
        <v>27.19</v>
      </c>
      <c r="H3331">
        <f t="shared" si="52"/>
        <v>696.64</v>
      </c>
    </row>
    <row r="3332" spans="1:8" x14ac:dyDescent="0.25">
      <c r="A3332" s="1" t="s">
        <v>3345</v>
      </c>
      <c r="B3332" s="5">
        <v>45796.75</v>
      </c>
      <c r="C3332" s="1" t="s">
        <v>13</v>
      </c>
      <c r="D3332" s="1" t="s">
        <v>16</v>
      </c>
      <c r="E3332" s="1">
        <v>14</v>
      </c>
      <c r="F3332" s="1">
        <v>248.86</v>
      </c>
      <c r="G3332" s="1">
        <v>36.229999999999997</v>
      </c>
      <c r="H3332">
        <f t="shared" si="52"/>
        <v>3484.04</v>
      </c>
    </row>
    <row r="3333" spans="1:8" x14ac:dyDescent="0.25">
      <c r="A3333" s="1" t="s">
        <v>3346</v>
      </c>
      <c r="B3333" s="5">
        <v>45796.791666666664</v>
      </c>
      <c r="C3333" s="1" t="s">
        <v>11</v>
      </c>
      <c r="D3333" s="1" t="s">
        <v>9</v>
      </c>
      <c r="E3333" s="1">
        <v>3</v>
      </c>
      <c r="F3333" s="1">
        <v>384.57</v>
      </c>
      <c r="G3333" s="1">
        <v>47.84</v>
      </c>
      <c r="H3333">
        <f t="shared" si="52"/>
        <v>1153.71</v>
      </c>
    </row>
    <row r="3334" spans="1:8" x14ac:dyDescent="0.25">
      <c r="A3334" s="1" t="s">
        <v>3347</v>
      </c>
      <c r="B3334" s="5">
        <v>45796.833333333336</v>
      </c>
      <c r="C3334" s="1" t="s">
        <v>23</v>
      </c>
      <c r="D3334" s="1" t="s">
        <v>19</v>
      </c>
      <c r="E3334" s="1">
        <v>13</v>
      </c>
      <c r="F3334" s="1">
        <v>37</v>
      </c>
      <c r="G3334" s="1">
        <v>18.29</v>
      </c>
      <c r="H3334">
        <f t="shared" si="52"/>
        <v>481</v>
      </c>
    </row>
    <row r="3335" spans="1:8" x14ac:dyDescent="0.25">
      <c r="A3335" s="1" t="s">
        <v>3348</v>
      </c>
      <c r="B3335" s="5">
        <v>45796.875</v>
      </c>
      <c r="C3335" s="1" t="s">
        <v>11</v>
      </c>
      <c r="D3335" s="1" t="s">
        <v>16</v>
      </c>
      <c r="E3335" s="1">
        <v>13</v>
      </c>
      <c r="F3335" s="1">
        <v>401.87</v>
      </c>
      <c r="G3335" s="1">
        <v>16.09</v>
      </c>
      <c r="H3335">
        <f t="shared" si="52"/>
        <v>5224.3100000000004</v>
      </c>
    </row>
    <row r="3336" spans="1:8" x14ac:dyDescent="0.25">
      <c r="A3336" s="1" t="s">
        <v>3349</v>
      </c>
      <c r="B3336" s="5">
        <v>45796.916666666664</v>
      </c>
      <c r="C3336" s="1" t="s">
        <v>8</v>
      </c>
      <c r="D3336" s="1" t="s">
        <v>9</v>
      </c>
      <c r="E3336" s="1">
        <v>10</v>
      </c>
      <c r="F3336" s="1">
        <v>304.64999999999998</v>
      </c>
      <c r="G3336" s="1">
        <v>32.08</v>
      </c>
      <c r="H3336">
        <f t="shared" si="52"/>
        <v>3046.5</v>
      </c>
    </row>
    <row r="3337" spans="1:8" x14ac:dyDescent="0.25">
      <c r="A3337" s="1" t="s">
        <v>3350</v>
      </c>
      <c r="B3337" s="5">
        <v>45796.958333333336</v>
      </c>
      <c r="C3337" s="1" t="s">
        <v>13</v>
      </c>
      <c r="D3337" s="1" t="s">
        <v>19</v>
      </c>
      <c r="E3337" s="1">
        <v>2</v>
      </c>
      <c r="F3337" s="1">
        <v>283.47000000000003</v>
      </c>
      <c r="G3337" s="1">
        <v>10.89</v>
      </c>
      <c r="H3337">
        <f t="shared" si="52"/>
        <v>566.94000000000005</v>
      </c>
    </row>
    <row r="3338" spans="1:8" x14ac:dyDescent="0.25">
      <c r="A3338" s="1" t="s">
        <v>3351</v>
      </c>
      <c r="B3338" s="5">
        <v>45797</v>
      </c>
      <c r="C3338" s="1" t="s">
        <v>23</v>
      </c>
      <c r="D3338" s="1" t="s">
        <v>16</v>
      </c>
      <c r="E3338" s="1">
        <v>6</v>
      </c>
      <c r="F3338" s="1">
        <v>287.45</v>
      </c>
      <c r="G3338" s="1">
        <v>31.21</v>
      </c>
      <c r="H3338">
        <f t="shared" si="52"/>
        <v>1724.6999999999998</v>
      </c>
    </row>
    <row r="3339" spans="1:8" x14ac:dyDescent="0.25">
      <c r="A3339" s="1" t="s">
        <v>3352</v>
      </c>
      <c r="B3339" s="5">
        <v>45797.041666666664</v>
      </c>
      <c r="C3339" s="1" t="s">
        <v>23</v>
      </c>
      <c r="D3339" s="1" t="s">
        <v>16</v>
      </c>
      <c r="E3339" s="1">
        <v>8</v>
      </c>
      <c r="F3339" s="1">
        <v>144.22999999999999</v>
      </c>
      <c r="G3339" s="1">
        <v>9</v>
      </c>
      <c r="H3339">
        <f t="shared" si="52"/>
        <v>1153.8399999999999</v>
      </c>
    </row>
    <row r="3340" spans="1:8" x14ac:dyDescent="0.25">
      <c r="A3340" s="1" t="s">
        <v>3353</v>
      </c>
      <c r="B3340" s="5">
        <v>45797.083333333336</v>
      </c>
      <c r="C3340" s="1" t="s">
        <v>23</v>
      </c>
      <c r="D3340" s="1" t="s">
        <v>9</v>
      </c>
      <c r="E3340" s="1">
        <v>4</v>
      </c>
      <c r="F3340" s="1">
        <v>195.88</v>
      </c>
      <c r="G3340" s="1">
        <v>27.08</v>
      </c>
      <c r="H3340">
        <f t="shared" si="52"/>
        <v>783.52</v>
      </c>
    </row>
    <row r="3341" spans="1:8" x14ac:dyDescent="0.25">
      <c r="A3341" s="1" t="s">
        <v>3354</v>
      </c>
      <c r="B3341" s="5">
        <v>45797.125</v>
      </c>
      <c r="C3341" s="1" t="s">
        <v>13</v>
      </c>
      <c r="D3341" s="1" t="s">
        <v>16</v>
      </c>
      <c r="E3341" s="1">
        <v>12</v>
      </c>
      <c r="F3341" s="1">
        <v>362.79</v>
      </c>
      <c r="G3341" s="1">
        <v>32.92</v>
      </c>
      <c r="H3341">
        <f t="shared" si="52"/>
        <v>4353.4800000000005</v>
      </c>
    </row>
    <row r="3342" spans="1:8" x14ac:dyDescent="0.25">
      <c r="A3342" s="1" t="s">
        <v>3355</v>
      </c>
      <c r="B3342" s="5">
        <v>45797.166666666664</v>
      </c>
      <c r="C3342" s="1" t="s">
        <v>8</v>
      </c>
      <c r="D3342" s="1" t="s">
        <v>9</v>
      </c>
      <c r="E3342" s="1">
        <v>15</v>
      </c>
      <c r="F3342" s="1">
        <v>148.62</v>
      </c>
      <c r="G3342" s="1">
        <v>8.15</v>
      </c>
      <c r="H3342">
        <f t="shared" si="52"/>
        <v>2229.3000000000002</v>
      </c>
    </row>
    <row r="3343" spans="1:8" x14ac:dyDescent="0.25">
      <c r="A3343" s="1" t="s">
        <v>3356</v>
      </c>
      <c r="B3343" s="5">
        <v>45797.208333333336</v>
      </c>
      <c r="C3343" s="1" t="s">
        <v>23</v>
      </c>
      <c r="D3343" s="1" t="s">
        <v>9</v>
      </c>
      <c r="E3343" s="1">
        <v>8</v>
      </c>
      <c r="F3343" s="1">
        <v>219.72</v>
      </c>
      <c r="G3343" s="1">
        <v>14.31</v>
      </c>
      <c r="H3343">
        <f t="shared" si="52"/>
        <v>1757.76</v>
      </c>
    </row>
    <row r="3344" spans="1:8" x14ac:dyDescent="0.25">
      <c r="A3344" s="1" t="s">
        <v>3357</v>
      </c>
      <c r="B3344" s="5">
        <v>45797.25</v>
      </c>
      <c r="C3344" s="1" t="s">
        <v>11</v>
      </c>
      <c r="D3344" s="1" t="s">
        <v>9</v>
      </c>
      <c r="E3344" s="1">
        <v>7</v>
      </c>
      <c r="F3344" s="1">
        <v>24.03</v>
      </c>
      <c r="G3344" s="1">
        <v>20.09</v>
      </c>
      <c r="H3344">
        <f t="shared" si="52"/>
        <v>168.21</v>
      </c>
    </row>
    <row r="3345" spans="1:8" x14ac:dyDescent="0.25">
      <c r="A3345" s="1" t="s">
        <v>3358</v>
      </c>
      <c r="B3345" s="5">
        <v>45797.291666666664</v>
      </c>
      <c r="C3345" s="1" t="s">
        <v>23</v>
      </c>
      <c r="D3345" s="1" t="s">
        <v>37</v>
      </c>
      <c r="E3345" s="1">
        <v>14</v>
      </c>
      <c r="F3345" s="1">
        <v>334.23</v>
      </c>
      <c r="G3345" s="1">
        <v>21.59</v>
      </c>
      <c r="H3345">
        <f t="shared" si="52"/>
        <v>4679.22</v>
      </c>
    </row>
    <row r="3346" spans="1:8" x14ac:dyDescent="0.25">
      <c r="A3346" s="1" t="s">
        <v>3359</v>
      </c>
      <c r="B3346" s="5">
        <v>45797.333333333336</v>
      </c>
      <c r="C3346" s="1" t="s">
        <v>23</v>
      </c>
      <c r="D3346" s="1" t="s">
        <v>16</v>
      </c>
      <c r="E3346" s="1">
        <v>19</v>
      </c>
      <c r="F3346" s="1">
        <v>196.99</v>
      </c>
      <c r="G3346" s="1">
        <v>35.42</v>
      </c>
      <c r="H3346">
        <f t="shared" si="52"/>
        <v>3742.8100000000004</v>
      </c>
    </row>
    <row r="3347" spans="1:8" x14ac:dyDescent="0.25">
      <c r="A3347" s="1" t="s">
        <v>3360</v>
      </c>
      <c r="B3347" s="5">
        <v>45797.375</v>
      </c>
      <c r="C3347" s="1" t="s">
        <v>23</v>
      </c>
      <c r="D3347" s="1" t="s">
        <v>9</v>
      </c>
      <c r="E3347" s="1">
        <v>14</v>
      </c>
      <c r="F3347" s="1">
        <v>243.77</v>
      </c>
      <c r="G3347" s="1">
        <v>28.81</v>
      </c>
      <c r="H3347">
        <f t="shared" si="52"/>
        <v>3412.78</v>
      </c>
    </row>
    <row r="3348" spans="1:8" x14ac:dyDescent="0.25">
      <c r="A3348" s="1" t="s">
        <v>3361</v>
      </c>
      <c r="B3348" s="5">
        <v>45797.416666666664</v>
      </c>
      <c r="C3348" s="1" t="s">
        <v>23</v>
      </c>
      <c r="D3348" s="1" t="s">
        <v>19</v>
      </c>
      <c r="E3348" s="1">
        <v>13</v>
      </c>
      <c r="F3348" s="1">
        <v>65.33</v>
      </c>
      <c r="G3348" s="1">
        <v>22.19</v>
      </c>
      <c r="H3348">
        <f t="shared" si="52"/>
        <v>849.29</v>
      </c>
    </row>
    <row r="3349" spans="1:8" x14ac:dyDescent="0.25">
      <c r="A3349" s="1" t="s">
        <v>3362</v>
      </c>
      <c r="B3349" s="5">
        <v>45797.458333333336</v>
      </c>
      <c r="C3349" s="1" t="s">
        <v>8</v>
      </c>
      <c r="D3349" s="1" t="s">
        <v>37</v>
      </c>
      <c r="E3349" s="1">
        <v>1</v>
      </c>
      <c r="F3349" s="1">
        <v>446.4</v>
      </c>
      <c r="G3349" s="1">
        <v>25.28</v>
      </c>
      <c r="H3349">
        <f t="shared" si="52"/>
        <v>446.4</v>
      </c>
    </row>
    <row r="3350" spans="1:8" x14ac:dyDescent="0.25">
      <c r="A3350" s="1" t="s">
        <v>3363</v>
      </c>
      <c r="B3350" s="5">
        <v>45797.5</v>
      </c>
      <c r="C3350" s="1" t="s">
        <v>11</v>
      </c>
      <c r="D3350" s="1" t="s">
        <v>37</v>
      </c>
      <c r="E3350" s="1">
        <v>19</v>
      </c>
      <c r="F3350" s="1">
        <v>146.91999999999999</v>
      </c>
      <c r="G3350" s="1">
        <v>5.58</v>
      </c>
      <c r="H3350">
        <f t="shared" si="52"/>
        <v>2791.4799999999996</v>
      </c>
    </row>
    <row r="3351" spans="1:8" x14ac:dyDescent="0.25">
      <c r="A3351" s="1" t="s">
        <v>3364</v>
      </c>
      <c r="B3351" s="5">
        <v>45797.541666666664</v>
      </c>
      <c r="C3351" s="1" t="s">
        <v>8</v>
      </c>
      <c r="D3351" s="1" t="s">
        <v>16</v>
      </c>
      <c r="E3351" s="1">
        <v>1</v>
      </c>
      <c r="F3351" s="1">
        <v>291.39999999999998</v>
      </c>
      <c r="G3351" s="1">
        <v>39.67</v>
      </c>
      <c r="H3351">
        <f t="shared" si="52"/>
        <v>291.39999999999998</v>
      </c>
    </row>
    <row r="3352" spans="1:8" x14ac:dyDescent="0.25">
      <c r="A3352" s="1" t="s">
        <v>3365</v>
      </c>
      <c r="B3352" s="5">
        <v>45797.583333333336</v>
      </c>
      <c r="C3352" s="1" t="s">
        <v>11</v>
      </c>
      <c r="D3352" s="1" t="s">
        <v>9</v>
      </c>
      <c r="E3352" s="1">
        <v>4</v>
      </c>
      <c r="F3352" s="1">
        <v>268.05</v>
      </c>
      <c r="G3352" s="1">
        <v>6.85</v>
      </c>
      <c r="H3352">
        <f t="shared" si="52"/>
        <v>1072.2</v>
      </c>
    </row>
    <row r="3353" spans="1:8" x14ac:dyDescent="0.25">
      <c r="A3353" s="1" t="s">
        <v>3366</v>
      </c>
      <c r="B3353" s="5">
        <v>45797.625</v>
      </c>
      <c r="C3353" s="1" t="s">
        <v>23</v>
      </c>
      <c r="D3353" s="1" t="s">
        <v>16</v>
      </c>
      <c r="E3353" s="1">
        <v>10</v>
      </c>
      <c r="F3353" s="1">
        <v>356.62</v>
      </c>
      <c r="G3353" s="1">
        <v>42.32</v>
      </c>
      <c r="H3353">
        <f t="shared" si="52"/>
        <v>3566.2</v>
      </c>
    </row>
    <row r="3354" spans="1:8" x14ac:dyDescent="0.25">
      <c r="A3354" s="1" t="s">
        <v>3367</v>
      </c>
      <c r="B3354" s="5">
        <v>45797.666666666664</v>
      </c>
      <c r="C3354" s="1" t="s">
        <v>13</v>
      </c>
      <c r="D3354" s="1" t="s">
        <v>37</v>
      </c>
      <c r="E3354" s="1">
        <v>3</v>
      </c>
      <c r="F3354" s="1">
        <v>143.16999999999999</v>
      </c>
      <c r="G3354" s="1">
        <v>29.34</v>
      </c>
      <c r="H3354">
        <f t="shared" si="52"/>
        <v>429.51</v>
      </c>
    </row>
    <row r="3355" spans="1:8" x14ac:dyDescent="0.25">
      <c r="A3355" s="1" t="s">
        <v>3368</v>
      </c>
      <c r="B3355" s="5">
        <v>45797.708333333336</v>
      </c>
      <c r="C3355" s="1" t="s">
        <v>8</v>
      </c>
      <c r="D3355" s="1" t="s">
        <v>9</v>
      </c>
      <c r="E3355" s="1">
        <v>9</v>
      </c>
      <c r="F3355" s="1">
        <v>343.95</v>
      </c>
      <c r="G3355" s="1">
        <v>28.75</v>
      </c>
      <c r="H3355">
        <f t="shared" si="52"/>
        <v>3095.5499999999997</v>
      </c>
    </row>
    <row r="3356" spans="1:8" x14ac:dyDescent="0.25">
      <c r="A3356" s="1" t="s">
        <v>3369</v>
      </c>
      <c r="B3356" s="5">
        <v>45797.75</v>
      </c>
      <c r="C3356" s="1" t="s">
        <v>13</v>
      </c>
      <c r="D3356" s="1" t="s">
        <v>19</v>
      </c>
      <c r="E3356" s="1">
        <v>3</v>
      </c>
      <c r="F3356" s="1">
        <v>181.7</v>
      </c>
      <c r="G3356" s="1">
        <v>36.71</v>
      </c>
      <c r="H3356">
        <f t="shared" si="52"/>
        <v>545.09999999999991</v>
      </c>
    </row>
    <row r="3357" spans="1:8" x14ac:dyDescent="0.25">
      <c r="A3357" s="1" t="s">
        <v>3370</v>
      </c>
      <c r="B3357" s="5">
        <v>45797.791666666664</v>
      </c>
      <c r="C3357" s="1" t="s">
        <v>8</v>
      </c>
      <c r="D3357" s="1" t="s">
        <v>9</v>
      </c>
      <c r="E3357" s="1">
        <v>6</v>
      </c>
      <c r="F3357" s="1">
        <v>194.15</v>
      </c>
      <c r="G3357" s="1">
        <v>43.68</v>
      </c>
      <c r="H3357">
        <f t="shared" si="52"/>
        <v>1164.9000000000001</v>
      </c>
    </row>
    <row r="3358" spans="1:8" x14ac:dyDescent="0.25">
      <c r="A3358" s="1" t="s">
        <v>3371</v>
      </c>
      <c r="B3358" s="5">
        <v>45797.833333333336</v>
      </c>
      <c r="C3358" s="1" t="s">
        <v>23</v>
      </c>
      <c r="D3358" s="1" t="s">
        <v>37</v>
      </c>
      <c r="E3358" s="1">
        <v>6</v>
      </c>
      <c r="F3358" s="1">
        <v>307.79000000000002</v>
      </c>
      <c r="G3358" s="1">
        <v>47.42</v>
      </c>
      <c r="H3358">
        <f t="shared" si="52"/>
        <v>1846.7400000000002</v>
      </c>
    </row>
    <row r="3359" spans="1:8" x14ac:dyDescent="0.25">
      <c r="A3359" s="1" t="s">
        <v>3372</v>
      </c>
      <c r="B3359" s="5">
        <v>45797.875</v>
      </c>
      <c r="C3359" s="1" t="s">
        <v>8</v>
      </c>
      <c r="D3359" s="1" t="s">
        <v>19</v>
      </c>
      <c r="E3359" s="1">
        <v>12</v>
      </c>
      <c r="F3359" s="1">
        <v>356.27</v>
      </c>
      <c r="G3359" s="1">
        <v>29.45</v>
      </c>
      <c r="H3359">
        <f t="shared" si="52"/>
        <v>4275.24</v>
      </c>
    </row>
    <row r="3360" spans="1:8" x14ac:dyDescent="0.25">
      <c r="A3360" s="1" t="s">
        <v>3373</v>
      </c>
      <c r="B3360" s="5">
        <v>45797.916666666664</v>
      </c>
      <c r="C3360" s="1" t="s">
        <v>23</v>
      </c>
      <c r="D3360" s="1" t="s">
        <v>9</v>
      </c>
      <c r="E3360" s="1">
        <v>1</v>
      </c>
      <c r="F3360" s="1">
        <v>305.25</v>
      </c>
      <c r="G3360" s="1">
        <v>11.78</v>
      </c>
      <c r="H3360">
        <f t="shared" si="52"/>
        <v>305.25</v>
      </c>
    </row>
    <row r="3361" spans="1:8" x14ac:dyDescent="0.25">
      <c r="A3361" s="1" t="s">
        <v>3374</v>
      </c>
      <c r="B3361" s="5">
        <v>45797.958333333336</v>
      </c>
      <c r="C3361" s="1" t="s">
        <v>8</v>
      </c>
      <c r="D3361" s="1" t="s">
        <v>19</v>
      </c>
      <c r="E3361" s="1">
        <v>16</v>
      </c>
      <c r="F3361" s="1">
        <v>406.5</v>
      </c>
      <c r="G3361" s="1">
        <v>44.54</v>
      </c>
      <c r="H3361">
        <f t="shared" si="52"/>
        <v>6504</v>
      </c>
    </row>
    <row r="3362" spans="1:8" x14ac:dyDescent="0.25">
      <c r="A3362" s="1" t="s">
        <v>3375</v>
      </c>
      <c r="B3362" s="5">
        <v>45798</v>
      </c>
      <c r="C3362" s="1" t="s">
        <v>23</v>
      </c>
      <c r="D3362" s="1" t="s">
        <v>19</v>
      </c>
      <c r="E3362" s="1">
        <v>5</v>
      </c>
      <c r="F3362" s="1">
        <v>139.4</v>
      </c>
      <c r="G3362" s="1">
        <v>6.83</v>
      </c>
      <c r="H3362">
        <f t="shared" si="52"/>
        <v>697</v>
      </c>
    </row>
    <row r="3363" spans="1:8" x14ac:dyDescent="0.25">
      <c r="A3363" s="1" t="s">
        <v>3376</v>
      </c>
      <c r="B3363" s="5">
        <v>45798.041666666664</v>
      </c>
      <c r="C3363" s="1" t="s">
        <v>23</v>
      </c>
      <c r="D3363" s="1" t="s">
        <v>37</v>
      </c>
      <c r="E3363" s="1">
        <v>9</v>
      </c>
      <c r="F3363" s="1">
        <v>406.82</v>
      </c>
      <c r="G3363" s="1">
        <v>41.33</v>
      </c>
      <c r="H3363">
        <f t="shared" si="52"/>
        <v>3661.38</v>
      </c>
    </row>
    <row r="3364" spans="1:8" x14ac:dyDescent="0.25">
      <c r="A3364" s="1" t="s">
        <v>3377</v>
      </c>
      <c r="B3364" s="5">
        <v>45798.083333333336</v>
      </c>
      <c r="C3364" s="1" t="s">
        <v>11</v>
      </c>
      <c r="D3364" s="1" t="s">
        <v>19</v>
      </c>
      <c r="E3364" s="1">
        <v>10</v>
      </c>
      <c r="F3364" s="1">
        <v>72.36</v>
      </c>
      <c r="G3364" s="1">
        <v>35.619999999999997</v>
      </c>
      <c r="H3364">
        <f t="shared" si="52"/>
        <v>723.6</v>
      </c>
    </row>
    <row r="3365" spans="1:8" x14ac:dyDescent="0.25">
      <c r="A3365" s="1" t="s">
        <v>3378</v>
      </c>
      <c r="B3365" s="5">
        <v>45798.125</v>
      </c>
      <c r="C3365" s="1" t="s">
        <v>23</v>
      </c>
      <c r="D3365" s="1" t="s">
        <v>16</v>
      </c>
      <c r="E3365" s="1">
        <v>13</v>
      </c>
      <c r="F3365" s="1">
        <v>302.07</v>
      </c>
      <c r="G3365" s="1">
        <v>45.71</v>
      </c>
      <c r="H3365">
        <f t="shared" si="52"/>
        <v>3926.91</v>
      </c>
    </row>
    <row r="3366" spans="1:8" x14ac:dyDescent="0.25">
      <c r="A3366" s="1" t="s">
        <v>3379</v>
      </c>
      <c r="B3366" s="5">
        <v>45798.166666666664</v>
      </c>
      <c r="C3366" s="1" t="s">
        <v>11</v>
      </c>
      <c r="D3366" s="1" t="s">
        <v>37</v>
      </c>
      <c r="E3366" s="1">
        <v>15</v>
      </c>
      <c r="F3366" s="1">
        <v>253.45</v>
      </c>
      <c r="G3366" s="1">
        <v>45.39</v>
      </c>
      <c r="H3366">
        <f t="shared" si="52"/>
        <v>3801.75</v>
      </c>
    </row>
    <row r="3367" spans="1:8" x14ac:dyDescent="0.25">
      <c r="A3367" s="1" t="s">
        <v>3380</v>
      </c>
      <c r="B3367" s="5">
        <v>45798.208333333336</v>
      </c>
      <c r="C3367" s="1" t="s">
        <v>23</v>
      </c>
      <c r="D3367" s="1" t="s">
        <v>16</v>
      </c>
      <c r="E3367" s="1">
        <v>12</v>
      </c>
      <c r="F3367" s="1">
        <v>230.42</v>
      </c>
      <c r="G3367" s="1">
        <v>7.39</v>
      </c>
      <c r="H3367">
        <f t="shared" si="52"/>
        <v>2765.04</v>
      </c>
    </row>
    <row r="3368" spans="1:8" x14ac:dyDescent="0.25">
      <c r="A3368" s="1" t="s">
        <v>3381</v>
      </c>
      <c r="B3368" s="5">
        <v>45798.25</v>
      </c>
      <c r="C3368" s="1" t="s">
        <v>13</v>
      </c>
      <c r="D3368" s="1" t="s">
        <v>19</v>
      </c>
      <c r="E3368" s="1">
        <v>5</v>
      </c>
      <c r="F3368" s="1">
        <v>150.59</v>
      </c>
      <c r="G3368" s="1">
        <v>32.43</v>
      </c>
      <c r="H3368">
        <f t="shared" si="52"/>
        <v>752.95</v>
      </c>
    </row>
    <row r="3369" spans="1:8" x14ac:dyDescent="0.25">
      <c r="A3369" s="1" t="s">
        <v>3382</v>
      </c>
      <c r="B3369" s="5">
        <v>45798.291666666664</v>
      </c>
      <c r="C3369" s="1" t="s">
        <v>23</v>
      </c>
      <c r="D3369" s="1" t="s">
        <v>16</v>
      </c>
      <c r="E3369" s="1">
        <v>5</v>
      </c>
      <c r="F3369" s="1">
        <v>234.37</v>
      </c>
      <c r="G3369" s="1">
        <v>10.61</v>
      </c>
      <c r="H3369">
        <f t="shared" si="52"/>
        <v>1171.8499999999999</v>
      </c>
    </row>
    <row r="3370" spans="1:8" x14ac:dyDescent="0.25">
      <c r="A3370" s="1" t="s">
        <v>3383</v>
      </c>
      <c r="B3370" s="5">
        <v>45798.333333333336</v>
      </c>
      <c r="C3370" s="1" t="s">
        <v>13</v>
      </c>
      <c r="D3370" s="1" t="s">
        <v>9</v>
      </c>
      <c r="E3370" s="1">
        <v>18</v>
      </c>
      <c r="F3370" s="1">
        <v>85.79</v>
      </c>
      <c r="G3370" s="1">
        <v>8.5299999999999994</v>
      </c>
      <c r="H3370">
        <f t="shared" si="52"/>
        <v>1544.22</v>
      </c>
    </row>
    <row r="3371" spans="1:8" x14ac:dyDescent="0.25">
      <c r="A3371" s="1" t="s">
        <v>3384</v>
      </c>
      <c r="B3371" s="5">
        <v>45798.375</v>
      </c>
      <c r="C3371" s="1" t="s">
        <v>13</v>
      </c>
      <c r="D3371" s="1" t="s">
        <v>19</v>
      </c>
      <c r="E3371" s="1">
        <v>12</v>
      </c>
      <c r="F3371" s="1">
        <v>175.97</v>
      </c>
      <c r="G3371" s="1">
        <v>25.17</v>
      </c>
      <c r="H3371">
        <f t="shared" si="52"/>
        <v>2111.64</v>
      </c>
    </row>
    <row r="3372" spans="1:8" x14ac:dyDescent="0.25">
      <c r="A3372" s="1" t="s">
        <v>3385</v>
      </c>
      <c r="B3372" s="5">
        <v>45798.416666666664</v>
      </c>
      <c r="C3372" s="1" t="s">
        <v>23</v>
      </c>
      <c r="D3372" s="1" t="s">
        <v>9</v>
      </c>
      <c r="E3372" s="1">
        <v>3</v>
      </c>
      <c r="F3372" s="1">
        <v>58.38</v>
      </c>
      <c r="G3372" s="1">
        <v>9.39</v>
      </c>
      <c r="H3372">
        <f t="shared" si="52"/>
        <v>175.14000000000001</v>
      </c>
    </row>
    <row r="3373" spans="1:8" x14ac:dyDescent="0.25">
      <c r="A3373" s="1" t="s">
        <v>3386</v>
      </c>
      <c r="B3373" s="5">
        <v>45798.458333333336</v>
      </c>
      <c r="C3373" s="1" t="s">
        <v>13</v>
      </c>
      <c r="D3373" s="1" t="s">
        <v>16</v>
      </c>
      <c r="E3373" s="1">
        <v>7</v>
      </c>
      <c r="F3373" s="1">
        <v>263.97000000000003</v>
      </c>
      <c r="G3373" s="1">
        <v>37.76</v>
      </c>
      <c r="H3373">
        <f t="shared" si="52"/>
        <v>1847.7900000000002</v>
      </c>
    </row>
    <row r="3374" spans="1:8" x14ac:dyDescent="0.25">
      <c r="A3374" s="1" t="s">
        <v>3387</v>
      </c>
      <c r="B3374" s="5">
        <v>45798.5</v>
      </c>
      <c r="C3374" s="1" t="s">
        <v>11</v>
      </c>
      <c r="D3374" s="1" t="s">
        <v>9</v>
      </c>
      <c r="E3374" s="1">
        <v>17</v>
      </c>
      <c r="F3374" s="1">
        <v>57.11</v>
      </c>
      <c r="G3374" s="1">
        <v>48.6</v>
      </c>
      <c r="H3374">
        <f t="shared" si="52"/>
        <v>970.87</v>
      </c>
    </row>
    <row r="3375" spans="1:8" x14ac:dyDescent="0.25">
      <c r="A3375" s="1" t="s">
        <v>3388</v>
      </c>
      <c r="B3375" s="5">
        <v>45798.541666666664</v>
      </c>
      <c r="C3375" s="1" t="s">
        <v>8</v>
      </c>
      <c r="D3375" s="1" t="s">
        <v>19</v>
      </c>
      <c r="E3375" s="1">
        <v>19</v>
      </c>
      <c r="F3375" s="1">
        <v>85.17</v>
      </c>
      <c r="G3375" s="1">
        <v>30.63</v>
      </c>
      <c r="H3375">
        <f t="shared" si="52"/>
        <v>1618.23</v>
      </c>
    </row>
    <row r="3376" spans="1:8" x14ac:dyDescent="0.25">
      <c r="A3376" s="1" t="s">
        <v>3389</v>
      </c>
      <c r="B3376" s="5">
        <v>45798.583333333336</v>
      </c>
      <c r="C3376" s="1" t="s">
        <v>23</v>
      </c>
      <c r="D3376" s="1" t="s">
        <v>9</v>
      </c>
      <c r="E3376" s="1">
        <v>18</v>
      </c>
      <c r="F3376" s="1">
        <v>52.64</v>
      </c>
      <c r="G3376" s="1">
        <v>15.58</v>
      </c>
      <c r="H3376">
        <f t="shared" si="52"/>
        <v>947.52</v>
      </c>
    </row>
    <row r="3377" spans="1:8" x14ac:dyDescent="0.25">
      <c r="A3377" s="1" t="s">
        <v>3390</v>
      </c>
      <c r="B3377" s="5">
        <v>45798.625</v>
      </c>
      <c r="C3377" s="1" t="s">
        <v>13</v>
      </c>
      <c r="D3377" s="1" t="s">
        <v>16</v>
      </c>
      <c r="E3377" s="1">
        <v>1</v>
      </c>
      <c r="F3377" s="1">
        <v>181.18</v>
      </c>
      <c r="G3377" s="1">
        <v>42.94</v>
      </c>
      <c r="H3377">
        <f t="shared" si="52"/>
        <v>181.18</v>
      </c>
    </row>
    <row r="3378" spans="1:8" x14ac:dyDescent="0.25">
      <c r="A3378" s="1" t="s">
        <v>3391</v>
      </c>
      <c r="B3378" s="5">
        <v>45798.666666666664</v>
      </c>
      <c r="C3378" s="1" t="s">
        <v>23</v>
      </c>
      <c r="D3378" s="1" t="s">
        <v>16</v>
      </c>
      <c r="E3378" s="1">
        <v>5</v>
      </c>
      <c r="F3378" s="1">
        <v>381.33</v>
      </c>
      <c r="G3378" s="1">
        <v>43.39</v>
      </c>
      <c r="H3378">
        <f t="shared" si="52"/>
        <v>1906.6499999999999</v>
      </c>
    </row>
    <row r="3379" spans="1:8" x14ac:dyDescent="0.25">
      <c r="A3379" s="1" t="s">
        <v>3392</v>
      </c>
      <c r="B3379" s="5">
        <v>45798.708333333336</v>
      </c>
      <c r="C3379" s="1" t="s">
        <v>11</v>
      </c>
      <c r="D3379" s="1" t="s">
        <v>16</v>
      </c>
      <c r="E3379" s="1">
        <v>2</v>
      </c>
      <c r="F3379" s="1">
        <v>409.55</v>
      </c>
      <c r="G3379" s="1">
        <v>37.979999999999997</v>
      </c>
      <c r="H3379">
        <f t="shared" si="52"/>
        <v>819.1</v>
      </c>
    </row>
    <row r="3380" spans="1:8" x14ac:dyDescent="0.25">
      <c r="A3380" s="1" t="s">
        <v>3393</v>
      </c>
      <c r="B3380" s="5">
        <v>45798.75</v>
      </c>
      <c r="C3380" s="1" t="s">
        <v>23</v>
      </c>
      <c r="D3380" s="1" t="s">
        <v>19</v>
      </c>
      <c r="E3380" s="1">
        <v>1</v>
      </c>
      <c r="F3380" s="1">
        <v>46.74</v>
      </c>
      <c r="G3380" s="1">
        <v>32.68</v>
      </c>
      <c r="H3380">
        <f t="shared" si="52"/>
        <v>46.74</v>
      </c>
    </row>
    <row r="3381" spans="1:8" x14ac:dyDescent="0.25">
      <c r="A3381" s="1" t="s">
        <v>3394</v>
      </c>
      <c r="B3381" s="5">
        <v>45798.791666666664</v>
      </c>
      <c r="C3381" s="1" t="s">
        <v>23</v>
      </c>
      <c r="D3381" s="1" t="s">
        <v>16</v>
      </c>
      <c r="E3381" s="1">
        <v>7</v>
      </c>
      <c r="F3381" s="1">
        <v>291.20999999999998</v>
      </c>
      <c r="G3381" s="1">
        <v>44.05</v>
      </c>
      <c r="H3381">
        <f t="shared" si="52"/>
        <v>2038.4699999999998</v>
      </c>
    </row>
    <row r="3382" spans="1:8" x14ac:dyDescent="0.25">
      <c r="A3382" s="1" t="s">
        <v>3395</v>
      </c>
      <c r="B3382" s="5">
        <v>45798.833333333336</v>
      </c>
      <c r="C3382" s="1" t="s">
        <v>13</v>
      </c>
      <c r="D3382" s="1" t="s">
        <v>19</v>
      </c>
      <c r="E3382" s="1">
        <v>11</v>
      </c>
      <c r="F3382" s="1">
        <v>312.87</v>
      </c>
      <c r="G3382" s="1">
        <v>12.35</v>
      </c>
      <c r="H3382">
        <f t="shared" si="52"/>
        <v>3441.57</v>
      </c>
    </row>
    <row r="3383" spans="1:8" x14ac:dyDescent="0.25">
      <c r="A3383" s="1" t="s">
        <v>3396</v>
      </c>
      <c r="B3383" s="5">
        <v>45798.875</v>
      </c>
      <c r="C3383" s="1" t="s">
        <v>11</v>
      </c>
      <c r="D3383" s="1" t="s">
        <v>9</v>
      </c>
      <c r="E3383" s="1">
        <v>11</v>
      </c>
      <c r="F3383" s="1">
        <v>247.42</v>
      </c>
      <c r="G3383" s="1">
        <v>46.92</v>
      </c>
      <c r="H3383">
        <f t="shared" si="52"/>
        <v>2721.62</v>
      </c>
    </row>
    <row r="3384" spans="1:8" x14ac:dyDescent="0.25">
      <c r="A3384" s="1" t="s">
        <v>3397</v>
      </c>
      <c r="B3384" s="5">
        <v>45798.916666666664</v>
      </c>
      <c r="C3384" s="1" t="s">
        <v>8</v>
      </c>
      <c r="D3384" s="1" t="s">
        <v>16</v>
      </c>
      <c r="E3384" s="1">
        <v>18</v>
      </c>
      <c r="F3384" s="1">
        <v>305.3</v>
      </c>
      <c r="G3384" s="1">
        <v>47.62</v>
      </c>
      <c r="H3384">
        <f t="shared" si="52"/>
        <v>5495.4000000000005</v>
      </c>
    </row>
    <row r="3385" spans="1:8" x14ac:dyDescent="0.25">
      <c r="A3385" s="1" t="s">
        <v>3398</v>
      </c>
      <c r="B3385" s="5">
        <v>45798.958333333336</v>
      </c>
      <c r="C3385" s="1" t="s">
        <v>8</v>
      </c>
      <c r="D3385" s="1" t="s">
        <v>9</v>
      </c>
      <c r="E3385" s="1">
        <v>17</v>
      </c>
      <c r="F3385" s="1">
        <v>117.04</v>
      </c>
      <c r="G3385" s="1">
        <v>44.24</v>
      </c>
      <c r="H3385">
        <f t="shared" si="52"/>
        <v>1989.68</v>
      </c>
    </row>
    <row r="3386" spans="1:8" x14ac:dyDescent="0.25">
      <c r="A3386" s="1" t="s">
        <v>3399</v>
      </c>
      <c r="B3386" s="5">
        <v>45799</v>
      </c>
      <c r="C3386" s="1" t="s">
        <v>13</v>
      </c>
      <c r="D3386" s="1" t="s">
        <v>37</v>
      </c>
      <c r="E3386" s="1">
        <v>2</v>
      </c>
      <c r="F3386" s="1">
        <v>228.25</v>
      </c>
      <c r="G3386" s="1">
        <v>16.28</v>
      </c>
      <c r="H3386">
        <f t="shared" si="52"/>
        <v>456.5</v>
      </c>
    </row>
    <row r="3387" spans="1:8" x14ac:dyDescent="0.25">
      <c r="A3387" s="1" t="s">
        <v>3400</v>
      </c>
      <c r="B3387" s="5">
        <v>45799.041666666664</v>
      </c>
      <c r="C3387" s="1" t="s">
        <v>23</v>
      </c>
      <c r="D3387" s="1" t="s">
        <v>9</v>
      </c>
      <c r="E3387" s="1">
        <v>7</v>
      </c>
      <c r="F3387" s="1">
        <v>185.34</v>
      </c>
      <c r="G3387" s="1">
        <v>43.62</v>
      </c>
      <c r="H3387">
        <f t="shared" si="52"/>
        <v>1297.3800000000001</v>
      </c>
    </row>
    <row r="3388" spans="1:8" x14ac:dyDescent="0.25">
      <c r="A3388" s="1" t="s">
        <v>3401</v>
      </c>
      <c r="B3388" s="5">
        <v>45799.083333333336</v>
      </c>
      <c r="C3388" s="1" t="s">
        <v>13</v>
      </c>
      <c r="D3388" s="1" t="s">
        <v>37</v>
      </c>
      <c r="E3388" s="1">
        <v>7</v>
      </c>
      <c r="F3388" s="1">
        <v>54.48</v>
      </c>
      <c r="G3388" s="1">
        <v>27.39</v>
      </c>
      <c r="H3388">
        <f t="shared" si="52"/>
        <v>381.35999999999996</v>
      </c>
    </row>
    <row r="3389" spans="1:8" x14ac:dyDescent="0.25">
      <c r="A3389" s="1" t="s">
        <v>3402</v>
      </c>
      <c r="B3389" s="5">
        <v>45799.125</v>
      </c>
      <c r="C3389" s="1" t="s">
        <v>13</v>
      </c>
      <c r="D3389" s="1" t="s">
        <v>9</v>
      </c>
      <c r="E3389" s="1">
        <v>10</v>
      </c>
      <c r="F3389" s="1">
        <v>287.3</v>
      </c>
      <c r="G3389" s="1">
        <v>31.77</v>
      </c>
      <c r="H3389">
        <f t="shared" si="52"/>
        <v>2873</v>
      </c>
    </row>
    <row r="3390" spans="1:8" x14ac:dyDescent="0.25">
      <c r="A3390" s="1" t="s">
        <v>3403</v>
      </c>
      <c r="B3390" s="5">
        <v>45799.166666666664</v>
      </c>
      <c r="C3390" s="1" t="s">
        <v>13</v>
      </c>
      <c r="D3390" s="1" t="s">
        <v>19</v>
      </c>
      <c r="E3390" s="1">
        <v>3</v>
      </c>
      <c r="F3390" s="1">
        <v>230.67</v>
      </c>
      <c r="G3390" s="1">
        <v>42.83</v>
      </c>
      <c r="H3390">
        <f t="shared" si="52"/>
        <v>692.01</v>
      </c>
    </row>
    <row r="3391" spans="1:8" x14ac:dyDescent="0.25">
      <c r="A3391" s="1" t="s">
        <v>3404</v>
      </c>
      <c r="B3391" s="5">
        <v>45799.208333333336</v>
      </c>
      <c r="C3391" s="1" t="s">
        <v>23</v>
      </c>
      <c r="D3391" s="1" t="s">
        <v>9</v>
      </c>
      <c r="E3391" s="1">
        <v>12</v>
      </c>
      <c r="F3391" s="1">
        <v>135.06</v>
      </c>
      <c r="G3391" s="1">
        <v>6.33</v>
      </c>
      <c r="H3391">
        <f t="shared" si="52"/>
        <v>1620.72</v>
      </c>
    </row>
    <row r="3392" spans="1:8" x14ac:dyDescent="0.25">
      <c r="A3392" s="1" t="s">
        <v>3405</v>
      </c>
      <c r="B3392" s="5">
        <v>45799.25</v>
      </c>
      <c r="C3392" s="1" t="s">
        <v>11</v>
      </c>
      <c r="D3392" s="1" t="s">
        <v>19</v>
      </c>
      <c r="E3392" s="1">
        <v>3</v>
      </c>
      <c r="F3392" s="1">
        <v>221.32</v>
      </c>
      <c r="G3392" s="1">
        <v>21.33</v>
      </c>
      <c r="H3392">
        <f t="shared" si="52"/>
        <v>663.96</v>
      </c>
    </row>
    <row r="3393" spans="1:8" x14ac:dyDescent="0.25">
      <c r="A3393" s="1" t="s">
        <v>3406</v>
      </c>
      <c r="B3393" s="5">
        <v>45799.291666666664</v>
      </c>
      <c r="C3393" s="1" t="s">
        <v>13</v>
      </c>
      <c r="D3393" s="1" t="s">
        <v>19</v>
      </c>
      <c r="E3393" s="1">
        <v>11</v>
      </c>
      <c r="F3393" s="1">
        <v>352.37</v>
      </c>
      <c r="G3393" s="1">
        <v>41.71</v>
      </c>
      <c r="H3393">
        <f t="shared" si="52"/>
        <v>3876.07</v>
      </c>
    </row>
    <row r="3394" spans="1:8" x14ac:dyDescent="0.25">
      <c r="A3394" s="1" t="s">
        <v>3407</v>
      </c>
      <c r="B3394" s="5">
        <v>45799.333333333336</v>
      </c>
      <c r="C3394" s="1" t="s">
        <v>23</v>
      </c>
      <c r="D3394" s="1" t="s">
        <v>16</v>
      </c>
      <c r="E3394" s="1">
        <v>12</v>
      </c>
      <c r="F3394" s="1">
        <v>363.82</v>
      </c>
      <c r="G3394" s="1">
        <v>41.63</v>
      </c>
      <c r="H3394">
        <f t="shared" ref="H3394:H3457" si="53">E3394*F3394</f>
        <v>4365.84</v>
      </c>
    </row>
    <row r="3395" spans="1:8" x14ac:dyDescent="0.25">
      <c r="A3395" s="1" t="s">
        <v>3408</v>
      </c>
      <c r="B3395" s="5">
        <v>45799.375</v>
      </c>
      <c r="C3395" s="1" t="s">
        <v>11</v>
      </c>
      <c r="D3395" s="1" t="s">
        <v>19</v>
      </c>
      <c r="E3395" s="1">
        <v>4</v>
      </c>
      <c r="F3395" s="1">
        <v>297.72000000000003</v>
      </c>
      <c r="G3395" s="1">
        <v>43.19</v>
      </c>
      <c r="H3395">
        <f t="shared" si="53"/>
        <v>1190.8800000000001</v>
      </c>
    </row>
    <row r="3396" spans="1:8" x14ac:dyDescent="0.25">
      <c r="A3396" s="1" t="s">
        <v>3409</v>
      </c>
      <c r="B3396" s="5">
        <v>45799.416666666664</v>
      </c>
      <c r="C3396" s="1" t="s">
        <v>13</v>
      </c>
      <c r="D3396" s="1" t="s">
        <v>37</v>
      </c>
      <c r="E3396" s="1">
        <v>16</v>
      </c>
      <c r="F3396" s="1">
        <v>218.74</v>
      </c>
      <c r="G3396" s="1">
        <v>12.61</v>
      </c>
      <c r="H3396">
        <f t="shared" si="53"/>
        <v>3499.84</v>
      </c>
    </row>
    <row r="3397" spans="1:8" x14ac:dyDescent="0.25">
      <c r="A3397" s="1" t="s">
        <v>3410</v>
      </c>
      <c r="B3397" s="5">
        <v>45799.458333333336</v>
      </c>
      <c r="C3397" s="1" t="s">
        <v>8</v>
      </c>
      <c r="D3397" s="1" t="s">
        <v>16</v>
      </c>
      <c r="E3397" s="1">
        <v>18</v>
      </c>
      <c r="F3397" s="1">
        <v>265.66000000000003</v>
      </c>
      <c r="G3397" s="1">
        <v>36.76</v>
      </c>
      <c r="H3397">
        <f t="shared" si="53"/>
        <v>4781.88</v>
      </c>
    </row>
    <row r="3398" spans="1:8" x14ac:dyDescent="0.25">
      <c r="A3398" s="1" t="s">
        <v>3411</v>
      </c>
      <c r="B3398" s="5">
        <v>45799.5</v>
      </c>
      <c r="C3398" s="1" t="s">
        <v>11</v>
      </c>
      <c r="D3398" s="1" t="s">
        <v>16</v>
      </c>
      <c r="E3398" s="1">
        <v>4</v>
      </c>
      <c r="F3398" s="1">
        <v>182.79</v>
      </c>
      <c r="G3398" s="1">
        <v>11.59</v>
      </c>
      <c r="H3398">
        <f t="shared" si="53"/>
        <v>731.16</v>
      </c>
    </row>
    <row r="3399" spans="1:8" x14ac:dyDescent="0.25">
      <c r="A3399" s="1" t="s">
        <v>3412</v>
      </c>
      <c r="B3399" s="5">
        <v>45799.541666666664</v>
      </c>
      <c r="C3399" s="1" t="s">
        <v>13</v>
      </c>
      <c r="D3399" s="1" t="s">
        <v>9</v>
      </c>
      <c r="E3399" s="1">
        <v>6</v>
      </c>
      <c r="F3399" s="1">
        <v>70.489999999999995</v>
      </c>
      <c r="G3399" s="1">
        <v>40.33</v>
      </c>
      <c r="H3399">
        <f t="shared" si="53"/>
        <v>422.93999999999994</v>
      </c>
    </row>
    <row r="3400" spans="1:8" x14ac:dyDescent="0.25">
      <c r="A3400" s="1" t="s">
        <v>3413</v>
      </c>
      <c r="B3400" s="5">
        <v>45799.583333333336</v>
      </c>
      <c r="C3400" s="1" t="s">
        <v>11</v>
      </c>
      <c r="D3400" s="1" t="s">
        <v>19</v>
      </c>
      <c r="E3400" s="1">
        <v>15</v>
      </c>
      <c r="F3400" s="1">
        <v>183.05</v>
      </c>
      <c r="G3400" s="1">
        <v>16.03</v>
      </c>
      <c r="H3400">
        <f t="shared" si="53"/>
        <v>2745.75</v>
      </c>
    </row>
    <row r="3401" spans="1:8" x14ac:dyDescent="0.25">
      <c r="A3401" s="1" t="s">
        <v>3414</v>
      </c>
      <c r="B3401" s="5">
        <v>45799.625</v>
      </c>
      <c r="C3401" s="1" t="s">
        <v>11</v>
      </c>
      <c r="D3401" s="1" t="s">
        <v>19</v>
      </c>
      <c r="E3401" s="1">
        <v>1</v>
      </c>
      <c r="F3401" s="1">
        <v>245.93</v>
      </c>
      <c r="G3401" s="1">
        <v>38.200000000000003</v>
      </c>
      <c r="H3401">
        <f t="shared" si="53"/>
        <v>245.93</v>
      </c>
    </row>
    <row r="3402" spans="1:8" x14ac:dyDescent="0.25">
      <c r="A3402" s="1" t="s">
        <v>3415</v>
      </c>
      <c r="B3402" s="5">
        <v>45799.666666666664</v>
      </c>
      <c r="C3402" s="1" t="s">
        <v>11</v>
      </c>
      <c r="D3402" s="1" t="s">
        <v>37</v>
      </c>
      <c r="E3402" s="1">
        <v>3</v>
      </c>
      <c r="F3402" s="1">
        <v>275.69</v>
      </c>
      <c r="G3402" s="1">
        <v>25.48</v>
      </c>
      <c r="H3402">
        <f t="shared" si="53"/>
        <v>827.06999999999994</v>
      </c>
    </row>
    <row r="3403" spans="1:8" x14ac:dyDescent="0.25">
      <c r="A3403" s="1" t="s">
        <v>3416</v>
      </c>
      <c r="B3403" s="5">
        <v>45799.708333333336</v>
      </c>
      <c r="C3403" s="1" t="s">
        <v>11</v>
      </c>
      <c r="D3403" s="1" t="s">
        <v>9</v>
      </c>
      <c r="E3403" s="1">
        <v>5</v>
      </c>
      <c r="F3403" s="1">
        <v>422.11</v>
      </c>
      <c r="G3403" s="1">
        <v>49.38</v>
      </c>
      <c r="H3403">
        <f t="shared" si="53"/>
        <v>2110.5500000000002</v>
      </c>
    </row>
    <row r="3404" spans="1:8" x14ac:dyDescent="0.25">
      <c r="A3404" s="1" t="s">
        <v>3417</v>
      </c>
      <c r="B3404" s="5">
        <v>45799.75</v>
      </c>
      <c r="C3404" s="1" t="s">
        <v>11</v>
      </c>
      <c r="D3404" s="1" t="s">
        <v>9</v>
      </c>
      <c r="E3404" s="1">
        <v>17</v>
      </c>
      <c r="F3404" s="1">
        <v>353.25</v>
      </c>
      <c r="G3404" s="1">
        <v>31.1</v>
      </c>
      <c r="H3404">
        <f t="shared" si="53"/>
        <v>6005.25</v>
      </c>
    </row>
    <row r="3405" spans="1:8" x14ac:dyDescent="0.25">
      <c r="A3405" s="1" t="s">
        <v>3418</v>
      </c>
      <c r="B3405" s="5">
        <v>45799.791666666664</v>
      </c>
      <c r="C3405" s="1" t="s">
        <v>11</v>
      </c>
      <c r="D3405" s="1" t="s">
        <v>16</v>
      </c>
      <c r="E3405" s="1">
        <v>14</v>
      </c>
      <c r="F3405" s="1">
        <v>81.540000000000006</v>
      </c>
      <c r="G3405" s="1">
        <v>33.47</v>
      </c>
      <c r="H3405">
        <f t="shared" si="53"/>
        <v>1141.5600000000002</v>
      </c>
    </row>
    <row r="3406" spans="1:8" x14ac:dyDescent="0.25">
      <c r="A3406" s="1" t="s">
        <v>3419</v>
      </c>
      <c r="B3406" s="5">
        <v>45799.833333333336</v>
      </c>
      <c r="C3406" s="1" t="s">
        <v>13</v>
      </c>
      <c r="D3406" s="1" t="s">
        <v>16</v>
      </c>
      <c r="E3406" s="1">
        <v>9</v>
      </c>
      <c r="F3406" s="1">
        <v>91.18</v>
      </c>
      <c r="G3406" s="1">
        <v>21.57</v>
      </c>
      <c r="H3406">
        <f t="shared" si="53"/>
        <v>820.62000000000012</v>
      </c>
    </row>
    <row r="3407" spans="1:8" x14ac:dyDescent="0.25">
      <c r="A3407" s="1" t="s">
        <v>3420</v>
      </c>
      <c r="B3407" s="5">
        <v>45799.875</v>
      </c>
      <c r="C3407" s="1" t="s">
        <v>8</v>
      </c>
      <c r="D3407" s="1" t="s">
        <v>16</v>
      </c>
      <c r="E3407" s="1">
        <v>3</v>
      </c>
      <c r="F3407" s="1">
        <v>59.16</v>
      </c>
      <c r="G3407" s="1">
        <v>38.049999999999997</v>
      </c>
      <c r="H3407">
        <f t="shared" si="53"/>
        <v>177.48</v>
      </c>
    </row>
    <row r="3408" spans="1:8" x14ac:dyDescent="0.25">
      <c r="A3408" s="1" t="s">
        <v>3421</v>
      </c>
      <c r="B3408" s="5">
        <v>45799.916666666664</v>
      </c>
      <c r="C3408" s="1" t="s">
        <v>23</v>
      </c>
      <c r="D3408" s="1" t="s">
        <v>37</v>
      </c>
      <c r="E3408" s="1">
        <v>13</v>
      </c>
      <c r="F3408" s="1">
        <v>336.24</v>
      </c>
      <c r="G3408" s="1">
        <v>27.27</v>
      </c>
      <c r="H3408">
        <f t="shared" si="53"/>
        <v>4371.12</v>
      </c>
    </row>
    <row r="3409" spans="1:8" x14ac:dyDescent="0.25">
      <c r="A3409" s="1" t="s">
        <v>3422</v>
      </c>
      <c r="B3409" s="5">
        <v>45799.958333333336</v>
      </c>
      <c r="C3409" s="1" t="s">
        <v>11</v>
      </c>
      <c r="D3409" s="1" t="s">
        <v>37</v>
      </c>
      <c r="E3409" s="1">
        <v>3</v>
      </c>
      <c r="F3409" s="1">
        <v>322.31</v>
      </c>
      <c r="G3409" s="1">
        <v>5.81</v>
      </c>
      <c r="H3409">
        <f t="shared" si="53"/>
        <v>966.93000000000006</v>
      </c>
    </row>
    <row r="3410" spans="1:8" x14ac:dyDescent="0.25">
      <c r="A3410" s="1" t="s">
        <v>3423</v>
      </c>
      <c r="B3410" s="5">
        <v>45800</v>
      </c>
      <c r="C3410" s="1" t="s">
        <v>23</v>
      </c>
      <c r="D3410" s="1" t="s">
        <v>16</v>
      </c>
      <c r="E3410" s="1">
        <v>11</v>
      </c>
      <c r="F3410" s="1">
        <v>444.07</v>
      </c>
      <c r="G3410" s="1">
        <v>32.39</v>
      </c>
      <c r="H3410">
        <f t="shared" si="53"/>
        <v>4884.7699999999995</v>
      </c>
    </row>
    <row r="3411" spans="1:8" x14ac:dyDescent="0.25">
      <c r="A3411" s="1" t="s">
        <v>3424</v>
      </c>
      <c r="B3411" s="5">
        <v>45800.041666666664</v>
      </c>
      <c r="C3411" s="1" t="s">
        <v>13</v>
      </c>
      <c r="D3411" s="1" t="s">
        <v>9</v>
      </c>
      <c r="E3411" s="1">
        <v>2</v>
      </c>
      <c r="F3411" s="1">
        <v>242.32</v>
      </c>
      <c r="G3411" s="1">
        <v>42.37</v>
      </c>
      <c r="H3411">
        <f t="shared" si="53"/>
        <v>484.64</v>
      </c>
    </row>
    <row r="3412" spans="1:8" x14ac:dyDescent="0.25">
      <c r="A3412" s="1" t="s">
        <v>3425</v>
      </c>
      <c r="B3412" s="5">
        <v>45800.083333333336</v>
      </c>
      <c r="C3412" s="1" t="s">
        <v>11</v>
      </c>
      <c r="D3412" s="1" t="s">
        <v>37</v>
      </c>
      <c r="E3412" s="1">
        <v>15</v>
      </c>
      <c r="F3412" s="1">
        <v>374.58</v>
      </c>
      <c r="G3412" s="1">
        <v>15.66</v>
      </c>
      <c r="H3412">
        <f t="shared" si="53"/>
        <v>5618.7</v>
      </c>
    </row>
    <row r="3413" spans="1:8" x14ac:dyDescent="0.25">
      <c r="A3413" s="1" t="s">
        <v>3426</v>
      </c>
      <c r="B3413" s="5">
        <v>45800.125</v>
      </c>
      <c r="C3413" s="1" t="s">
        <v>8</v>
      </c>
      <c r="D3413" s="1" t="s">
        <v>9</v>
      </c>
      <c r="E3413" s="1">
        <v>13</v>
      </c>
      <c r="F3413" s="1">
        <v>265.95999999999998</v>
      </c>
      <c r="G3413" s="1">
        <v>14.95</v>
      </c>
      <c r="H3413">
        <f t="shared" si="53"/>
        <v>3457.4799999999996</v>
      </c>
    </row>
    <row r="3414" spans="1:8" x14ac:dyDescent="0.25">
      <c r="A3414" s="1" t="s">
        <v>3427</v>
      </c>
      <c r="B3414" s="5">
        <v>45800.166666666664</v>
      </c>
      <c r="C3414" s="1" t="s">
        <v>23</v>
      </c>
      <c r="D3414" s="1" t="s">
        <v>9</v>
      </c>
      <c r="E3414" s="1">
        <v>19</v>
      </c>
      <c r="F3414" s="1">
        <v>395.29</v>
      </c>
      <c r="G3414" s="1">
        <v>32.4</v>
      </c>
      <c r="H3414">
        <f t="shared" si="53"/>
        <v>7510.51</v>
      </c>
    </row>
    <row r="3415" spans="1:8" x14ac:dyDescent="0.25">
      <c r="A3415" s="1" t="s">
        <v>3428</v>
      </c>
      <c r="B3415" s="5">
        <v>45800.208333333336</v>
      </c>
      <c r="C3415" s="1" t="s">
        <v>11</v>
      </c>
      <c r="D3415" s="1" t="s">
        <v>19</v>
      </c>
      <c r="E3415" s="1">
        <v>16</v>
      </c>
      <c r="F3415" s="1">
        <v>328.78</v>
      </c>
      <c r="G3415" s="1">
        <v>41.81</v>
      </c>
      <c r="H3415">
        <f t="shared" si="53"/>
        <v>5260.48</v>
      </c>
    </row>
    <row r="3416" spans="1:8" x14ac:dyDescent="0.25">
      <c r="A3416" s="1" t="s">
        <v>3429</v>
      </c>
      <c r="B3416" s="5">
        <v>45800.25</v>
      </c>
      <c r="C3416" s="1" t="s">
        <v>13</v>
      </c>
      <c r="D3416" s="1" t="s">
        <v>16</v>
      </c>
      <c r="E3416" s="1">
        <v>18</v>
      </c>
      <c r="F3416" s="1">
        <v>294.83</v>
      </c>
      <c r="G3416" s="1">
        <v>16.23</v>
      </c>
      <c r="H3416">
        <f t="shared" si="53"/>
        <v>5306.94</v>
      </c>
    </row>
    <row r="3417" spans="1:8" x14ac:dyDescent="0.25">
      <c r="A3417" s="1" t="s">
        <v>3430</v>
      </c>
      <c r="B3417" s="5">
        <v>45800.291666666664</v>
      </c>
      <c r="C3417" s="1" t="s">
        <v>8</v>
      </c>
      <c r="D3417" s="1" t="s">
        <v>19</v>
      </c>
      <c r="E3417" s="1">
        <v>7</v>
      </c>
      <c r="F3417" s="1">
        <v>261.05</v>
      </c>
      <c r="G3417" s="1">
        <v>46.95</v>
      </c>
      <c r="H3417">
        <f t="shared" si="53"/>
        <v>1827.3500000000001</v>
      </c>
    </row>
    <row r="3418" spans="1:8" x14ac:dyDescent="0.25">
      <c r="A3418" s="1" t="s">
        <v>3431</v>
      </c>
      <c r="B3418" s="5">
        <v>45800.333333333336</v>
      </c>
      <c r="C3418" s="1" t="s">
        <v>23</v>
      </c>
      <c r="D3418" s="1" t="s">
        <v>16</v>
      </c>
      <c r="E3418" s="1">
        <v>13</v>
      </c>
      <c r="F3418" s="1">
        <v>329.63</v>
      </c>
      <c r="G3418" s="1">
        <v>46.73</v>
      </c>
      <c r="H3418">
        <f t="shared" si="53"/>
        <v>4285.1899999999996</v>
      </c>
    </row>
    <row r="3419" spans="1:8" x14ac:dyDescent="0.25">
      <c r="A3419" s="1" t="s">
        <v>3432</v>
      </c>
      <c r="B3419" s="5">
        <v>45800.375</v>
      </c>
      <c r="C3419" s="1" t="s">
        <v>23</v>
      </c>
      <c r="D3419" s="1" t="s">
        <v>16</v>
      </c>
      <c r="E3419" s="1">
        <v>4</v>
      </c>
      <c r="F3419" s="1">
        <v>197.84</v>
      </c>
      <c r="G3419" s="1">
        <v>14.02</v>
      </c>
      <c r="H3419">
        <f t="shared" si="53"/>
        <v>791.36</v>
      </c>
    </row>
    <row r="3420" spans="1:8" x14ac:dyDescent="0.25">
      <c r="A3420" s="1" t="s">
        <v>3433</v>
      </c>
      <c r="B3420" s="5">
        <v>45800.416666666664</v>
      </c>
      <c r="C3420" s="1" t="s">
        <v>11</v>
      </c>
      <c r="D3420" s="1" t="s">
        <v>9</v>
      </c>
      <c r="E3420" s="1">
        <v>9</v>
      </c>
      <c r="F3420" s="1">
        <v>57.46</v>
      </c>
      <c r="G3420" s="1">
        <v>16.87</v>
      </c>
      <c r="H3420">
        <f t="shared" si="53"/>
        <v>517.14</v>
      </c>
    </row>
    <row r="3421" spans="1:8" x14ac:dyDescent="0.25">
      <c r="A3421" s="1" t="s">
        <v>3434</v>
      </c>
      <c r="B3421" s="5">
        <v>45800.458333333336</v>
      </c>
      <c r="C3421" s="1" t="s">
        <v>8</v>
      </c>
      <c r="D3421" s="1" t="s">
        <v>16</v>
      </c>
      <c r="E3421" s="1">
        <v>10</v>
      </c>
      <c r="F3421" s="1">
        <v>32.869999999999997</v>
      </c>
      <c r="G3421" s="1">
        <v>36.53</v>
      </c>
      <c r="H3421">
        <f t="shared" si="53"/>
        <v>328.7</v>
      </c>
    </row>
    <row r="3422" spans="1:8" x14ac:dyDescent="0.25">
      <c r="A3422" s="1" t="s">
        <v>3435</v>
      </c>
      <c r="B3422" s="5">
        <v>45800.5</v>
      </c>
      <c r="C3422" s="1" t="s">
        <v>8</v>
      </c>
      <c r="D3422" s="1" t="s">
        <v>9</v>
      </c>
      <c r="E3422" s="1">
        <v>9</v>
      </c>
      <c r="F3422" s="1">
        <v>223.64</v>
      </c>
      <c r="G3422" s="1">
        <v>47.83</v>
      </c>
      <c r="H3422">
        <f t="shared" si="53"/>
        <v>2012.7599999999998</v>
      </c>
    </row>
    <row r="3423" spans="1:8" x14ac:dyDescent="0.25">
      <c r="A3423" s="1" t="s">
        <v>3436</v>
      </c>
      <c r="B3423" s="5">
        <v>45800.541666666664</v>
      </c>
      <c r="C3423" s="1" t="s">
        <v>8</v>
      </c>
      <c r="D3423" s="1" t="s">
        <v>9</v>
      </c>
      <c r="E3423" s="1">
        <v>7</v>
      </c>
      <c r="F3423" s="1">
        <v>275.89</v>
      </c>
      <c r="G3423" s="1">
        <v>36.94</v>
      </c>
      <c r="H3423">
        <f t="shared" si="53"/>
        <v>1931.23</v>
      </c>
    </row>
    <row r="3424" spans="1:8" x14ac:dyDescent="0.25">
      <c r="A3424" s="1" t="s">
        <v>3437</v>
      </c>
      <c r="B3424" s="5">
        <v>45800.583333333336</v>
      </c>
      <c r="C3424" s="1" t="s">
        <v>8</v>
      </c>
      <c r="D3424" s="1" t="s">
        <v>16</v>
      </c>
      <c r="E3424" s="1">
        <v>15</v>
      </c>
      <c r="F3424" s="1">
        <v>49.76</v>
      </c>
      <c r="G3424" s="1">
        <v>25.02</v>
      </c>
      <c r="H3424">
        <f t="shared" si="53"/>
        <v>746.4</v>
      </c>
    </row>
    <row r="3425" spans="1:8" x14ac:dyDescent="0.25">
      <c r="A3425" s="1" t="s">
        <v>3438</v>
      </c>
      <c r="B3425" s="5">
        <v>45800.625</v>
      </c>
      <c r="C3425" s="1" t="s">
        <v>13</v>
      </c>
      <c r="D3425" s="1" t="s">
        <v>9</v>
      </c>
      <c r="E3425" s="1">
        <v>8</v>
      </c>
      <c r="F3425" s="1">
        <v>140.16</v>
      </c>
      <c r="G3425" s="1">
        <v>12.61</v>
      </c>
      <c r="H3425">
        <f t="shared" si="53"/>
        <v>1121.28</v>
      </c>
    </row>
    <row r="3426" spans="1:8" x14ac:dyDescent="0.25">
      <c r="A3426" s="1" t="s">
        <v>3439</v>
      </c>
      <c r="B3426" s="5">
        <v>45800.666666666664</v>
      </c>
      <c r="C3426" s="1" t="s">
        <v>8</v>
      </c>
      <c r="D3426" s="1" t="s">
        <v>9</v>
      </c>
      <c r="E3426" s="1">
        <v>19</v>
      </c>
      <c r="F3426" s="1">
        <v>155.41999999999999</v>
      </c>
      <c r="G3426" s="1">
        <v>25.75</v>
      </c>
      <c r="H3426">
        <f t="shared" si="53"/>
        <v>2952.9799999999996</v>
      </c>
    </row>
    <row r="3427" spans="1:8" x14ac:dyDescent="0.25">
      <c r="A3427" s="1" t="s">
        <v>3440</v>
      </c>
      <c r="B3427" s="5">
        <v>45800.708333333336</v>
      </c>
      <c r="C3427" s="1" t="s">
        <v>23</v>
      </c>
      <c r="D3427" s="1" t="s">
        <v>9</v>
      </c>
      <c r="E3427" s="1">
        <v>11</v>
      </c>
      <c r="F3427" s="1">
        <v>260.02999999999997</v>
      </c>
      <c r="G3427" s="1">
        <v>32.299999999999997</v>
      </c>
      <c r="H3427">
        <f t="shared" si="53"/>
        <v>2860.33</v>
      </c>
    </row>
    <row r="3428" spans="1:8" x14ac:dyDescent="0.25">
      <c r="A3428" s="1" t="s">
        <v>3441</v>
      </c>
      <c r="B3428" s="5">
        <v>45800.75</v>
      </c>
      <c r="C3428" s="1" t="s">
        <v>23</v>
      </c>
      <c r="D3428" s="1" t="s">
        <v>37</v>
      </c>
      <c r="E3428" s="1">
        <v>5</v>
      </c>
      <c r="F3428" s="1">
        <v>136.5</v>
      </c>
      <c r="G3428" s="1">
        <v>19.89</v>
      </c>
      <c r="H3428">
        <f t="shared" si="53"/>
        <v>682.5</v>
      </c>
    </row>
    <row r="3429" spans="1:8" x14ac:dyDescent="0.25">
      <c r="A3429" s="1" t="s">
        <v>3442</v>
      </c>
      <c r="B3429" s="5">
        <v>45800.791666666664</v>
      </c>
      <c r="C3429" s="1" t="s">
        <v>13</v>
      </c>
      <c r="D3429" s="1" t="s">
        <v>9</v>
      </c>
      <c r="E3429" s="1">
        <v>2</v>
      </c>
      <c r="F3429" s="1">
        <v>57.06</v>
      </c>
      <c r="G3429" s="1">
        <v>27.96</v>
      </c>
      <c r="H3429">
        <f t="shared" si="53"/>
        <v>114.12</v>
      </c>
    </row>
    <row r="3430" spans="1:8" x14ac:dyDescent="0.25">
      <c r="A3430" s="1" t="s">
        <v>3443</v>
      </c>
      <c r="B3430" s="5">
        <v>45800.833333333336</v>
      </c>
      <c r="C3430" s="1" t="s">
        <v>23</v>
      </c>
      <c r="D3430" s="1" t="s">
        <v>37</v>
      </c>
      <c r="E3430" s="1">
        <v>10</v>
      </c>
      <c r="F3430" s="1">
        <v>87.13</v>
      </c>
      <c r="G3430" s="1">
        <v>10.86</v>
      </c>
      <c r="H3430">
        <f t="shared" si="53"/>
        <v>871.3</v>
      </c>
    </row>
    <row r="3431" spans="1:8" x14ac:dyDescent="0.25">
      <c r="A3431" s="1" t="s">
        <v>3444</v>
      </c>
      <c r="B3431" s="5">
        <v>45800.875</v>
      </c>
      <c r="C3431" s="1" t="s">
        <v>23</v>
      </c>
      <c r="D3431" s="1" t="s">
        <v>37</v>
      </c>
      <c r="E3431" s="1">
        <v>16</v>
      </c>
      <c r="F3431" s="1">
        <v>91.08</v>
      </c>
      <c r="G3431" s="1">
        <v>25.35</v>
      </c>
      <c r="H3431">
        <f t="shared" si="53"/>
        <v>1457.28</v>
      </c>
    </row>
    <row r="3432" spans="1:8" x14ac:dyDescent="0.25">
      <c r="A3432" s="1" t="s">
        <v>3445</v>
      </c>
      <c r="B3432" s="5">
        <v>45800.916666666664</v>
      </c>
      <c r="C3432" s="1" t="s">
        <v>8</v>
      </c>
      <c r="D3432" s="1" t="s">
        <v>9</v>
      </c>
      <c r="E3432" s="1">
        <v>13</v>
      </c>
      <c r="F3432" s="1">
        <v>381.65</v>
      </c>
      <c r="G3432" s="1">
        <v>9.08</v>
      </c>
      <c r="H3432">
        <f t="shared" si="53"/>
        <v>4961.45</v>
      </c>
    </row>
    <row r="3433" spans="1:8" x14ac:dyDescent="0.25">
      <c r="A3433" s="1" t="s">
        <v>3446</v>
      </c>
      <c r="B3433" s="5">
        <v>45800.958333333336</v>
      </c>
      <c r="C3433" s="1" t="s">
        <v>23</v>
      </c>
      <c r="D3433" s="1" t="s">
        <v>9</v>
      </c>
      <c r="E3433" s="1">
        <v>8</v>
      </c>
      <c r="F3433" s="1">
        <v>139.04</v>
      </c>
      <c r="G3433" s="1">
        <v>7.21</v>
      </c>
      <c r="H3433">
        <f t="shared" si="53"/>
        <v>1112.32</v>
      </c>
    </row>
    <row r="3434" spans="1:8" x14ac:dyDescent="0.25">
      <c r="A3434" s="1" t="s">
        <v>3447</v>
      </c>
      <c r="B3434" s="5">
        <v>45801</v>
      </c>
      <c r="C3434" s="1" t="s">
        <v>13</v>
      </c>
      <c r="D3434" s="1" t="s">
        <v>37</v>
      </c>
      <c r="E3434" s="1">
        <v>9</v>
      </c>
      <c r="F3434" s="1">
        <v>326.02999999999997</v>
      </c>
      <c r="G3434" s="1">
        <v>43.58</v>
      </c>
      <c r="H3434">
        <f t="shared" si="53"/>
        <v>2934.2699999999995</v>
      </c>
    </row>
    <row r="3435" spans="1:8" x14ac:dyDescent="0.25">
      <c r="A3435" s="1" t="s">
        <v>3448</v>
      </c>
      <c r="B3435" s="5">
        <v>45801.041666666664</v>
      </c>
      <c r="C3435" s="1" t="s">
        <v>8</v>
      </c>
      <c r="D3435" s="1" t="s">
        <v>37</v>
      </c>
      <c r="E3435" s="1">
        <v>11</v>
      </c>
      <c r="F3435" s="1">
        <v>262.23</v>
      </c>
      <c r="G3435" s="1">
        <v>14.23</v>
      </c>
      <c r="H3435">
        <f t="shared" si="53"/>
        <v>2884.53</v>
      </c>
    </row>
    <row r="3436" spans="1:8" x14ac:dyDescent="0.25">
      <c r="A3436" s="1" t="s">
        <v>3449</v>
      </c>
      <c r="B3436" s="5">
        <v>45801.083333333336</v>
      </c>
      <c r="C3436" s="1" t="s">
        <v>11</v>
      </c>
      <c r="D3436" s="1" t="s">
        <v>9</v>
      </c>
      <c r="E3436" s="1">
        <v>11</v>
      </c>
      <c r="F3436" s="1">
        <v>440.02</v>
      </c>
      <c r="G3436" s="1">
        <v>30.88</v>
      </c>
      <c r="H3436">
        <f t="shared" si="53"/>
        <v>4840.2199999999993</v>
      </c>
    </row>
    <row r="3437" spans="1:8" x14ac:dyDescent="0.25">
      <c r="A3437" s="1" t="s">
        <v>3450</v>
      </c>
      <c r="B3437" s="5">
        <v>45801.125</v>
      </c>
      <c r="C3437" s="1" t="s">
        <v>8</v>
      </c>
      <c r="D3437" s="1" t="s">
        <v>9</v>
      </c>
      <c r="E3437" s="1">
        <v>16</v>
      </c>
      <c r="F3437" s="1">
        <v>134.04</v>
      </c>
      <c r="G3437" s="1">
        <v>11.7</v>
      </c>
      <c r="H3437">
        <f t="shared" si="53"/>
        <v>2144.64</v>
      </c>
    </row>
    <row r="3438" spans="1:8" x14ac:dyDescent="0.25">
      <c r="A3438" s="1" t="s">
        <v>3451</v>
      </c>
      <c r="B3438" s="5">
        <v>45801.166666666664</v>
      </c>
      <c r="C3438" s="1" t="s">
        <v>13</v>
      </c>
      <c r="D3438" s="1" t="s">
        <v>16</v>
      </c>
      <c r="E3438" s="1">
        <v>10</v>
      </c>
      <c r="F3438" s="1">
        <v>84.31</v>
      </c>
      <c r="G3438" s="1">
        <v>16.809999999999999</v>
      </c>
      <c r="H3438">
        <f t="shared" si="53"/>
        <v>843.1</v>
      </c>
    </row>
    <row r="3439" spans="1:8" x14ac:dyDescent="0.25">
      <c r="A3439" s="1" t="s">
        <v>3452</v>
      </c>
      <c r="B3439" s="5">
        <v>45801.208333333336</v>
      </c>
      <c r="C3439" s="1" t="s">
        <v>8</v>
      </c>
      <c r="D3439" s="1" t="s">
        <v>37</v>
      </c>
      <c r="E3439" s="1">
        <v>12</v>
      </c>
      <c r="F3439" s="1">
        <v>38.11</v>
      </c>
      <c r="G3439" s="1">
        <v>21.26</v>
      </c>
      <c r="H3439">
        <f t="shared" si="53"/>
        <v>457.32</v>
      </c>
    </row>
    <row r="3440" spans="1:8" x14ac:dyDescent="0.25">
      <c r="A3440" s="1" t="s">
        <v>3453</v>
      </c>
      <c r="B3440" s="5">
        <v>45801.25</v>
      </c>
      <c r="C3440" s="1" t="s">
        <v>8</v>
      </c>
      <c r="D3440" s="1" t="s">
        <v>37</v>
      </c>
      <c r="E3440" s="1">
        <v>6</v>
      </c>
      <c r="F3440" s="1">
        <v>120.2</v>
      </c>
      <c r="G3440" s="1">
        <v>11.47</v>
      </c>
      <c r="H3440">
        <f t="shared" si="53"/>
        <v>721.2</v>
      </c>
    </row>
    <row r="3441" spans="1:8" x14ac:dyDescent="0.25">
      <c r="A3441" s="1" t="s">
        <v>3454</v>
      </c>
      <c r="B3441" s="5">
        <v>45801.291666666664</v>
      </c>
      <c r="C3441" s="1" t="s">
        <v>13</v>
      </c>
      <c r="D3441" s="1" t="s">
        <v>16</v>
      </c>
      <c r="E3441" s="1">
        <v>12</v>
      </c>
      <c r="F3441" s="1">
        <v>312.73</v>
      </c>
      <c r="G3441" s="1">
        <v>7.07</v>
      </c>
      <c r="H3441">
        <f t="shared" si="53"/>
        <v>3752.76</v>
      </c>
    </row>
    <row r="3442" spans="1:8" x14ac:dyDescent="0.25">
      <c r="A3442" s="1" t="s">
        <v>3455</v>
      </c>
      <c r="B3442" s="5">
        <v>45801.333333333336</v>
      </c>
      <c r="C3442" s="1" t="s">
        <v>8</v>
      </c>
      <c r="D3442" s="1" t="s">
        <v>37</v>
      </c>
      <c r="E3442" s="1">
        <v>10</v>
      </c>
      <c r="F3442" s="1">
        <v>52.54</v>
      </c>
      <c r="G3442" s="1">
        <v>44.47</v>
      </c>
      <c r="H3442">
        <f t="shared" si="53"/>
        <v>525.4</v>
      </c>
    </row>
    <row r="3443" spans="1:8" x14ac:dyDescent="0.25">
      <c r="A3443" s="1" t="s">
        <v>3456</v>
      </c>
      <c r="B3443" s="5">
        <v>45801.375</v>
      </c>
      <c r="C3443" s="1" t="s">
        <v>13</v>
      </c>
      <c r="D3443" s="1" t="s">
        <v>19</v>
      </c>
      <c r="E3443" s="1">
        <v>18</v>
      </c>
      <c r="F3443" s="1">
        <v>121.82</v>
      </c>
      <c r="G3443" s="1">
        <v>5.53</v>
      </c>
      <c r="H3443">
        <f t="shared" si="53"/>
        <v>2192.7599999999998</v>
      </c>
    </row>
    <row r="3444" spans="1:8" x14ac:dyDescent="0.25">
      <c r="A3444" s="1" t="s">
        <v>3457</v>
      </c>
      <c r="B3444" s="5">
        <v>45801.416666666664</v>
      </c>
      <c r="C3444" s="1" t="s">
        <v>13</v>
      </c>
      <c r="D3444" s="1" t="s">
        <v>37</v>
      </c>
      <c r="E3444" s="1">
        <v>18</v>
      </c>
      <c r="F3444" s="1">
        <v>387.13</v>
      </c>
      <c r="G3444" s="1">
        <v>7.76</v>
      </c>
      <c r="H3444">
        <f t="shared" si="53"/>
        <v>6968.34</v>
      </c>
    </row>
    <row r="3445" spans="1:8" x14ac:dyDescent="0.25">
      <c r="A3445" s="1" t="s">
        <v>3458</v>
      </c>
      <c r="B3445" s="5">
        <v>45801.458333333336</v>
      </c>
      <c r="C3445" s="1" t="s">
        <v>11</v>
      </c>
      <c r="D3445" s="1" t="s">
        <v>16</v>
      </c>
      <c r="E3445" s="1">
        <v>4</v>
      </c>
      <c r="F3445" s="1">
        <v>268.79000000000002</v>
      </c>
      <c r="G3445" s="1">
        <v>41.23</v>
      </c>
      <c r="H3445">
        <f t="shared" si="53"/>
        <v>1075.1600000000001</v>
      </c>
    </row>
    <row r="3446" spans="1:8" x14ac:dyDescent="0.25">
      <c r="A3446" s="1" t="s">
        <v>3459</v>
      </c>
      <c r="B3446" s="5">
        <v>45801.5</v>
      </c>
      <c r="C3446" s="1" t="s">
        <v>23</v>
      </c>
      <c r="D3446" s="1" t="s">
        <v>19</v>
      </c>
      <c r="E3446" s="1">
        <v>9</v>
      </c>
      <c r="F3446" s="1">
        <v>45.71</v>
      </c>
      <c r="G3446" s="1">
        <v>17.690000000000001</v>
      </c>
      <c r="H3446">
        <f t="shared" si="53"/>
        <v>411.39</v>
      </c>
    </row>
    <row r="3447" spans="1:8" x14ac:dyDescent="0.25">
      <c r="A3447" s="1" t="s">
        <v>3460</v>
      </c>
      <c r="B3447" s="5">
        <v>45801.541666666664</v>
      </c>
      <c r="C3447" s="1" t="s">
        <v>23</v>
      </c>
      <c r="D3447" s="1" t="s">
        <v>9</v>
      </c>
      <c r="E3447" s="1">
        <v>7</v>
      </c>
      <c r="F3447" s="1">
        <v>36.22</v>
      </c>
      <c r="G3447" s="1">
        <v>37.53</v>
      </c>
      <c r="H3447">
        <f t="shared" si="53"/>
        <v>253.54</v>
      </c>
    </row>
    <row r="3448" spans="1:8" x14ac:dyDescent="0.25">
      <c r="A3448" s="1" t="s">
        <v>3461</v>
      </c>
      <c r="B3448" s="5">
        <v>45801.583333333336</v>
      </c>
      <c r="C3448" s="1" t="s">
        <v>8</v>
      </c>
      <c r="D3448" s="1" t="s">
        <v>16</v>
      </c>
      <c r="E3448" s="1">
        <v>18</v>
      </c>
      <c r="F3448" s="1">
        <v>42.06</v>
      </c>
      <c r="G3448" s="1">
        <v>11.58</v>
      </c>
      <c r="H3448">
        <f t="shared" si="53"/>
        <v>757.08</v>
      </c>
    </row>
    <row r="3449" spans="1:8" x14ac:dyDescent="0.25">
      <c r="A3449" s="1" t="s">
        <v>3462</v>
      </c>
      <c r="B3449" s="5">
        <v>45801.625</v>
      </c>
      <c r="C3449" s="1" t="s">
        <v>8</v>
      </c>
      <c r="D3449" s="1" t="s">
        <v>16</v>
      </c>
      <c r="E3449" s="1">
        <v>8</v>
      </c>
      <c r="F3449" s="1">
        <v>424.74</v>
      </c>
      <c r="G3449" s="1">
        <v>15.68</v>
      </c>
      <c r="H3449">
        <f t="shared" si="53"/>
        <v>3397.92</v>
      </c>
    </row>
    <row r="3450" spans="1:8" x14ac:dyDescent="0.25">
      <c r="A3450" s="1" t="s">
        <v>3463</v>
      </c>
      <c r="B3450" s="5">
        <v>45801.666666666664</v>
      </c>
      <c r="C3450" s="1" t="s">
        <v>11</v>
      </c>
      <c r="D3450" s="1" t="s">
        <v>9</v>
      </c>
      <c r="E3450" s="1">
        <v>11</v>
      </c>
      <c r="F3450" s="1">
        <v>384.77</v>
      </c>
      <c r="G3450" s="1">
        <v>30.77</v>
      </c>
      <c r="H3450">
        <f t="shared" si="53"/>
        <v>4232.4699999999993</v>
      </c>
    </row>
    <row r="3451" spans="1:8" x14ac:dyDescent="0.25">
      <c r="A3451" s="1" t="s">
        <v>3464</v>
      </c>
      <c r="B3451" s="5">
        <v>45801.708333333336</v>
      </c>
      <c r="C3451" s="1" t="s">
        <v>11</v>
      </c>
      <c r="D3451" s="1" t="s">
        <v>16</v>
      </c>
      <c r="E3451" s="1">
        <v>7</v>
      </c>
      <c r="F3451" s="1">
        <v>382.63</v>
      </c>
      <c r="G3451" s="1">
        <v>49.49</v>
      </c>
      <c r="H3451">
        <f t="shared" si="53"/>
        <v>2678.41</v>
      </c>
    </row>
    <row r="3452" spans="1:8" x14ac:dyDescent="0.25">
      <c r="A3452" s="1" t="s">
        <v>3465</v>
      </c>
      <c r="B3452" s="5">
        <v>45801.75</v>
      </c>
      <c r="C3452" s="1" t="s">
        <v>11</v>
      </c>
      <c r="D3452" s="1" t="s">
        <v>37</v>
      </c>
      <c r="E3452" s="1">
        <v>9</v>
      </c>
      <c r="F3452" s="1">
        <v>417.07</v>
      </c>
      <c r="G3452" s="1">
        <v>8.31</v>
      </c>
      <c r="H3452">
        <f t="shared" si="53"/>
        <v>3753.63</v>
      </c>
    </row>
    <row r="3453" spans="1:8" x14ac:dyDescent="0.25">
      <c r="A3453" s="1" t="s">
        <v>3466</v>
      </c>
      <c r="B3453" s="5">
        <v>45801.791666666664</v>
      </c>
      <c r="C3453" s="1" t="s">
        <v>13</v>
      </c>
      <c r="D3453" s="1" t="s">
        <v>9</v>
      </c>
      <c r="E3453" s="1">
        <v>8</v>
      </c>
      <c r="F3453" s="1">
        <v>235.03</v>
      </c>
      <c r="G3453" s="1">
        <v>23.02</v>
      </c>
      <c r="H3453">
        <f t="shared" si="53"/>
        <v>1880.24</v>
      </c>
    </row>
    <row r="3454" spans="1:8" x14ac:dyDescent="0.25">
      <c r="A3454" s="1" t="s">
        <v>3467</v>
      </c>
      <c r="B3454" s="5">
        <v>45801.833333333336</v>
      </c>
      <c r="C3454" s="1" t="s">
        <v>11</v>
      </c>
      <c r="D3454" s="1" t="s">
        <v>16</v>
      </c>
      <c r="E3454" s="1">
        <v>3</v>
      </c>
      <c r="F3454" s="1">
        <v>122.97</v>
      </c>
      <c r="G3454" s="1">
        <v>6.94</v>
      </c>
      <c r="H3454">
        <f t="shared" si="53"/>
        <v>368.90999999999997</v>
      </c>
    </row>
    <row r="3455" spans="1:8" x14ac:dyDescent="0.25">
      <c r="A3455" s="1" t="s">
        <v>3468</v>
      </c>
      <c r="B3455" s="5">
        <v>45801.875</v>
      </c>
      <c r="C3455" s="1" t="s">
        <v>11</v>
      </c>
      <c r="D3455" s="1" t="s">
        <v>9</v>
      </c>
      <c r="E3455" s="1">
        <v>17</v>
      </c>
      <c r="F3455" s="1">
        <v>189.89</v>
      </c>
      <c r="G3455" s="1">
        <v>13.97</v>
      </c>
      <c r="H3455">
        <f t="shared" si="53"/>
        <v>3228.1299999999997</v>
      </c>
    </row>
    <row r="3456" spans="1:8" x14ac:dyDescent="0.25">
      <c r="A3456" s="1" t="s">
        <v>3469</v>
      </c>
      <c r="B3456" s="5">
        <v>45801.916666666664</v>
      </c>
      <c r="C3456" s="1" t="s">
        <v>8</v>
      </c>
      <c r="D3456" s="1" t="s">
        <v>9</v>
      </c>
      <c r="E3456" s="1">
        <v>2</v>
      </c>
      <c r="F3456" s="1">
        <v>327.85</v>
      </c>
      <c r="G3456" s="1">
        <v>45.84</v>
      </c>
      <c r="H3456">
        <f t="shared" si="53"/>
        <v>655.7</v>
      </c>
    </row>
    <row r="3457" spans="1:8" x14ac:dyDescent="0.25">
      <c r="A3457" s="1" t="s">
        <v>3470</v>
      </c>
      <c r="B3457" s="5">
        <v>45801.958333333336</v>
      </c>
      <c r="C3457" s="1" t="s">
        <v>11</v>
      </c>
      <c r="D3457" s="1" t="s">
        <v>9</v>
      </c>
      <c r="E3457" s="1">
        <v>15</v>
      </c>
      <c r="F3457" s="1">
        <v>396.14</v>
      </c>
      <c r="G3457" s="1">
        <v>9.34</v>
      </c>
      <c r="H3457">
        <f t="shared" si="53"/>
        <v>5942.0999999999995</v>
      </c>
    </row>
    <row r="3458" spans="1:8" x14ac:dyDescent="0.25">
      <c r="A3458" s="1" t="s">
        <v>3471</v>
      </c>
      <c r="B3458" s="5">
        <v>45802</v>
      </c>
      <c r="C3458" s="1" t="s">
        <v>13</v>
      </c>
      <c r="D3458" s="1" t="s">
        <v>19</v>
      </c>
      <c r="E3458" s="1">
        <v>14</v>
      </c>
      <c r="F3458" s="1">
        <v>204.55</v>
      </c>
      <c r="G3458" s="1">
        <v>43.56</v>
      </c>
      <c r="H3458">
        <f t="shared" ref="H3458:H3521" si="54">E3458*F3458</f>
        <v>2863.7000000000003</v>
      </c>
    </row>
    <row r="3459" spans="1:8" x14ac:dyDescent="0.25">
      <c r="A3459" s="1" t="s">
        <v>3472</v>
      </c>
      <c r="B3459" s="5">
        <v>45802.041666666664</v>
      </c>
      <c r="C3459" s="1" t="s">
        <v>13</v>
      </c>
      <c r="D3459" s="1" t="s">
        <v>16</v>
      </c>
      <c r="E3459" s="1">
        <v>18</v>
      </c>
      <c r="F3459" s="1">
        <v>248.12</v>
      </c>
      <c r="G3459" s="1">
        <v>13</v>
      </c>
      <c r="H3459">
        <f t="shared" si="54"/>
        <v>4466.16</v>
      </c>
    </row>
    <row r="3460" spans="1:8" x14ac:dyDescent="0.25">
      <c r="A3460" s="1" t="s">
        <v>3473</v>
      </c>
      <c r="B3460" s="5">
        <v>45802.083333333336</v>
      </c>
      <c r="C3460" s="1" t="s">
        <v>8</v>
      </c>
      <c r="D3460" s="1" t="s">
        <v>19</v>
      </c>
      <c r="E3460" s="1">
        <v>16</v>
      </c>
      <c r="F3460" s="1">
        <v>420.36</v>
      </c>
      <c r="G3460" s="1">
        <v>43.78</v>
      </c>
      <c r="H3460">
        <f t="shared" si="54"/>
        <v>6725.76</v>
      </c>
    </row>
    <row r="3461" spans="1:8" x14ac:dyDescent="0.25">
      <c r="A3461" s="1" t="s">
        <v>3474</v>
      </c>
      <c r="B3461" s="5">
        <v>45802.125</v>
      </c>
      <c r="C3461" s="1" t="s">
        <v>11</v>
      </c>
      <c r="D3461" s="1" t="s">
        <v>16</v>
      </c>
      <c r="E3461" s="1">
        <v>4</v>
      </c>
      <c r="F3461" s="1">
        <v>62.21</v>
      </c>
      <c r="G3461" s="1">
        <v>29.21</v>
      </c>
      <c r="H3461">
        <f t="shared" si="54"/>
        <v>248.84</v>
      </c>
    </row>
    <row r="3462" spans="1:8" x14ac:dyDescent="0.25">
      <c r="A3462" s="1" t="s">
        <v>3475</v>
      </c>
      <c r="B3462" s="5">
        <v>45802.166666666664</v>
      </c>
      <c r="C3462" s="1" t="s">
        <v>11</v>
      </c>
      <c r="D3462" s="1" t="s">
        <v>37</v>
      </c>
      <c r="E3462" s="1">
        <v>6</v>
      </c>
      <c r="F3462" s="1">
        <v>390.17</v>
      </c>
      <c r="G3462" s="1">
        <v>44.52</v>
      </c>
      <c r="H3462">
        <f t="shared" si="54"/>
        <v>2341.02</v>
      </c>
    </row>
    <row r="3463" spans="1:8" x14ac:dyDescent="0.25">
      <c r="A3463" s="1" t="s">
        <v>3476</v>
      </c>
      <c r="B3463" s="5">
        <v>45802.208333333336</v>
      </c>
      <c r="C3463" s="1" t="s">
        <v>13</v>
      </c>
      <c r="D3463" s="1" t="s">
        <v>37</v>
      </c>
      <c r="E3463" s="1">
        <v>6</v>
      </c>
      <c r="F3463" s="1">
        <v>84.72</v>
      </c>
      <c r="G3463" s="1">
        <v>11.83</v>
      </c>
      <c r="H3463">
        <f t="shared" si="54"/>
        <v>508.32</v>
      </c>
    </row>
    <row r="3464" spans="1:8" x14ac:dyDescent="0.25">
      <c r="A3464" s="1" t="s">
        <v>3477</v>
      </c>
      <c r="B3464" s="5">
        <v>45802.25</v>
      </c>
      <c r="C3464" s="1" t="s">
        <v>11</v>
      </c>
      <c r="D3464" s="1" t="s">
        <v>37</v>
      </c>
      <c r="E3464" s="1">
        <v>11</v>
      </c>
      <c r="F3464" s="1">
        <v>225.74</v>
      </c>
      <c r="G3464" s="1">
        <v>39.29</v>
      </c>
      <c r="H3464">
        <f t="shared" si="54"/>
        <v>2483.1400000000003</v>
      </c>
    </row>
    <row r="3465" spans="1:8" x14ac:dyDescent="0.25">
      <c r="A3465" s="1" t="s">
        <v>3478</v>
      </c>
      <c r="B3465" s="5">
        <v>45802.291666666664</v>
      </c>
      <c r="C3465" s="1" t="s">
        <v>11</v>
      </c>
      <c r="D3465" s="1" t="s">
        <v>16</v>
      </c>
      <c r="E3465" s="1">
        <v>17</v>
      </c>
      <c r="F3465" s="1">
        <v>110.4</v>
      </c>
      <c r="G3465" s="1">
        <v>35.630000000000003</v>
      </c>
      <c r="H3465">
        <f t="shared" si="54"/>
        <v>1876.8000000000002</v>
      </c>
    </row>
    <row r="3466" spans="1:8" x14ac:dyDescent="0.25">
      <c r="A3466" s="1" t="s">
        <v>3479</v>
      </c>
      <c r="B3466" s="5">
        <v>45802.333333333336</v>
      </c>
      <c r="C3466" s="1" t="s">
        <v>11</v>
      </c>
      <c r="D3466" s="1" t="s">
        <v>9</v>
      </c>
      <c r="E3466" s="1">
        <v>3</v>
      </c>
      <c r="F3466" s="1">
        <v>277.48</v>
      </c>
      <c r="G3466" s="1">
        <v>29.43</v>
      </c>
      <c r="H3466">
        <f t="shared" si="54"/>
        <v>832.44</v>
      </c>
    </row>
    <row r="3467" spans="1:8" x14ac:dyDescent="0.25">
      <c r="A3467" s="1" t="s">
        <v>3480</v>
      </c>
      <c r="B3467" s="5">
        <v>45802.375</v>
      </c>
      <c r="C3467" s="1" t="s">
        <v>23</v>
      </c>
      <c r="D3467" s="1" t="s">
        <v>9</v>
      </c>
      <c r="E3467" s="1">
        <v>13</v>
      </c>
      <c r="F3467" s="1">
        <v>258.2</v>
      </c>
      <c r="G3467" s="1">
        <v>41.48</v>
      </c>
      <c r="H3467">
        <f t="shared" si="54"/>
        <v>3356.6</v>
      </c>
    </row>
    <row r="3468" spans="1:8" x14ac:dyDescent="0.25">
      <c r="A3468" s="1" t="s">
        <v>3481</v>
      </c>
      <c r="B3468" s="5">
        <v>45802.416666666664</v>
      </c>
      <c r="C3468" s="1" t="s">
        <v>8</v>
      </c>
      <c r="D3468" s="1" t="s">
        <v>19</v>
      </c>
      <c r="E3468" s="1">
        <v>3</v>
      </c>
      <c r="F3468" s="1">
        <v>180.61</v>
      </c>
      <c r="G3468" s="1">
        <v>34.17</v>
      </c>
      <c r="H3468">
        <f t="shared" si="54"/>
        <v>541.83000000000004</v>
      </c>
    </row>
    <row r="3469" spans="1:8" x14ac:dyDescent="0.25">
      <c r="A3469" s="1" t="s">
        <v>3482</v>
      </c>
      <c r="B3469" s="5">
        <v>45802.458333333336</v>
      </c>
      <c r="C3469" s="1" t="s">
        <v>23</v>
      </c>
      <c r="D3469" s="1" t="s">
        <v>19</v>
      </c>
      <c r="E3469" s="1">
        <v>16</v>
      </c>
      <c r="F3469" s="1">
        <v>390.61</v>
      </c>
      <c r="G3469" s="1">
        <v>44.47</v>
      </c>
      <c r="H3469">
        <f t="shared" si="54"/>
        <v>6249.76</v>
      </c>
    </row>
    <row r="3470" spans="1:8" x14ac:dyDescent="0.25">
      <c r="A3470" s="1" t="s">
        <v>3483</v>
      </c>
      <c r="B3470" s="5">
        <v>45802.5</v>
      </c>
      <c r="C3470" s="1" t="s">
        <v>8</v>
      </c>
      <c r="D3470" s="1" t="s">
        <v>37</v>
      </c>
      <c r="E3470" s="1">
        <v>15</v>
      </c>
      <c r="F3470" s="1">
        <v>302.19</v>
      </c>
      <c r="G3470" s="1">
        <v>22.15</v>
      </c>
      <c r="H3470">
        <f t="shared" si="54"/>
        <v>4532.8500000000004</v>
      </c>
    </row>
    <row r="3471" spans="1:8" x14ac:dyDescent="0.25">
      <c r="A3471" s="1" t="s">
        <v>3484</v>
      </c>
      <c r="B3471" s="5">
        <v>45802.541666666664</v>
      </c>
      <c r="C3471" s="1" t="s">
        <v>13</v>
      </c>
      <c r="D3471" s="1" t="s">
        <v>19</v>
      </c>
      <c r="E3471" s="1">
        <v>11</v>
      </c>
      <c r="F3471" s="1">
        <v>328.86</v>
      </c>
      <c r="G3471" s="1">
        <v>31.55</v>
      </c>
      <c r="H3471">
        <f t="shared" si="54"/>
        <v>3617.46</v>
      </c>
    </row>
    <row r="3472" spans="1:8" x14ac:dyDescent="0.25">
      <c r="A3472" s="1" t="s">
        <v>3485</v>
      </c>
      <c r="B3472" s="5">
        <v>45802.583333333336</v>
      </c>
      <c r="C3472" s="1" t="s">
        <v>11</v>
      </c>
      <c r="D3472" s="1" t="s">
        <v>16</v>
      </c>
      <c r="E3472" s="1">
        <v>18</v>
      </c>
      <c r="F3472" s="1">
        <v>80.959999999999994</v>
      </c>
      <c r="G3472" s="1">
        <v>44.18</v>
      </c>
      <c r="H3472">
        <f t="shared" si="54"/>
        <v>1457.28</v>
      </c>
    </row>
    <row r="3473" spans="1:8" x14ac:dyDescent="0.25">
      <c r="A3473" s="1" t="s">
        <v>3486</v>
      </c>
      <c r="B3473" s="5">
        <v>45802.625</v>
      </c>
      <c r="C3473" s="1" t="s">
        <v>8</v>
      </c>
      <c r="D3473" s="1" t="s">
        <v>16</v>
      </c>
      <c r="E3473" s="1">
        <v>15</v>
      </c>
      <c r="F3473" s="1">
        <v>399.24</v>
      </c>
      <c r="G3473" s="1">
        <v>14.67</v>
      </c>
      <c r="H3473">
        <f t="shared" si="54"/>
        <v>5988.6</v>
      </c>
    </row>
    <row r="3474" spans="1:8" x14ac:dyDescent="0.25">
      <c r="A3474" s="1" t="s">
        <v>3487</v>
      </c>
      <c r="B3474" s="5">
        <v>45802.666666666664</v>
      </c>
      <c r="C3474" s="1" t="s">
        <v>23</v>
      </c>
      <c r="D3474" s="1" t="s">
        <v>19</v>
      </c>
      <c r="E3474" s="1">
        <v>5</v>
      </c>
      <c r="F3474" s="1">
        <v>88.08</v>
      </c>
      <c r="G3474" s="1">
        <v>26.86</v>
      </c>
      <c r="H3474">
        <f t="shared" si="54"/>
        <v>440.4</v>
      </c>
    </row>
    <row r="3475" spans="1:8" x14ac:dyDescent="0.25">
      <c r="A3475" s="1" t="s">
        <v>3488</v>
      </c>
      <c r="B3475" s="5">
        <v>45802.708333333336</v>
      </c>
      <c r="C3475" s="1" t="s">
        <v>11</v>
      </c>
      <c r="D3475" s="1" t="s">
        <v>19</v>
      </c>
      <c r="E3475" s="1">
        <v>16</v>
      </c>
      <c r="F3475" s="1">
        <v>112.3</v>
      </c>
      <c r="G3475" s="1">
        <v>48.23</v>
      </c>
      <c r="H3475">
        <f t="shared" si="54"/>
        <v>1796.8</v>
      </c>
    </row>
    <row r="3476" spans="1:8" x14ac:dyDescent="0.25">
      <c r="A3476" s="1" t="s">
        <v>3489</v>
      </c>
      <c r="B3476" s="5">
        <v>45802.75</v>
      </c>
      <c r="C3476" s="1" t="s">
        <v>13</v>
      </c>
      <c r="D3476" s="1" t="s">
        <v>19</v>
      </c>
      <c r="E3476" s="1">
        <v>16</v>
      </c>
      <c r="F3476" s="1">
        <v>71.14</v>
      </c>
      <c r="G3476" s="1">
        <v>26.31</v>
      </c>
      <c r="H3476">
        <f t="shared" si="54"/>
        <v>1138.24</v>
      </c>
    </row>
    <row r="3477" spans="1:8" x14ac:dyDescent="0.25">
      <c r="A3477" s="1" t="s">
        <v>3490</v>
      </c>
      <c r="B3477" s="5">
        <v>45802.791666666664</v>
      </c>
      <c r="C3477" s="1" t="s">
        <v>8</v>
      </c>
      <c r="D3477" s="1" t="s">
        <v>19</v>
      </c>
      <c r="E3477" s="1">
        <v>17</v>
      </c>
      <c r="F3477" s="1">
        <v>206.84</v>
      </c>
      <c r="G3477" s="1">
        <v>16.38</v>
      </c>
      <c r="H3477">
        <f t="shared" si="54"/>
        <v>3516.28</v>
      </c>
    </row>
    <row r="3478" spans="1:8" x14ac:dyDescent="0.25">
      <c r="A3478" s="1" t="s">
        <v>3491</v>
      </c>
      <c r="B3478" s="5">
        <v>45802.833333333336</v>
      </c>
      <c r="C3478" s="1" t="s">
        <v>8</v>
      </c>
      <c r="D3478" s="1" t="s">
        <v>37</v>
      </c>
      <c r="E3478" s="1">
        <v>9</v>
      </c>
      <c r="F3478" s="1">
        <v>401.21</v>
      </c>
      <c r="G3478" s="1">
        <v>20.8</v>
      </c>
      <c r="H3478">
        <f t="shared" si="54"/>
        <v>3610.89</v>
      </c>
    </row>
    <row r="3479" spans="1:8" x14ac:dyDescent="0.25">
      <c r="A3479" s="1" t="s">
        <v>3492</v>
      </c>
      <c r="B3479" s="5">
        <v>45802.875</v>
      </c>
      <c r="C3479" s="1" t="s">
        <v>8</v>
      </c>
      <c r="D3479" s="1" t="s">
        <v>37</v>
      </c>
      <c r="E3479" s="1">
        <v>3</v>
      </c>
      <c r="F3479" s="1">
        <v>125.19</v>
      </c>
      <c r="G3479" s="1">
        <v>44.83</v>
      </c>
      <c r="H3479">
        <f t="shared" si="54"/>
        <v>375.57</v>
      </c>
    </row>
    <row r="3480" spans="1:8" x14ac:dyDescent="0.25">
      <c r="A3480" s="1" t="s">
        <v>3493</v>
      </c>
      <c r="B3480" s="5">
        <v>45802.916666666664</v>
      </c>
      <c r="C3480" s="1" t="s">
        <v>11</v>
      </c>
      <c r="D3480" s="1" t="s">
        <v>19</v>
      </c>
      <c r="E3480" s="1">
        <v>13</v>
      </c>
      <c r="F3480" s="1">
        <v>177.9</v>
      </c>
      <c r="G3480" s="1">
        <v>47.97</v>
      </c>
      <c r="H3480">
        <f t="shared" si="54"/>
        <v>2312.7000000000003</v>
      </c>
    </row>
    <row r="3481" spans="1:8" x14ac:dyDescent="0.25">
      <c r="A3481" s="1" t="s">
        <v>3494</v>
      </c>
      <c r="B3481" s="5">
        <v>45802.958333333336</v>
      </c>
      <c r="C3481" s="1" t="s">
        <v>23</v>
      </c>
      <c r="D3481" s="1" t="s">
        <v>16</v>
      </c>
      <c r="E3481" s="1">
        <v>3</v>
      </c>
      <c r="F3481" s="1">
        <v>383.12</v>
      </c>
      <c r="G3481" s="1">
        <v>47.75</v>
      </c>
      <c r="H3481">
        <f t="shared" si="54"/>
        <v>1149.3600000000001</v>
      </c>
    </row>
    <row r="3482" spans="1:8" x14ac:dyDescent="0.25">
      <c r="A3482" s="1" t="s">
        <v>3495</v>
      </c>
      <c r="B3482" s="5">
        <v>45803</v>
      </c>
      <c r="C3482" s="1" t="s">
        <v>23</v>
      </c>
      <c r="D3482" s="1" t="s">
        <v>37</v>
      </c>
      <c r="E3482" s="1">
        <v>7</v>
      </c>
      <c r="F3482" s="1">
        <v>283.94</v>
      </c>
      <c r="G3482" s="1">
        <v>36.450000000000003</v>
      </c>
      <c r="H3482">
        <f t="shared" si="54"/>
        <v>1987.58</v>
      </c>
    </row>
    <row r="3483" spans="1:8" x14ac:dyDescent="0.25">
      <c r="A3483" s="1" t="s">
        <v>3496</v>
      </c>
      <c r="B3483" s="5">
        <v>45803.041666666664</v>
      </c>
      <c r="C3483" s="1" t="s">
        <v>8</v>
      </c>
      <c r="D3483" s="1" t="s">
        <v>16</v>
      </c>
      <c r="E3483" s="1">
        <v>6</v>
      </c>
      <c r="F3483" s="1">
        <v>342.08</v>
      </c>
      <c r="G3483" s="1">
        <v>27.93</v>
      </c>
      <c r="H3483">
        <f t="shared" si="54"/>
        <v>2052.48</v>
      </c>
    </row>
    <row r="3484" spans="1:8" x14ac:dyDescent="0.25">
      <c r="A3484" s="1" t="s">
        <v>3497</v>
      </c>
      <c r="B3484" s="5">
        <v>45803.083333333336</v>
      </c>
      <c r="C3484" s="1" t="s">
        <v>13</v>
      </c>
      <c r="D3484" s="1" t="s">
        <v>9</v>
      </c>
      <c r="E3484" s="1">
        <v>9</v>
      </c>
      <c r="F3484" s="1">
        <v>108.48</v>
      </c>
      <c r="G3484" s="1">
        <v>13.22</v>
      </c>
      <c r="H3484">
        <f t="shared" si="54"/>
        <v>976.32</v>
      </c>
    </row>
    <row r="3485" spans="1:8" x14ac:dyDescent="0.25">
      <c r="A3485" s="1" t="s">
        <v>3498</v>
      </c>
      <c r="B3485" s="5">
        <v>45803.125</v>
      </c>
      <c r="C3485" s="1" t="s">
        <v>13</v>
      </c>
      <c r="D3485" s="1" t="s">
        <v>16</v>
      </c>
      <c r="E3485" s="1">
        <v>12</v>
      </c>
      <c r="F3485" s="1">
        <v>326.81</v>
      </c>
      <c r="G3485" s="1">
        <v>10.54</v>
      </c>
      <c r="H3485">
        <f t="shared" si="54"/>
        <v>3921.7200000000003</v>
      </c>
    </row>
    <row r="3486" spans="1:8" x14ac:dyDescent="0.25">
      <c r="A3486" s="1" t="s">
        <v>3499</v>
      </c>
      <c r="B3486" s="5">
        <v>45803.166666666664</v>
      </c>
      <c r="C3486" s="1" t="s">
        <v>23</v>
      </c>
      <c r="D3486" s="1" t="s">
        <v>19</v>
      </c>
      <c r="E3486" s="1">
        <v>15</v>
      </c>
      <c r="F3486" s="1">
        <v>114.4</v>
      </c>
      <c r="G3486" s="1">
        <v>7.69</v>
      </c>
      <c r="H3486">
        <f t="shared" si="54"/>
        <v>1716</v>
      </c>
    </row>
    <row r="3487" spans="1:8" x14ac:dyDescent="0.25">
      <c r="A3487" s="1" t="s">
        <v>3500</v>
      </c>
      <c r="B3487" s="5">
        <v>45803.208333333336</v>
      </c>
      <c r="C3487" s="1" t="s">
        <v>13</v>
      </c>
      <c r="D3487" s="1" t="s">
        <v>9</v>
      </c>
      <c r="E3487" s="1">
        <v>3</v>
      </c>
      <c r="F3487" s="1">
        <v>444.49</v>
      </c>
      <c r="G3487" s="1">
        <v>5.8</v>
      </c>
      <c r="H3487">
        <f t="shared" si="54"/>
        <v>1333.47</v>
      </c>
    </row>
    <row r="3488" spans="1:8" x14ac:dyDescent="0.25">
      <c r="A3488" s="1" t="s">
        <v>3501</v>
      </c>
      <c r="B3488" s="5">
        <v>45803.25</v>
      </c>
      <c r="C3488" s="1" t="s">
        <v>23</v>
      </c>
      <c r="D3488" s="1" t="s">
        <v>37</v>
      </c>
      <c r="E3488" s="1">
        <v>10</v>
      </c>
      <c r="F3488" s="1">
        <v>258.77</v>
      </c>
      <c r="G3488" s="1">
        <v>44.52</v>
      </c>
      <c r="H3488">
        <f t="shared" si="54"/>
        <v>2587.6999999999998</v>
      </c>
    </row>
    <row r="3489" spans="1:8" x14ac:dyDescent="0.25">
      <c r="A3489" s="1" t="s">
        <v>3502</v>
      </c>
      <c r="B3489" s="5">
        <v>45803.291666666664</v>
      </c>
      <c r="C3489" s="1" t="s">
        <v>8</v>
      </c>
      <c r="D3489" s="1" t="s">
        <v>37</v>
      </c>
      <c r="E3489" s="1">
        <v>1</v>
      </c>
      <c r="F3489" s="1">
        <v>317.76</v>
      </c>
      <c r="G3489" s="1">
        <v>41.41</v>
      </c>
      <c r="H3489">
        <f t="shared" si="54"/>
        <v>317.76</v>
      </c>
    </row>
    <row r="3490" spans="1:8" x14ac:dyDescent="0.25">
      <c r="A3490" s="1" t="s">
        <v>3503</v>
      </c>
      <c r="B3490" s="5">
        <v>45803.333333333336</v>
      </c>
      <c r="C3490" s="1" t="s">
        <v>23</v>
      </c>
      <c r="D3490" s="1" t="s">
        <v>9</v>
      </c>
      <c r="E3490" s="1">
        <v>19</v>
      </c>
      <c r="F3490" s="1">
        <v>66.95</v>
      </c>
      <c r="G3490" s="1">
        <v>30.55</v>
      </c>
      <c r="H3490">
        <f t="shared" si="54"/>
        <v>1272.05</v>
      </c>
    </row>
    <row r="3491" spans="1:8" x14ac:dyDescent="0.25">
      <c r="A3491" s="1" t="s">
        <v>3504</v>
      </c>
      <c r="B3491" s="5">
        <v>45803.375</v>
      </c>
      <c r="C3491" s="1" t="s">
        <v>23</v>
      </c>
      <c r="D3491" s="1" t="s">
        <v>16</v>
      </c>
      <c r="E3491" s="1">
        <v>19</v>
      </c>
      <c r="F3491" s="1">
        <v>124.41</v>
      </c>
      <c r="G3491" s="1">
        <v>49.94</v>
      </c>
      <c r="H3491">
        <f t="shared" si="54"/>
        <v>2363.79</v>
      </c>
    </row>
    <row r="3492" spans="1:8" x14ac:dyDescent="0.25">
      <c r="A3492" s="1" t="s">
        <v>3505</v>
      </c>
      <c r="B3492" s="5">
        <v>45803.416666666664</v>
      </c>
      <c r="C3492" s="1" t="s">
        <v>8</v>
      </c>
      <c r="D3492" s="1" t="s">
        <v>37</v>
      </c>
      <c r="E3492" s="1">
        <v>13</v>
      </c>
      <c r="F3492" s="1">
        <v>76.22</v>
      </c>
      <c r="G3492" s="1">
        <v>47.89</v>
      </c>
      <c r="H3492">
        <f t="shared" si="54"/>
        <v>990.86</v>
      </c>
    </row>
    <row r="3493" spans="1:8" x14ac:dyDescent="0.25">
      <c r="A3493" s="1" t="s">
        <v>3506</v>
      </c>
      <c r="B3493" s="5">
        <v>45803.458333333336</v>
      </c>
      <c r="C3493" s="1" t="s">
        <v>13</v>
      </c>
      <c r="D3493" s="1" t="s">
        <v>19</v>
      </c>
      <c r="E3493" s="1">
        <v>12</v>
      </c>
      <c r="F3493" s="1">
        <v>185.03</v>
      </c>
      <c r="G3493" s="1">
        <v>34.479999999999997</v>
      </c>
      <c r="H3493">
        <f t="shared" si="54"/>
        <v>2220.36</v>
      </c>
    </row>
    <row r="3494" spans="1:8" x14ac:dyDescent="0.25">
      <c r="A3494" s="1" t="s">
        <v>3507</v>
      </c>
      <c r="B3494" s="5">
        <v>45803.5</v>
      </c>
      <c r="C3494" s="1" t="s">
        <v>23</v>
      </c>
      <c r="D3494" s="1" t="s">
        <v>9</v>
      </c>
      <c r="E3494" s="1">
        <v>1</v>
      </c>
      <c r="F3494" s="1">
        <v>138.96</v>
      </c>
      <c r="G3494" s="1">
        <v>25.91</v>
      </c>
      <c r="H3494">
        <f t="shared" si="54"/>
        <v>138.96</v>
      </c>
    </row>
    <row r="3495" spans="1:8" x14ac:dyDescent="0.25">
      <c r="A3495" s="1" t="s">
        <v>3508</v>
      </c>
      <c r="B3495" s="5">
        <v>45803.541666666664</v>
      </c>
      <c r="C3495" s="1" t="s">
        <v>23</v>
      </c>
      <c r="D3495" s="1" t="s">
        <v>19</v>
      </c>
      <c r="E3495" s="1">
        <v>19</v>
      </c>
      <c r="F3495" s="1">
        <v>333.95</v>
      </c>
      <c r="G3495" s="1">
        <v>11.85</v>
      </c>
      <c r="H3495">
        <f t="shared" si="54"/>
        <v>6345.05</v>
      </c>
    </row>
    <row r="3496" spans="1:8" x14ac:dyDescent="0.25">
      <c r="A3496" s="1" t="s">
        <v>3509</v>
      </c>
      <c r="B3496" s="5">
        <v>45803.583333333336</v>
      </c>
      <c r="C3496" s="1" t="s">
        <v>8</v>
      </c>
      <c r="D3496" s="1" t="s">
        <v>9</v>
      </c>
      <c r="E3496" s="1">
        <v>16</v>
      </c>
      <c r="F3496" s="1">
        <v>62.73</v>
      </c>
      <c r="G3496" s="1">
        <v>28.2</v>
      </c>
      <c r="H3496">
        <f t="shared" si="54"/>
        <v>1003.68</v>
      </c>
    </row>
    <row r="3497" spans="1:8" x14ac:dyDescent="0.25">
      <c r="A3497" s="1" t="s">
        <v>3510</v>
      </c>
      <c r="B3497" s="5">
        <v>45803.625</v>
      </c>
      <c r="C3497" s="1" t="s">
        <v>13</v>
      </c>
      <c r="D3497" s="1" t="s">
        <v>37</v>
      </c>
      <c r="E3497" s="1">
        <v>15</v>
      </c>
      <c r="F3497" s="1">
        <v>342.27</v>
      </c>
      <c r="G3497" s="1">
        <v>12.1</v>
      </c>
      <c r="H3497">
        <f t="shared" si="54"/>
        <v>5134.0499999999993</v>
      </c>
    </row>
    <row r="3498" spans="1:8" x14ac:dyDescent="0.25">
      <c r="A3498" s="1" t="s">
        <v>3511</v>
      </c>
      <c r="B3498" s="5">
        <v>45803.666666666664</v>
      </c>
      <c r="C3498" s="1" t="s">
        <v>23</v>
      </c>
      <c r="D3498" s="1" t="s">
        <v>16</v>
      </c>
      <c r="E3498" s="1">
        <v>16</v>
      </c>
      <c r="F3498" s="1">
        <v>35.36</v>
      </c>
      <c r="G3498" s="1">
        <v>22.93</v>
      </c>
      <c r="H3498">
        <f t="shared" si="54"/>
        <v>565.76</v>
      </c>
    </row>
    <row r="3499" spans="1:8" x14ac:dyDescent="0.25">
      <c r="A3499" s="1" t="s">
        <v>3512</v>
      </c>
      <c r="B3499" s="5">
        <v>45803.708333333336</v>
      </c>
      <c r="C3499" s="1" t="s">
        <v>8</v>
      </c>
      <c r="D3499" s="1" t="s">
        <v>9</v>
      </c>
      <c r="E3499" s="1">
        <v>11</v>
      </c>
      <c r="F3499" s="1">
        <v>103.28</v>
      </c>
      <c r="G3499" s="1">
        <v>47.42</v>
      </c>
      <c r="H3499">
        <f t="shared" si="54"/>
        <v>1136.08</v>
      </c>
    </row>
    <row r="3500" spans="1:8" x14ac:dyDescent="0.25">
      <c r="A3500" s="1" t="s">
        <v>3513</v>
      </c>
      <c r="B3500" s="5">
        <v>45803.75</v>
      </c>
      <c r="C3500" s="1" t="s">
        <v>23</v>
      </c>
      <c r="D3500" s="1" t="s">
        <v>9</v>
      </c>
      <c r="E3500" s="1">
        <v>6</v>
      </c>
      <c r="F3500" s="1">
        <v>359.61</v>
      </c>
      <c r="G3500" s="1">
        <v>20.39</v>
      </c>
      <c r="H3500">
        <f t="shared" si="54"/>
        <v>2157.66</v>
      </c>
    </row>
    <row r="3501" spans="1:8" x14ac:dyDescent="0.25">
      <c r="A3501" s="1" t="s">
        <v>3514</v>
      </c>
      <c r="B3501" s="5">
        <v>45803.791666666664</v>
      </c>
      <c r="C3501" s="1" t="s">
        <v>11</v>
      </c>
      <c r="D3501" s="1" t="s">
        <v>19</v>
      </c>
      <c r="E3501" s="1">
        <v>11</v>
      </c>
      <c r="F3501" s="1">
        <v>338.24</v>
      </c>
      <c r="G3501" s="1">
        <v>11.88</v>
      </c>
      <c r="H3501">
        <f t="shared" si="54"/>
        <v>3720.6400000000003</v>
      </c>
    </row>
    <row r="3502" spans="1:8" x14ac:dyDescent="0.25">
      <c r="A3502" s="1" t="s">
        <v>3515</v>
      </c>
      <c r="B3502" s="5">
        <v>45803.833333333336</v>
      </c>
      <c r="C3502" s="1" t="s">
        <v>8</v>
      </c>
      <c r="D3502" s="1" t="s">
        <v>37</v>
      </c>
      <c r="E3502" s="1">
        <v>3</v>
      </c>
      <c r="F3502" s="1">
        <v>222.46</v>
      </c>
      <c r="G3502" s="1">
        <v>31.21</v>
      </c>
      <c r="H3502">
        <f t="shared" si="54"/>
        <v>667.38</v>
      </c>
    </row>
    <row r="3503" spans="1:8" x14ac:dyDescent="0.25">
      <c r="A3503" s="1" t="s">
        <v>3516</v>
      </c>
      <c r="B3503" s="5">
        <v>45803.875</v>
      </c>
      <c r="C3503" s="1" t="s">
        <v>13</v>
      </c>
      <c r="D3503" s="1" t="s">
        <v>19</v>
      </c>
      <c r="E3503" s="1">
        <v>15</v>
      </c>
      <c r="F3503" s="1">
        <v>37.22</v>
      </c>
      <c r="G3503" s="1">
        <v>32.11</v>
      </c>
      <c r="H3503">
        <f t="shared" si="54"/>
        <v>558.29999999999995</v>
      </c>
    </row>
    <row r="3504" spans="1:8" x14ac:dyDescent="0.25">
      <c r="A3504" s="1" t="s">
        <v>3517</v>
      </c>
      <c r="B3504" s="5">
        <v>45803.916666666664</v>
      </c>
      <c r="C3504" s="1" t="s">
        <v>13</v>
      </c>
      <c r="D3504" s="1" t="s">
        <v>37</v>
      </c>
      <c r="E3504" s="1">
        <v>1</v>
      </c>
      <c r="F3504" s="1">
        <v>280.5</v>
      </c>
      <c r="G3504" s="1">
        <v>13.72</v>
      </c>
      <c r="H3504">
        <f t="shared" si="54"/>
        <v>280.5</v>
      </c>
    </row>
    <row r="3505" spans="1:8" x14ac:dyDescent="0.25">
      <c r="A3505" s="1" t="s">
        <v>3518</v>
      </c>
      <c r="B3505" s="5">
        <v>45803.958333333336</v>
      </c>
      <c r="C3505" s="1" t="s">
        <v>13</v>
      </c>
      <c r="D3505" s="1" t="s">
        <v>19</v>
      </c>
      <c r="E3505" s="1">
        <v>7</v>
      </c>
      <c r="F3505" s="1">
        <v>192.22</v>
      </c>
      <c r="G3505" s="1">
        <v>13.85</v>
      </c>
      <c r="H3505">
        <f t="shared" si="54"/>
        <v>1345.54</v>
      </c>
    </row>
    <row r="3506" spans="1:8" x14ac:dyDescent="0.25">
      <c r="A3506" s="1" t="s">
        <v>3519</v>
      </c>
      <c r="B3506" s="5">
        <v>45804</v>
      </c>
      <c r="C3506" s="1" t="s">
        <v>13</v>
      </c>
      <c r="D3506" s="1" t="s">
        <v>9</v>
      </c>
      <c r="E3506" s="1">
        <v>1</v>
      </c>
      <c r="F3506" s="1">
        <v>153.03</v>
      </c>
      <c r="G3506" s="1">
        <v>49.53</v>
      </c>
      <c r="H3506">
        <f t="shared" si="54"/>
        <v>153.03</v>
      </c>
    </row>
    <row r="3507" spans="1:8" x14ac:dyDescent="0.25">
      <c r="A3507" s="1" t="s">
        <v>3520</v>
      </c>
      <c r="B3507" s="5">
        <v>45804.041666666664</v>
      </c>
      <c r="C3507" s="1" t="s">
        <v>23</v>
      </c>
      <c r="D3507" s="1" t="s">
        <v>19</v>
      </c>
      <c r="E3507" s="1">
        <v>17</v>
      </c>
      <c r="F3507" s="1">
        <v>293.76</v>
      </c>
      <c r="G3507" s="1">
        <v>15.95</v>
      </c>
      <c r="H3507">
        <f t="shared" si="54"/>
        <v>4993.92</v>
      </c>
    </row>
    <row r="3508" spans="1:8" x14ac:dyDescent="0.25">
      <c r="A3508" s="1" t="s">
        <v>3521</v>
      </c>
      <c r="B3508" s="5">
        <v>45804.083333333336</v>
      </c>
      <c r="C3508" s="1" t="s">
        <v>23</v>
      </c>
      <c r="D3508" s="1" t="s">
        <v>16</v>
      </c>
      <c r="E3508" s="1">
        <v>9</v>
      </c>
      <c r="F3508" s="1">
        <v>205.21</v>
      </c>
      <c r="G3508" s="1">
        <v>42.72</v>
      </c>
      <c r="H3508">
        <f t="shared" si="54"/>
        <v>1846.89</v>
      </c>
    </row>
    <row r="3509" spans="1:8" x14ac:dyDescent="0.25">
      <c r="A3509" s="1" t="s">
        <v>3522</v>
      </c>
      <c r="B3509" s="5">
        <v>45804.125</v>
      </c>
      <c r="C3509" s="1" t="s">
        <v>13</v>
      </c>
      <c r="D3509" s="1" t="s">
        <v>37</v>
      </c>
      <c r="E3509" s="1">
        <v>13</v>
      </c>
      <c r="F3509" s="1">
        <v>55.66</v>
      </c>
      <c r="G3509" s="1">
        <v>26.16</v>
      </c>
      <c r="H3509">
        <f t="shared" si="54"/>
        <v>723.57999999999993</v>
      </c>
    </row>
    <row r="3510" spans="1:8" x14ac:dyDescent="0.25">
      <c r="A3510" s="1" t="s">
        <v>3523</v>
      </c>
      <c r="B3510" s="5">
        <v>45804.166666666664</v>
      </c>
      <c r="C3510" s="1" t="s">
        <v>13</v>
      </c>
      <c r="D3510" s="1" t="s">
        <v>37</v>
      </c>
      <c r="E3510" s="1">
        <v>11</v>
      </c>
      <c r="F3510" s="1">
        <v>413.48</v>
      </c>
      <c r="G3510" s="1">
        <v>24.57</v>
      </c>
      <c r="H3510">
        <f t="shared" si="54"/>
        <v>4548.2800000000007</v>
      </c>
    </row>
    <row r="3511" spans="1:8" x14ac:dyDescent="0.25">
      <c r="A3511" s="1" t="s">
        <v>3524</v>
      </c>
      <c r="B3511" s="5">
        <v>45804.208333333336</v>
      </c>
      <c r="C3511" s="1" t="s">
        <v>13</v>
      </c>
      <c r="D3511" s="1" t="s">
        <v>9</v>
      </c>
      <c r="E3511" s="1">
        <v>6</v>
      </c>
      <c r="F3511" s="1">
        <v>353.76</v>
      </c>
      <c r="G3511" s="1">
        <v>18.27</v>
      </c>
      <c r="H3511">
        <f t="shared" si="54"/>
        <v>2122.56</v>
      </c>
    </row>
    <row r="3512" spans="1:8" x14ac:dyDescent="0.25">
      <c r="A3512" s="1" t="s">
        <v>3525</v>
      </c>
      <c r="B3512" s="5">
        <v>45804.25</v>
      </c>
      <c r="C3512" s="1" t="s">
        <v>23</v>
      </c>
      <c r="D3512" s="1" t="s">
        <v>37</v>
      </c>
      <c r="E3512" s="1">
        <v>1</v>
      </c>
      <c r="F3512" s="1">
        <v>40</v>
      </c>
      <c r="G3512" s="1">
        <v>39.82</v>
      </c>
      <c r="H3512">
        <f t="shared" si="54"/>
        <v>40</v>
      </c>
    </row>
    <row r="3513" spans="1:8" x14ac:dyDescent="0.25">
      <c r="A3513" s="1" t="s">
        <v>3526</v>
      </c>
      <c r="B3513" s="5">
        <v>45804.291666666664</v>
      </c>
      <c r="C3513" s="1" t="s">
        <v>13</v>
      </c>
      <c r="D3513" s="1" t="s">
        <v>16</v>
      </c>
      <c r="E3513" s="1">
        <v>7</v>
      </c>
      <c r="F3513" s="1">
        <v>243.64</v>
      </c>
      <c r="G3513" s="1">
        <v>44.63</v>
      </c>
      <c r="H3513">
        <f t="shared" si="54"/>
        <v>1705.48</v>
      </c>
    </row>
    <row r="3514" spans="1:8" x14ac:dyDescent="0.25">
      <c r="A3514" s="1" t="s">
        <v>3527</v>
      </c>
      <c r="B3514" s="5">
        <v>45804.333333333336</v>
      </c>
      <c r="C3514" s="1" t="s">
        <v>13</v>
      </c>
      <c r="D3514" s="1" t="s">
        <v>19</v>
      </c>
      <c r="E3514" s="1">
        <v>12</v>
      </c>
      <c r="F3514" s="1">
        <v>51.73</v>
      </c>
      <c r="G3514" s="1">
        <v>16.75</v>
      </c>
      <c r="H3514">
        <f t="shared" si="54"/>
        <v>620.76</v>
      </c>
    </row>
    <row r="3515" spans="1:8" x14ac:dyDescent="0.25">
      <c r="A3515" s="1" t="s">
        <v>3528</v>
      </c>
      <c r="B3515" s="5">
        <v>45804.375</v>
      </c>
      <c r="C3515" s="1" t="s">
        <v>11</v>
      </c>
      <c r="D3515" s="1" t="s">
        <v>9</v>
      </c>
      <c r="E3515" s="1">
        <v>19</v>
      </c>
      <c r="F3515" s="1">
        <v>379.3</v>
      </c>
      <c r="G3515" s="1">
        <v>9.2799999999999994</v>
      </c>
      <c r="H3515">
        <f t="shared" si="54"/>
        <v>7206.7</v>
      </c>
    </row>
    <row r="3516" spans="1:8" x14ac:dyDescent="0.25">
      <c r="A3516" s="1" t="s">
        <v>3529</v>
      </c>
      <c r="B3516" s="5">
        <v>45804.416666666664</v>
      </c>
      <c r="C3516" s="1" t="s">
        <v>11</v>
      </c>
      <c r="D3516" s="1" t="s">
        <v>16</v>
      </c>
      <c r="E3516" s="1">
        <v>17</v>
      </c>
      <c r="F3516" s="1">
        <v>281.85000000000002</v>
      </c>
      <c r="G3516" s="1">
        <v>11.16</v>
      </c>
      <c r="H3516">
        <f t="shared" si="54"/>
        <v>4791.4500000000007</v>
      </c>
    </row>
    <row r="3517" spans="1:8" x14ac:dyDescent="0.25">
      <c r="A3517" s="1" t="s">
        <v>3530</v>
      </c>
      <c r="B3517" s="5">
        <v>45804.458333333336</v>
      </c>
      <c r="C3517" s="1" t="s">
        <v>13</v>
      </c>
      <c r="D3517" s="1" t="s">
        <v>37</v>
      </c>
      <c r="E3517" s="1">
        <v>4</v>
      </c>
      <c r="F3517" s="1">
        <v>90.43</v>
      </c>
      <c r="G3517" s="1">
        <v>40.68</v>
      </c>
      <c r="H3517">
        <f t="shared" si="54"/>
        <v>361.72</v>
      </c>
    </row>
    <row r="3518" spans="1:8" x14ac:dyDescent="0.25">
      <c r="A3518" s="1" t="s">
        <v>3531</v>
      </c>
      <c r="B3518" s="5">
        <v>45804.5</v>
      </c>
      <c r="C3518" s="1" t="s">
        <v>8</v>
      </c>
      <c r="D3518" s="1" t="s">
        <v>37</v>
      </c>
      <c r="E3518" s="1">
        <v>3</v>
      </c>
      <c r="F3518" s="1">
        <v>24.51</v>
      </c>
      <c r="G3518" s="1">
        <v>24.61</v>
      </c>
      <c r="H3518">
        <f t="shared" si="54"/>
        <v>73.53</v>
      </c>
    </row>
    <row r="3519" spans="1:8" x14ac:dyDescent="0.25">
      <c r="A3519" s="1" t="s">
        <v>3532</v>
      </c>
      <c r="B3519" s="5">
        <v>45804.541666666664</v>
      </c>
      <c r="C3519" s="1" t="s">
        <v>13</v>
      </c>
      <c r="D3519" s="1" t="s">
        <v>16</v>
      </c>
      <c r="E3519" s="1">
        <v>1</v>
      </c>
      <c r="F3519" s="1">
        <v>29.22</v>
      </c>
      <c r="G3519" s="1">
        <v>10.94</v>
      </c>
      <c r="H3519">
        <f t="shared" si="54"/>
        <v>29.22</v>
      </c>
    </row>
    <row r="3520" spans="1:8" x14ac:dyDescent="0.25">
      <c r="A3520" s="1" t="s">
        <v>3533</v>
      </c>
      <c r="B3520" s="5">
        <v>45804.583333333336</v>
      </c>
      <c r="C3520" s="1" t="s">
        <v>11</v>
      </c>
      <c r="D3520" s="1" t="s">
        <v>19</v>
      </c>
      <c r="E3520" s="1">
        <v>18</v>
      </c>
      <c r="F3520" s="1">
        <v>235.95</v>
      </c>
      <c r="G3520" s="1">
        <v>20.309999999999999</v>
      </c>
      <c r="H3520">
        <f t="shared" si="54"/>
        <v>4247.0999999999995</v>
      </c>
    </row>
    <row r="3521" spans="1:8" x14ac:dyDescent="0.25">
      <c r="A3521" s="1" t="s">
        <v>3534</v>
      </c>
      <c r="B3521" s="5">
        <v>45804.625</v>
      </c>
      <c r="C3521" s="1" t="s">
        <v>8</v>
      </c>
      <c r="D3521" s="1" t="s">
        <v>19</v>
      </c>
      <c r="E3521" s="1">
        <v>15</v>
      </c>
      <c r="F3521" s="1">
        <v>334.59</v>
      </c>
      <c r="G3521" s="1">
        <v>28.14</v>
      </c>
      <c r="H3521">
        <f t="shared" si="54"/>
        <v>5018.8499999999995</v>
      </c>
    </row>
    <row r="3522" spans="1:8" x14ac:dyDescent="0.25">
      <c r="A3522" s="1" t="s">
        <v>3535</v>
      </c>
      <c r="B3522" s="5">
        <v>45804.666666666664</v>
      </c>
      <c r="C3522" s="1" t="s">
        <v>8</v>
      </c>
      <c r="D3522" s="1" t="s">
        <v>9</v>
      </c>
      <c r="E3522" s="1">
        <v>8</v>
      </c>
      <c r="F3522" s="1">
        <v>68.010000000000005</v>
      </c>
      <c r="G3522" s="1">
        <v>43.34</v>
      </c>
      <c r="H3522">
        <f t="shared" ref="H3522:H3585" si="55">E3522*F3522</f>
        <v>544.08000000000004</v>
      </c>
    </row>
    <row r="3523" spans="1:8" x14ac:dyDescent="0.25">
      <c r="A3523" s="1" t="s">
        <v>3536</v>
      </c>
      <c r="B3523" s="5">
        <v>45804.708333333336</v>
      </c>
      <c r="C3523" s="1" t="s">
        <v>13</v>
      </c>
      <c r="D3523" s="1" t="s">
        <v>37</v>
      </c>
      <c r="E3523" s="1">
        <v>1</v>
      </c>
      <c r="F3523" s="1">
        <v>111.65</v>
      </c>
      <c r="G3523" s="1">
        <v>33.880000000000003</v>
      </c>
      <c r="H3523">
        <f t="shared" si="55"/>
        <v>111.65</v>
      </c>
    </row>
    <row r="3524" spans="1:8" x14ac:dyDescent="0.25">
      <c r="A3524" s="1" t="s">
        <v>3537</v>
      </c>
      <c r="B3524" s="5">
        <v>45804.75</v>
      </c>
      <c r="C3524" s="1" t="s">
        <v>11</v>
      </c>
      <c r="D3524" s="1" t="s">
        <v>16</v>
      </c>
      <c r="E3524" s="1">
        <v>14</v>
      </c>
      <c r="F3524" s="1">
        <v>157.69</v>
      </c>
      <c r="G3524" s="1">
        <v>12.92</v>
      </c>
      <c r="H3524">
        <f t="shared" si="55"/>
        <v>2207.66</v>
      </c>
    </row>
    <row r="3525" spans="1:8" x14ac:dyDescent="0.25">
      <c r="A3525" s="1" t="s">
        <v>3538</v>
      </c>
      <c r="B3525" s="5">
        <v>45804.791666666664</v>
      </c>
      <c r="C3525" s="1" t="s">
        <v>11</v>
      </c>
      <c r="D3525" s="1" t="s">
        <v>19</v>
      </c>
      <c r="E3525" s="1">
        <v>4</v>
      </c>
      <c r="F3525" s="1">
        <v>110.25</v>
      </c>
      <c r="G3525" s="1">
        <v>12.14</v>
      </c>
      <c r="H3525">
        <f t="shared" si="55"/>
        <v>441</v>
      </c>
    </row>
    <row r="3526" spans="1:8" x14ac:dyDescent="0.25">
      <c r="A3526" s="1" t="s">
        <v>3539</v>
      </c>
      <c r="B3526" s="5">
        <v>45804.833333333336</v>
      </c>
      <c r="C3526" s="1" t="s">
        <v>8</v>
      </c>
      <c r="D3526" s="1" t="s">
        <v>9</v>
      </c>
      <c r="E3526" s="1">
        <v>5</v>
      </c>
      <c r="F3526" s="1">
        <v>185.54</v>
      </c>
      <c r="G3526" s="1">
        <v>23.56</v>
      </c>
      <c r="H3526">
        <f t="shared" si="55"/>
        <v>927.69999999999993</v>
      </c>
    </row>
    <row r="3527" spans="1:8" x14ac:dyDescent="0.25">
      <c r="A3527" s="1" t="s">
        <v>3540</v>
      </c>
      <c r="B3527" s="5">
        <v>45804.875</v>
      </c>
      <c r="C3527" s="1" t="s">
        <v>13</v>
      </c>
      <c r="D3527" s="1" t="s">
        <v>37</v>
      </c>
      <c r="E3527" s="1">
        <v>13</v>
      </c>
      <c r="F3527" s="1">
        <v>258.64999999999998</v>
      </c>
      <c r="G3527" s="1">
        <v>8.3800000000000008</v>
      </c>
      <c r="H3527">
        <f t="shared" si="55"/>
        <v>3362.45</v>
      </c>
    </row>
    <row r="3528" spans="1:8" x14ac:dyDescent="0.25">
      <c r="A3528" s="1" t="s">
        <v>3541</v>
      </c>
      <c r="B3528" s="5">
        <v>45804.916666666664</v>
      </c>
      <c r="C3528" s="1" t="s">
        <v>23</v>
      </c>
      <c r="D3528" s="1" t="s">
        <v>37</v>
      </c>
      <c r="E3528" s="1">
        <v>15</v>
      </c>
      <c r="F3528" s="1">
        <v>313.11</v>
      </c>
      <c r="G3528" s="1">
        <v>39</v>
      </c>
      <c r="H3528">
        <f t="shared" si="55"/>
        <v>4696.6500000000005</v>
      </c>
    </row>
    <row r="3529" spans="1:8" x14ac:dyDescent="0.25">
      <c r="A3529" s="1" t="s">
        <v>3542</v>
      </c>
      <c r="B3529" s="5">
        <v>45804.958333333336</v>
      </c>
      <c r="C3529" s="1" t="s">
        <v>23</v>
      </c>
      <c r="D3529" s="1" t="s">
        <v>9</v>
      </c>
      <c r="E3529" s="1">
        <v>6</v>
      </c>
      <c r="F3529" s="1">
        <v>434.26</v>
      </c>
      <c r="G3529" s="1">
        <v>23.07</v>
      </c>
      <c r="H3529">
        <f t="shared" si="55"/>
        <v>2605.56</v>
      </c>
    </row>
    <row r="3530" spans="1:8" x14ac:dyDescent="0.25">
      <c r="A3530" s="1" t="s">
        <v>3543</v>
      </c>
      <c r="B3530" s="5">
        <v>45805</v>
      </c>
      <c r="C3530" s="1" t="s">
        <v>11</v>
      </c>
      <c r="D3530" s="1" t="s">
        <v>9</v>
      </c>
      <c r="E3530" s="1">
        <v>1</v>
      </c>
      <c r="F3530" s="1">
        <v>419.95</v>
      </c>
      <c r="G3530" s="1">
        <v>20.440000000000001</v>
      </c>
      <c r="H3530">
        <f t="shared" si="55"/>
        <v>419.95</v>
      </c>
    </row>
    <row r="3531" spans="1:8" x14ac:dyDescent="0.25">
      <c r="A3531" s="1" t="s">
        <v>3544</v>
      </c>
      <c r="B3531" s="5">
        <v>45805.041666666664</v>
      </c>
      <c r="C3531" s="1" t="s">
        <v>23</v>
      </c>
      <c r="D3531" s="1" t="s">
        <v>19</v>
      </c>
      <c r="E3531" s="1">
        <v>19</v>
      </c>
      <c r="F3531" s="1">
        <v>263.22000000000003</v>
      </c>
      <c r="G3531" s="1">
        <v>27.91</v>
      </c>
      <c r="H3531">
        <f t="shared" si="55"/>
        <v>5001.18</v>
      </c>
    </row>
    <row r="3532" spans="1:8" x14ac:dyDescent="0.25">
      <c r="A3532" s="1" t="s">
        <v>3545</v>
      </c>
      <c r="B3532" s="5">
        <v>45805.083333333336</v>
      </c>
      <c r="C3532" s="1" t="s">
        <v>11</v>
      </c>
      <c r="D3532" s="1" t="s">
        <v>16</v>
      </c>
      <c r="E3532" s="1">
        <v>13</v>
      </c>
      <c r="F3532" s="1">
        <v>334.49</v>
      </c>
      <c r="G3532" s="1">
        <v>36.9</v>
      </c>
      <c r="H3532">
        <f t="shared" si="55"/>
        <v>4348.37</v>
      </c>
    </row>
    <row r="3533" spans="1:8" x14ac:dyDescent="0.25">
      <c r="A3533" s="1" t="s">
        <v>3546</v>
      </c>
      <c r="B3533" s="5">
        <v>45805.125</v>
      </c>
      <c r="C3533" s="1" t="s">
        <v>11</v>
      </c>
      <c r="D3533" s="1" t="s">
        <v>37</v>
      </c>
      <c r="E3533" s="1">
        <v>6</v>
      </c>
      <c r="F3533" s="1">
        <v>428.65</v>
      </c>
      <c r="G3533" s="1">
        <v>30.62</v>
      </c>
      <c r="H3533">
        <f t="shared" si="55"/>
        <v>2571.8999999999996</v>
      </c>
    </row>
    <row r="3534" spans="1:8" x14ac:dyDescent="0.25">
      <c r="A3534" s="1" t="s">
        <v>3547</v>
      </c>
      <c r="B3534" s="5">
        <v>45805.166666666664</v>
      </c>
      <c r="C3534" s="1" t="s">
        <v>11</v>
      </c>
      <c r="D3534" s="1" t="s">
        <v>16</v>
      </c>
      <c r="E3534" s="1">
        <v>15</v>
      </c>
      <c r="F3534" s="1">
        <v>51.77</v>
      </c>
      <c r="G3534" s="1">
        <v>41.11</v>
      </c>
      <c r="H3534">
        <f t="shared" si="55"/>
        <v>776.55000000000007</v>
      </c>
    </row>
    <row r="3535" spans="1:8" x14ac:dyDescent="0.25">
      <c r="A3535" s="1" t="s">
        <v>3548</v>
      </c>
      <c r="B3535" s="5">
        <v>45805.208333333336</v>
      </c>
      <c r="C3535" s="1" t="s">
        <v>23</v>
      </c>
      <c r="D3535" s="1" t="s">
        <v>37</v>
      </c>
      <c r="E3535" s="1">
        <v>16</v>
      </c>
      <c r="F3535" s="1">
        <v>17.95</v>
      </c>
      <c r="G3535" s="1">
        <v>33.32</v>
      </c>
      <c r="H3535">
        <f t="shared" si="55"/>
        <v>287.2</v>
      </c>
    </row>
    <row r="3536" spans="1:8" x14ac:dyDescent="0.25">
      <c r="A3536" s="1" t="s">
        <v>3549</v>
      </c>
      <c r="B3536" s="5">
        <v>45805.25</v>
      </c>
      <c r="C3536" s="1" t="s">
        <v>11</v>
      </c>
      <c r="D3536" s="1" t="s">
        <v>37</v>
      </c>
      <c r="E3536" s="1">
        <v>16</v>
      </c>
      <c r="F3536" s="1">
        <v>28.45</v>
      </c>
      <c r="G3536" s="1">
        <v>40.46</v>
      </c>
      <c r="H3536">
        <f t="shared" si="55"/>
        <v>455.2</v>
      </c>
    </row>
    <row r="3537" spans="1:8" x14ac:dyDescent="0.25">
      <c r="A3537" s="1" t="s">
        <v>3550</v>
      </c>
      <c r="B3537" s="5">
        <v>45805.291666666664</v>
      </c>
      <c r="C3537" s="1" t="s">
        <v>8</v>
      </c>
      <c r="D3537" s="1" t="s">
        <v>16</v>
      </c>
      <c r="E3537" s="1">
        <v>10</v>
      </c>
      <c r="F3537" s="1">
        <v>260.27999999999997</v>
      </c>
      <c r="G3537" s="1">
        <v>36.36</v>
      </c>
      <c r="H3537">
        <f t="shared" si="55"/>
        <v>2602.7999999999997</v>
      </c>
    </row>
    <row r="3538" spans="1:8" x14ac:dyDescent="0.25">
      <c r="A3538" s="1" t="s">
        <v>3551</v>
      </c>
      <c r="B3538" s="5">
        <v>45805.333333333336</v>
      </c>
      <c r="C3538" s="1" t="s">
        <v>13</v>
      </c>
      <c r="D3538" s="1" t="s">
        <v>9</v>
      </c>
      <c r="E3538" s="1">
        <v>9</v>
      </c>
      <c r="F3538" s="1">
        <v>346.95</v>
      </c>
      <c r="G3538" s="1">
        <v>13.69</v>
      </c>
      <c r="H3538">
        <f t="shared" si="55"/>
        <v>3122.5499999999997</v>
      </c>
    </row>
    <row r="3539" spans="1:8" x14ac:dyDescent="0.25">
      <c r="A3539" s="1" t="s">
        <v>3552</v>
      </c>
      <c r="B3539" s="5">
        <v>45805.375</v>
      </c>
      <c r="C3539" s="1" t="s">
        <v>13</v>
      </c>
      <c r="D3539" s="1" t="s">
        <v>19</v>
      </c>
      <c r="E3539" s="1">
        <v>9</v>
      </c>
      <c r="F3539" s="1">
        <v>174.99</v>
      </c>
      <c r="G3539" s="1">
        <v>7.36</v>
      </c>
      <c r="H3539">
        <f t="shared" si="55"/>
        <v>1574.91</v>
      </c>
    </row>
    <row r="3540" spans="1:8" x14ac:dyDescent="0.25">
      <c r="A3540" s="1" t="s">
        <v>3553</v>
      </c>
      <c r="B3540" s="5">
        <v>45805.416666666664</v>
      </c>
      <c r="C3540" s="1" t="s">
        <v>11</v>
      </c>
      <c r="D3540" s="1" t="s">
        <v>37</v>
      </c>
      <c r="E3540" s="1">
        <v>17</v>
      </c>
      <c r="F3540" s="1">
        <v>252.41</v>
      </c>
      <c r="G3540" s="1">
        <v>45.65</v>
      </c>
      <c r="H3540">
        <f t="shared" si="55"/>
        <v>4290.97</v>
      </c>
    </row>
    <row r="3541" spans="1:8" x14ac:dyDescent="0.25">
      <c r="A3541" s="1" t="s">
        <v>3554</v>
      </c>
      <c r="B3541" s="5">
        <v>45805.458333333336</v>
      </c>
      <c r="C3541" s="1" t="s">
        <v>13</v>
      </c>
      <c r="D3541" s="1" t="s">
        <v>9</v>
      </c>
      <c r="E3541" s="1">
        <v>17</v>
      </c>
      <c r="F3541" s="1">
        <v>239.86</v>
      </c>
      <c r="G3541" s="1">
        <v>47.55</v>
      </c>
      <c r="H3541">
        <f t="shared" si="55"/>
        <v>4077.6200000000003</v>
      </c>
    </row>
    <row r="3542" spans="1:8" x14ac:dyDescent="0.25">
      <c r="A3542" s="1" t="s">
        <v>3555</v>
      </c>
      <c r="B3542" s="5">
        <v>45805.5</v>
      </c>
      <c r="C3542" s="1" t="s">
        <v>23</v>
      </c>
      <c r="D3542" s="1" t="s">
        <v>37</v>
      </c>
      <c r="E3542" s="1">
        <v>17</v>
      </c>
      <c r="F3542" s="1">
        <v>56.68</v>
      </c>
      <c r="G3542" s="1">
        <v>37.71</v>
      </c>
      <c r="H3542">
        <f t="shared" si="55"/>
        <v>963.56</v>
      </c>
    </row>
    <row r="3543" spans="1:8" x14ac:dyDescent="0.25">
      <c r="A3543" s="1" t="s">
        <v>3556</v>
      </c>
      <c r="B3543" s="5">
        <v>45805.541666666664</v>
      </c>
      <c r="C3543" s="1" t="s">
        <v>23</v>
      </c>
      <c r="D3543" s="1" t="s">
        <v>19</v>
      </c>
      <c r="E3543" s="1">
        <v>12</v>
      </c>
      <c r="F3543" s="1">
        <v>155.22999999999999</v>
      </c>
      <c r="G3543" s="1">
        <v>37.590000000000003</v>
      </c>
      <c r="H3543">
        <f t="shared" si="55"/>
        <v>1862.7599999999998</v>
      </c>
    </row>
    <row r="3544" spans="1:8" x14ac:dyDescent="0.25">
      <c r="A3544" s="1" t="s">
        <v>3557</v>
      </c>
      <c r="B3544" s="5">
        <v>45805.583333333336</v>
      </c>
      <c r="C3544" s="1" t="s">
        <v>13</v>
      </c>
      <c r="D3544" s="1" t="s">
        <v>37</v>
      </c>
      <c r="E3544" s="1">
        <v>13</v>
      </c>
      <c r="F3544" s="1">
        <v>23.94</v>
      </c>
      <c r="G3544" s="1">
        <v>17.16</v>
      </c>
      <c r="H3544">
        <f t="shared" si="55"/>
        <v>311.22000000000003</v>
      </c>
    </row>
    <row r="3545" spans="1:8" x14ac:dyDescent="0.25">
      <c r="A3545" s="1" t="s">
        <v>3558</v>
      </c>
      <c r="B3545" s="5">
        <v>45805.625</v>
      </c>
      <c r="C3545" s="1" t="s">
        <v>23</v>
      </c>
      <c r="D3545" s="1" t="s">
        <v>19</v>
      </c>
      <c r="E3545" s="1">
        <v>12</v>
      </c>
      <c r="F3545" s="1">
        <v>63.6</v>
      </c>
      <c r="G3545" s="1">
        <v>29.41</v>
      </c>
      <c r="H3545">
        <f t="shared" si="55"/>
        <v>763.2</v>
      </c>
    </row>
    <row r="3546" spans="1:8" x14ac:dyDescent="0.25">
      <c r="A3546" s="1" t="s">
        <v>3559</v>
      </c>
      <c r="B3546" s="5">
        <v>45805.666666666664</v>
      </c>
      <c r="C3546" s="1" t="s">
        <v>13</v>
      </c>
      <c r="D3546" s="1" t="s">
        <v>19</v>
      </c>
      <c r="E3546" s="1">
        <v>14</v>
      </c>
      <c r="F3546" s="1">
        <v>368.25</v>
      </c>
      <c r="G3546" s="1">
        <v>49.65</v>
      </c>
      <c r="H3546">
        <f t="shared" si="55"/>
        <v>5155.5</v>
      </c>
    </row>
    <row r="3547" spans="1:8" x14ac:dyDescent="0.25">
      <c r="A3547" s="1" t="s">
        <v>3560</v>
      </c>
      <c r="B3547" s="5">
        <v>45805.708333333336</v>
      </c>
      <c r="C3547" s="1" t="s">
        <v>13</v>
      </c>
      <c r="D3547" s="1" t="s">
        <v>37</v>
      </c>
      <c r="E3547" s="1">
        <v>10</v>
      </c>
      <c r="F3547" s="1">
        <v>375.88</v>
      </c>
      <c r="G3547" s="1">
        <v>43.53</v>
      </c>
      <c r="H3547">
        <f t="shared" si="55"/>
        <v>3758.8</v>
      </c>
    </row>
    <row r="3548" spans="1:8" x14ac:dyDescent="0.25">
      <c r="A3548" s="1" t="s">
        <v>3561</v>
      </c>
      <c r="B3548" s="5">
        <v>45805.75</v>
      </c>
      <c r="C3548" s="1" t="s">
        <v>13</v>
      </c>
      <c r="D3548" s="1" t="s">
        <v>37</v>
      </c>
      <c r="E3548" s="1">
        <v>19</v>
      </c>
      <c r="F3548" s="1">
        <v>363.95</v>
      </c>
      <c r="G3548" s="1">
        <v>18.7</v>
      </c>
      <c r="H3548">
        <f t="shared" si="55"/>
        <v>6915.05</v>
      </c>
    </row>
    <row r="3549" spans="1:8" x14ac:dyDescent="0.25">
      <c r="A3549" s="1" t="s">
        <v>3562</v>
      </c>
      <c r="B3549" s="5">
        <v>45805.791666666664</v>
      </c>
      <c r="C3549" s="1" t="s">
        <v>11</v>
      </c>
      <c r="D3549" s="1" t="s">
        <v>19</v>
      </c>
      <c r="E3549" s="1">
        <v>2</v>
      </c>
      <c r="F3549" s="1">
        <v>331.3</v>
      </c>
      <c r="G3549" s="1">
        <v>18.55</v>
      </c>
      <c r="H3549">
        <f t="shared" si="55"/>
        <v>662.6</v>
      </c>
    </row>
    <row r="3550" spans="1:8" x14ac:dyDescent="0.25">
      <c r="A3550" s="1" t="s">
        <v>3563</v>
      </c>
      <c r="B3550" s="5">
        <v>45805.833333333336</v>
      </c>
      <c r="C3550" s="1" t="s">
        <v>13</v>
      </c>
      <c r="D3550" s="1" t="s">
        <v>9</v>
      </c>
      <c r="E3550" s="1">
        <v>4</v>
      </c>
      <c r="F3550" s="1">
        <v>360.19</v>
      </c>
      <c r="G3550" s="1">
        <v>26.76</v>
      </c>
      <c r="H3550">
        <f t="shared" si="55"/>
        <v>1440.76</v>
      </c>
    </row>
    <row r="3551" spans="1:8" x14ac:dyDescent="0.25">
      <c r="A3551" s="1" t="s">
        <v>3564</v>
      </c>
      <c r="B3551" s="5">
        <v>45805.875</v>
      </c>
      <c r="C3551" s="1" t="s">
        <v>11</v>
      </c>
      <c r="D3551" s="1" t="s">
        <v>16</v>
      </c>
      <c r="E3551" s="1">
        <v>19</v>
      </c>
      <c r="F3551" s="1">
        <v>307.04000000000002</v>
      </c>
      <c r="G3551" s="1">
        <v>23.21</v>
      </c>
      <c r="H3551">
        <f t="shared" si="55"/>
        <v>5833.76</v>
      </c>
    </row>
    <row r="3552" spans="1:8" x14ac:dyDescent="0.25">
      <c r="A3552" s="1" t="s">
        <v>3565</v>
      </c>
      <c r="B3552" s="5">
        <v>45805.916666666664</v>
      </c>
      <c r="C3552" s="1" t="s">
        <v>13</v>
      </c>
      <c r="D3552" s="1" t="s">
        <v>19</v>
      </c>
      <c r="E3552" s="1">
        <v>7</v>
      </c>
      <c r="F3552" s="1">
        <v>306.54000000000002</v>
      </c>
      <c r="G3552" s="1">
        <v>21.7</v>
      </c>
      <c r="H3552">
        <f t="shared" si="55"/>
        <v>2145.7800000000002</v>
      </c>
    </row>
    <row r="3553" spans="1:8" x14ac:dyDescent="0.25">
      <c r="A3553" s="1" t="s">
        <v>3566</v>
      </c>
      <c r="B3553" s="5">
        <v>45805.958333333336</v>
      </c>
      <c r="C3553" s="1" t="s">
        <v>13</v>
      </c>
      <c r="D3553" s="1" t="s">
        <v>37</v>
      </c>
      <c r="E3553" s="1">
        <v>15</v>
      </c>
      <c r="F3553" s="1">
        <v>305.47000000000003</v>
      </c>
      <c r="G3553" s="1">
        <v>33.21</v>
      </c>
      <c r="H3553">
        <f t="shared" si="55"/>
        <v>4582.05</v>
      </c>
    </row>
    <row r="3554" spans="1:8" x14ac:dyDescent="0.25">
      <c r="A3554" s="1" t="s">
        <v>3567</v>
      </c>
      <c r="B3554" s="5">
        <v>45806</v>
      </c>
      <c r="C3554" s="1" t="s">
        <v>13</v>
      </c>
      <c r="D3554" s="1" t="s">
        <v>37</v>
      </c>
      <c r="E3554" s="1">
        <v>15</v>
      </c>
      <c r="F3554" s="1">
        <v>238.85</v>
      </c>
      <c r="G3554" s="1">
        <v>5.52</v>
      </c>
      <c r="H3554">
        <f t="shared" si="55"/>
        <v>3582.75</v>
      </c>
    </row>
    <row r="3555" spans="1:8" x14ac:dyDescent="0.25">
      <c r="A3555" s="1" t="s">
        <v>3568</v>
      </c>
      <c r="B3555" s="5">
        <v>45806.041666666664</v>
      </c>
      <c r="C3555" s="1" t="s">
        <v>23</v>
      </c>
      <c r="D3555" s="1" t="s">
        <v>9</v>
      </c>
      <c r="E3555" s="1">
        <v>6</v>
      </c>
      <c r="F3555" s="1">
        <v>173.37</v>
      </c>
      <c r="G3555" s="1">
        <v>39.35</v>
      </c>
      <c r="H3555">
        <f t="shared" si="55"/>
        <v>1040.22</v>
      </c>
    </row>
    <row r="3556" spans="1:8" x14ac:dyDescent="0.25">
      <c r="A3556" s="1" t="s">
        <v>3569</v>
      </c>
      <c r="B3556" s="5">
        <v>45806.083333333336</v>
      </c>
      <c r="C3556" s="1" t="s">
        <v>11</v>
      </c>
      <c r="D3556" s="1" t="s">
        <v>16</v>
      </c>
      <c r="E3556" s="1">
        <v>3</v>
      </c>
      <c r="F3556" s="1">
        <v>332.77</v>
      </c>
      <c r="G3556" s="1">
        <v>38.299999999999997</v>
      </c>
      <c r="H3556">
        <f t="shared" si="55"/>
        <v>998.31</v>
      </c>
    </row>
    <row r="3557" spans="1:8" x14ac:dyDescent="0.25">
      <c r="A3557" s="1" t="s">
        <v>3570</v>
      </c>
      <c r="B3557" s="5">
        <v>45806.125</v>
      </c>
      <c r="C3557" s="1" t="s">
        <v>11</v>
      </c>
      <c r="D3557" s="1" t="s">
        <v>19</v>
      </c>
      <c r="E3557" s="1">
        <v>6</v>
      </c>
      <c r="F3557" s="1">
        <v>145.26</v>
      </c>
      <c r="G3557" s="1">
        <v>42.36</v>
      </c>
      <c r="H3557">
        <f t="shared" si="55"/>
        <v>871.56</v>
      </c>
    </row>
    <row r="3558" spans="1:8" x14ac:dyDescent="0.25">
      <c r="A3558" s="1" t="s">
        <v>3571</v>
      </c>
      <c r="B3558" s="5">
        <v>45806.166666666664</v>
      </c>
      <c r="C3558" s="1" t="s">
        <v>13</v>
      </c>
      <c r="D3558" s="1" t="s">
        <v>19</v>
      </c>
      <c r="E3558" s="1">
        <v>16</v>
      </c>
      <c r="F3558" s="1">
        <v>251.39</v>
      </c>
      <c r="G3558" s="1">
        <v>42.87</v>
      </c>
      <c r="H3558">
        <f t="shared" si="55"/>
        <v>4022.24</v>
      </c>
    </row>
    <row r="3559" spans="1:8" x14ac:dyDescent="0.25">
      <c r="A3559" s="1" t="s">
        <v>3572</v>
      </c>
      <c r="B3559" s="5">
        <v>45806.208333333336</v>
      </c>
      <c r="C3559" s="1" t="s">
        <v>13</v>
      </c>
      <c r="D3559" s="1" t="s">
        <v>16</v>
      </c>
      <c r="E3559" s="1">
        <v>2</v>
      </c>
      <c r="F3559" s="1">
        <v>203.79</v>
      </c>
      <c r="G3559" s="1">
        <v>30.49</v>
      </c>
      <c r="H3559">
        <f t="shared" si="55"/>
        <v>407.58</v>
      </c>
    </row>
    <row r="3560" spans="1:8" x14ac:dyDescent="0.25">
      <c r="A3560" s="1" t="s">
        <v>3573</v>
      </c>
      <c r="B3560" s="5">
        <v>45806.25</v>
      </c>
      <c r="C3560" s="1" t="s">
        <v>23</v>
      </c>
      <c r="D3560" s="1" t="s">
        <v>19</v>
      </c>
      <c r="E3560" s="1">
        <v>7</v>
      </c>
      <c r="F3560" s="1">
        <v>135.69</v>
      </c>
      <c r="G3560" s="1">
        <v>40.1</v>
      </c>
      <c r="H3560">
        <f t="shared" si="55"/>
        <v>949.82999999999993</v>
      </c>
    </row>
    <row r="3561" spans="1:8" x14ac:dyDescent="0.25">
      <c r="A3561" s="1" t="s">
        <v>3574</v>
      </c>
      <c r="B3561" s="5">
        <v>45806.291666666664</v>
      </c>
      <c r="C3561" s="1" t="s">
        <v>23</v>
      </c>
      <c r="D3561" s="1" t="s">
        <v>16</v>
      </c>
      <c r="E3561" s="1">
        <v>11</v>
      </c>
      <c r="F3561" s="1">
        <v>439</v>
      </c>
      <c r="G3561" s="1">
        <v>27.16</v>
      </c>
      <c r="H3561">
        <f t="shared" si="55"/>
        <v>4829</v>
      </c>
    </row>
    <row r="3562" spans="1:8" x14ac:dyDescent="0.25">
      <c r="A3562" s="1" t="s">
        <v>3575</v>
      </c>
      <c r="B3562" s="5">
        <v>45806.333333333336</v>
      </c>
      <c r="C3562" s="1" t="s">
        <v>23</v>
      </c>
      <c r="D3562" s="1" t="s">
        <v>37</v>
      </c>
      <c r="E3562" s="1">
        <v>7</v>
      </c>
      <c r="F3562" s="1">
        <v>127.93</v>
      </c>
      <c r="G3562" s="1">
        <v>47.82</v>
      </c>
      <c r="H3562">
        <f t="shared" si="55"/>
        <v>895.51</v>
      </c>
    </row>
    <row r="3563" spans="1:8" x14ac:dyDescent="0.25">
      <c r="A3563" s="1" t="s">
        <v>3576</v>
      </c>
      <c r="B3563" s="5">
        <v>45806.375</v>
      </c>
      <c r="C3563" s="1" t="s">
        <v>11</v>
      </c>
      <c r="D3563" s="1" t="s">
        <v>16</v>
      </c>
      <c r="E3563" s="1">
        <v>4</v>
      </c>
      <c r="F3563" s="1">
        <v>149.88999999999999</v>
      </c>
      <c r="G3563" s="1">
        <v>13.58</v>
      </c>
      <c r="H3563">
        <f t="shared" si="55"/>
        <v>599.55999999999995</v>
      </c>
    </row>
    <row r="3564" spans="1:8" x14ac:dyDescent="0.25">
      <c r="A3564" s="1" t="s">
        <v>3577</v>
      </c>
      <c r="B3564" s="5">
        <v>45806.416666666664</v>
      </c>
      <c r="C3564" s="1" t="s">
        <v>11</v>
      </c>
      <c r="D3564" s="1" t="s">
        <v>19</v>
      </c>
      <c r="E3564" s="1">
        <v>7</v>
      </c>
      <c r="F3564" s="1">
        <v>85.71</v>
      </c>
      <c r="G3564" s="1">
        <v>46.2</v>
      </c>
      <c r="H3564">
        <f t="shared" si="55"/>
        <v>599.96999999999991</v>
      </c>
    </row>
    <row r="3565" spans="1:8" x14ac:dyDescent="0.25">
      <c r="A3565" s="1" t="s">
        <v>3578</v>
      </c>
      <c r="B3565" s="5">
        <v>45806.458333333336</v>
      </c>
      <c r="C3565" s="1" t="s">
        <v>11</v>
      </c>
      <c r="D3565" s="1" t="s">
        <v>16</v>
      </c>
      <c r="E3565" s="1">
        <v>4</v>
      </c>
      <c r="F3565" s="1">
        <v>373.09</v>
      </c>
      <c r="G3565" s="1">
        <v>16.63</v>
      </c>
      <c r="H3565">
        <f t="shared" si="55"/>
        <v>1492.36</v>
      </c>
    </row>
    <row r="3566" spans="1:8" x14ac:dyDescent="0.25">
      <c r="A3566" s="1" t="s">
        <v>3579</v>
      </c>
      <c r="B3566" s="5">
        <v>45806.5</v>
      </c>
      <c r="C3566" s="1" t="s">
        <v>13</v>
      </c>
      <c r="D3566" s="1" t="s">
        <v>9</v>
      </c>
      <c r="E3566" s="1">
        <v>12</v>
      </c>
      <c r="F3566" s="1">
        <v>270.37</v>
      </c>
      <c r="G3566" s="1">
        <v>9.6199999999999992</v>
      </c>
      <c r="H3566">
        <f t="shared" si="55"/>
        <v>3244.44</v>
      </c>
    </row>
    <row r="3567" spans="1:8" x14ac:dyDescent="0.25">
      <c r="A3567" s="1" t="s">
        <v>3580</v>
      </c>
      <c r="B3567" s="5">
        <v>45806.541666666664</v>
      </c>
      <c r="C3567" s="1" t="s">
        <v>11</v>
      </c>
      <c r="D3567" s="1" t="s">
        <v>37</v>
      </c>
      <c r="E3567" s="1">
        <v>5</v>
      </c>
      <c r="F3567" s="1">
        <v>281.87</v>
      </c>
      <c r="G3567" s="1">
        <v>24.76</v>
      </c>
      <c r="H3567">
        <f t="shared" si="55"/>
        <v>1409.35</v>
      </c>
    </row>
    <row r="3568" spans="1:8" x14ac:dyDescent="0.25">
      <c r="A3568" s="1" t="s">
        <v>3581</v>
      </c>
      <c r="B3568" s="5">
        <v>45806.583333333336</v>
      </c>
      <c r="C3568" s="1" t="s">
        <v>8</v>
      </c>
      <c r="D3568" s="1" t="s">
        <v>37</v>
      </c>
      <c r="E3568" s="1">
        <v>19</v>
      </c>
      <c r="F3568" s="1">
        <v>372.03</v>
      </c>
      <c r="G3568" s="1">
        <v>32.67</v>
      </c>
      <c r="H3568">
        <f t="shared" si="55"/>
        <v>7068.57</v>
      </c>
    </row>
    <row r="3569" spans="1:8" x14ac:dyDescent="0.25">
      <c r="A3569" s="1" t="s">
        <v>3582</v>
      </c>
      <c r="B3569" s="5">
        <v>45806.625</v>
      </c>
      <c r="C3569" s="1" t="s">
        <v>8</v>
      </c>
      <c r="D3569" s="1" t="s">
        <v>16</v>
      </c>
      <c r="E3569" s="1">
        <v>5</v>
      </c>
      <c r="F3569" s="1">
        <v>164.5</v>
      </c>
      <c r="G3569" s="1">
        <v>15.39</v>
      </c>
      <c r="H3569">
        <f t="shared" si="55"/>
        <v>822.5</v>
      </c>
    </row>
    <row r="3570" spans="1:8" x14ac:dyDescent="0.25">
      <c r="A3570" s="1" t="s">
        <v>3583</v>
      </c>
      <c r="B3570" s="5">
        <v>45806.666666666664</v>
      </c>
      <c r="C3570" s="1" t="s">
        <v>23</v>
      </c>
      <c r="D3570" s="1" t="s">
        <v>19</v>
      </c>
      <c r="E3570" s="1">
        <v>19</v>
      </c>
      <c r="F3570" s="1">
        <v>99.63</v>
      </c>
      <c r="G3570" s="1">
        <v>30.01</v>
      </c>
      <c r="H3570">
        <f t="shared" si="55"/>
        <v>1892.9699999999998</v>
      </c>
    </row>
    <row r="3571" spans="1:8" x14ac:dyDescent="0.25">
      <c r="A3571" s="1" t="s">
        <v>3584</v>
      </c>
      <c r="B3571" s="5">
        <v>45806.708333333336</v>
      </c>
      <c r="C3571" s="1" t="s">
        <v>11</v>
      </c>
      <c r="D3571" s="1" t="s">
        <v>9</v>
      </c>
      <c r="E3571" s="1">
        <v>3</v>
      </c>
      <c r="F3571" s="1">
        <v>101.71</v>
      </c>
      <c r="G3571" s="1">
        <v>41.36</v>
      </c>
      <c r="H3571">
        <f t="shared" si="55"/>
        <v>305.13</v>
      </c>
    </row>
    <row r="3572" spans="1:8" x14ac:dyDescent="0.25">
      <c r="A3572" s="1" t="s">
        <v>3585</v>
      </c>
      <c r="B3572" s="5">
        <v>45806.75</v>
      </c>
      <c r="C3572" s="1" t="s">
        <v>8</v>
      </c>
      <c r="D3572" s="1" t="s">
        <v>37</v>
      </c>
      <c r="E3572" s="1">
        <v>11</v>
      </c>
      <c r="F3572" s="1">
        <v>333.82</v>
      </c>
      <c r="G3572" s="1">
        <v>16.57</v>
      </c>
      <c r="H3572">
        <f t="shared" si="55"/>
        <v>3672.02</v>
      </c>
    </row>
    <row r="3573" spans="1:8" x14ac:dyDescent="0.25">
      <c r="A3573" s="1" t="s">
        <v>3586</v>
      </c>
      <c r="B3573" s="5">
        <v>45806.791666666664</v>
      </c>
      <c r="C3573" s="1" t="s">
        <v>23</v>
      </c>
      <c r="D3573" s="1" t="s">
        <v>37</v>
      </c>
      <c r="E3573" s="1">
        <v>7</v>
      </c>
      <c r="F3573" s="1">
        <v>282.33</v>
      </c>
      <c r="G3573" s="1">
        <v>31.11</v>
      </c>
      <c r="H3573">
        <f t="shared" si="55"/>
        <v>1976.31</v>
      </c>
    </row>
    <row r="3574" spans="1:8" x14ac:dyDescent="0.25">
      <c r="A3574" s="1" t="s">
        <v>3587</v>
      </c>
      <c r="B3574" s="5">
        <v>45806.833333333336</v>
      </c>
      <c r="C3574" s="1" t="s">
        <v>11</v>
      </c>
      <c r="D3574" s="1" t="s">
        <v>19</v>
      </c>
      <c r="E3574" s="1">
        <v>17</v>
      </c>
      <c r="F3574" s="1">
        <v>105.15</v>
      </c>
      <c r="G3574" s="1">
        <v>20.27</v>
      </c>
      <c r="H3574">
        <f t="shared" si="55"/>
        <v>1787.5500000000002</v>
      </c>
    </row>
    <row r="3575" spans="1:8" x14ac:dyDescent="0.25">
      <c r="A3575" s="1" t="s">
        <v>3588</v>
      </c>
      <c r="B3575" s="5">
        <v>45806.875</v>
      </c>
      <c r="C3575" s="1" t="s">
        <v>13</v>
      </c>
      <c r="D3575" s="1" t="s">
        <v>19</v>
      </c>
      <c r="E3575" s="1">
        <v>9</v>
      </c>
      <c r="F3575" s="1">
        <v>78.53</v>
      </c>
      <c r="G3575" s="1">
        <v>28.84</v>
      </c>
      <c r="H3575">
        <f t="shared" si="55"/>
        <v>706.77</v>
      </c>
    </row>
    <row r="3576" spans="1:8" x14ac:dyDescent="0.25">
      <c r="A3576" s="1" t="s">
        <v>3589</v>
      </c>
      <c r="B3576" s="5">
        <v>45806.916666666664</v>
      </c>
      <c r="C3576" s="1" t="s">
        <v>8</v>
      </c>
      <c r="D3576" s="1" t="s">
        <v>9</v>
      </c>
      <c r="E3576" s="1">
        <v>9</v>
      </c>
      <c r="F3576" s="1">
        <v>67.94</v>
      </c>
      <c r="G3576" s="1">
        <v>35.01</v>
      </c>
      <c r="H3576">
        <f t="shared" si="55"/>
        <v>611.46</v>
      </c>
    </row>
    <row r="3577" spans="1:8" x14ac:dyDescent="0.25">
      <c r="A3577" s="1" t="s">
        <v>3590</v>
      </c>
      <c r="B3577" s="5">
        <v>45806.958333333336</v>
      </c>
      <c r="C3577" s="1" t="s">
        <v>13</v>
      </c>
      <c r="D3577" s="1" t="s">
        <v>16</v>
      </c>
      <c r="E3577" s="1">
        <v>10</v>
      </c>
      <c r="F3577" s="1">
        <v>288.27999999999997</v>
      </c>
      <c r="G3577" s="1">
        <v>20.77</v>
      </c>
      <c r="H3577">
        <f t="shared" si="55"/>
        <v>2882.7999999999997</v>
      </c>
    </row>
    <row r="3578" spans="1:8" x14ac:dyDescent="0.25">
      <c r="A3578" s="1" t="s">
        <v>3591</v>
      </c>
      <c r="B3578" s="5">
        <v>45807</v>
      </c>
      <c r="C3578" s="1" t="s">
        <v>11</v>
      </c>
      <c r="D3578" s="1" t="s">
        <v>19</v>
      </c>
      <c r="E3578" s="1">
        <v>13</v>
      </c>
      <c r="F3578" s="1">
        <v>15.55</v>
      </c>
      <c r="G3578" s="1">
        <v>49.75</v>
      </c>
      <c r="H3578">
        <f t="shared" si="55"/>
        <v>202.15</v>
      </c>
    </row>
    <row r="3579" spans="1:8" x14ac:dyDescent="0.25">
      <c r="A3579" s="1" t="s">
        <v>3592</v>
      </c>
      <c r="B3579" s="5">
        <v>45807.041666666664</v>
      </c>
      <c r="C3579" s="1" t="s">
        <v>8</v>
      </c>
      <c r="D3579" s="1" t="s">
        <v>16</v>
      </c>
      <c r="E3579" s="1">
        <v>15</v>
      </c>
      <c r="F3579" s="1">
        <v>23.46</v>
      </c>
      <c r="G3579" s="1">
        <v>30.37</v>
      </c>
      <c r="H3579">
        <f t="shared" si="55"/>
        <v>351.90000000000003</v>
      </c>
    </row>
    <row r="3580" spans="1:8" x14ac:dyDescent="0.25">
      <c r="A3580" s="1" t="s">
        <v>3593</v>
      </c>
      <c r="B3580" s="5">
        <v>45807.083333333336</v>
      </c>
      <c r="C3580" s="1" t="s">
        <v>11</v>
      </c>
      <c r="D3580" s="1" t="s">
        <v>9</v>
      </c>
      <c r="E3580" s="1">
        <v>5</v>
      </c>
      <c r="F3580" s="1">
        <v>184.76</v>
      </c>
      <c r="G3580" s="1">
        <v>42.1</v>
      </c>
      <c r="H3580">
        <f t="shared" si="55"/>
        <v>923.8</v>
      </c>
    </row>
    <row r="3581" spans="1:8" x14ac:dyDescent="0.25">
      <c r="A3581" s="1" t="s">
        <v>3594</v>
      </c>
      <c r="B3581" s="5">
        <v>45807.125</v>
      </c>
      <c r="C3581" s="1" t="s">
        <v>13</v>
      </c>
      <c r="D3581" s="1" t="s">
        <v>16</v>
      </c>
      <c r="E3581" s="1">
        <v>3</v>
      </c>
      <c r="F3581" s="1">
        <v>315.89</v>
      </c>
      <c r="G3581" s="1">
        <v>37.630000000000003</v>
      </c>
      <c r="H3581">
        <f t="shared" si="55"/>
        <v>947.67</v>
      </c>
    </row>
    <row r="3582" spans="1:8" x14ac:dyDescent="0.25">
      <c r="A3582" s="1" t="s">
        <v>3595</v>
      </c>
      <c r="B3582" s="5">
        <v>45807.166666666664</v>
      </c>
      <c r="C3582" s="1" t="s">
        <v>8</v>
      </c>
      <c r="D3582" s="1" t="s">
        <v>37</v>
      </c>
      <c r="E3582" s="1">
        <v>8</v>
      </c>
      <c r="F3582" s="1">
        <v>317.49</v>
      </c>
      <c r="G3582" s="1">
        <v>43.38</v>
      </c>
      <c r="H3582">
        <f t="shared" si="55"/>
        <v>2539.92</v>
      </c>
    </row>
    <row r="3583" spans="1:8" x14ac:dyDescent="0.25">
      <c r="A3583" s="1" t="s">
        <v>3596</v>
      </c>
      <c r="B3583" s="5">
        <v>45807.208333333336</v>
      </c>
      <c r="C3583" s="1" t="s">
        <v>13</v>
      </c>
      <c r="D3583" s="1" t="s">
        <v>16</v>
      </c>
      <c r="E3583" s="1">
        <v>10</v>
      </c>
      <c r="F3583" s="1">
        <v>202.39</v>
      </c>
      <c r="G3583" s="1">
        <v>12.82</v>
      </c>
      <c r="H3583">
        <f t="shared" si="55"/>
        <v>2023.8999999999999</v>
      </c>
    </row>
    <row r="3584" spans="1:8" x14ac:dyDescent="0.25">
      <c r="A3584" s="1" t="s">
        <v>3597</v>
      </c>
      <c r="B3584" s="5">
        <v>45807.25</v>
      </c>
      <c r="C3584" s="1" t="s">
        <v>11</v>
      </c>
      <c r="D3584" s="1" t="s">
        <v>9</v>
      </c>
      <c r="E3584" s="1">
        <v>13</v>
      </c>
      <c r="F3584" s="1">
        <v>315.77</v>
      </c>
      <c r="G3584" s="1">
        <v>15.01</v>
      </c>
      <c r="H3584">
        <f t="shared" si="55"/>
        <v>4105.01</v>
      </c>
    </row>
    <row r="3585" spans="1:8" x14ac:dyDescent="0.25">
      <c r="A3585" s="1" t="s">
        <v>3598</v>
      </c>
      <c r="B3585" s="5">
        <v>45807.291666666664</v>
      </c>
      <c r="C3585" s="1" t="s">
        <v>11</v>
      </c>
      <c r="D3585" s="1" t="s">
        <v>9</v>
      </c>
      <c r="E3585" s="1">
        <v>3</v>
      </c>
      <c r="F3585" s="1">
        <v>241.92</v>
      </c>
      <c r="G3585" s="1">
        <v>26.93</v>
      </c>
      <c r="H3585">
        <f t="shared" si="55"/>
        <v>725.76</v>
      </c>
    </row>
    <row r="3586" spans="1:8" x14ac:dyDescent="0.25">
      <c r="A3586" s="1" t="s">
        <v>3599</v>
      </c>
      <c r="B3586" s="5">
        <v>45807.333333333336</v>
      </c>
      <c r="C3586" s="1" t="s">
        <v>13</v>
      </c>
      <c r="D3586" s="1" t="s">
        <v>9</v>
      </c>
      <c r="E3586" s="1">
        <v>8</v>
      </c>
      <c r="F3586" s="1">
        <v>439.98</v>
      </c>
      <c r="G3586" s="1">
        <v>43.35</v>
      </c>
      <c r="H3586">
        <f t="shared" ref="H3586:H3649" si="56">E3586*F3586</f>
        <v>3519.84</v>
      </c>
    </row>
    <row r="3587" spans="1:8" x14ac:dyDescent="0.25">
      <c r="A3587" s="1" t="s">
        <v>3600</v>
      </c>
      <c r="B3587" s="5">
        <v>45807.375</v>
      </c>
      <c r="C3587" s="1" t="s">
        <v>8</v>
      </c>
      <c r="D3587" s="1" t="s">
        <v>16</v>
      </c>
      <c r="E3587" s="1">
        <v>9</v>
      </c>
      <c r="F3587" s="1">
        <v>86.09</v>
      </c>
      <c r="G3587" s="1">
        <v>13.89</v>
      </c>
      <c r="H3587">
        <f t="shared" si="56"/>
        <v>774.81000000000006</v>
      </c>
    </row>
    <row r="3588" spans="1:8" x14ac:dyDescent="0.25">
      <c r="A3588" s="1" t="s">
        <v>3601</v>
      </c>
      <c r="B3588" s="5">
        <v>45807.416666666664</v>
      </c>
      <c r="C3588" s="1" t="s">
        <v>13</v>
      </c>
      <c r="D3588" s="1" t="s">
        <v>37</v>
      </c>
      <c r="E3588" s="1">
        <v>12</v>
      </c>
      <c r="F3588" s="1">
        <v>276.49</v>
      </c>
      <c r="G3588" s="1">
        <v>48.7</v>
      </c>
      <c r="H3588">
        <f t="shared" si="56"/>
        <v>3317.88</v>
      </c>
    </row>
    <row r="3589" spans="1:8" x14ac:dyDescent="0.25">
      <c r="A3589" s="1" t="s">
        <v>3602</v>
      </c>
      <c r="B3589" s="5">
        <v>45807.458333333336</v>
      </c>
      <c r="C3589" s="1" t="s">
        <v>11</v>
      </c>
      <c r="D3589" s="1" t="s">
        <v>19</v>
      </c>
      <c r="E3589" s="1">
        <v>11</v>
      </c>
      <c r="F3589" s="1">
        <v>228.94</v>
      </c>
      <c r="G3589" s="1">
        <v>10.74</v>
      </c>
      <c r="H3589">
        <f t="shared" si="56"/>
        <v>2518.34</v>
      </c>
    </row>
    <row r="3590" spans="1:8" x14ac:dyDescent="0.25">
      <c r="A3590" s="1" t="s">
        <v>3603</v>
      </c>
      <c r="B3590" s="5">
        <v>45807.5</v>
      </c>
      <c r="C3590" s="1" t="s">
        <v>13</v>
      </c>
      <c r="D3590" s="1" t="s">
        <v>37</v>
      </c>
      <c r="E3590" s="1">
        <v>2</v>
      </c>
      <c r="F3590" s="1">
        <v>100</v>
      </c>
      <c r="G3590" s="1">
        <v>12.88</v>
      </c>
      <c r="H3590">
        <f t="shared" si="56"/>
        <v>200</v>
      </c>
    </row>
    <row r="3591" spans="1:8" x14ac:dyDescent="0.25">
      <c r="A3591" s="1" t="s">
        <v>3604</v>
      </c>
      <c r="B3591" s="5">
        <v>45807.541666666664</v>
      </c>
      <c r="C3591" s="1" t="s">
        <v>11</v>
      </c>
      <c r="D3591" s="1" t="s">
        <v>16</v>
      </c>
      <c r="E3591" s="1">
        <v>18</v>
      </c>
      <c r="F3591" s="1">
        <v>341.37</v>
      </c>
      <c r="G3591" s="1">
        <v>12.53</v>
      </c>
      <c r="H3591">
        <f t="shared" si="56"/>
        <v>6144.66</v>
      </c>
    </row>
    <row r="3592" spans="1:8" x14ac:dyDescent="0.25">
      <c r="A3592" s="1" t="s">
        <v>3605</v>
      </c>
      <c r="B3592" s="5">
        <v>45807.583333333336</v>
      </c>
      <c r="C3592" s="1" t="s">
        <v>13</v>
      </c>
      <c r="D3592" s="1" t="s">
        <v>16</v>
      </c>
      <c r="E3592" s="1">
        <v>9</v>
      </c>
      <c r="F3592" s="1">
        <v>135.21</v>
      </c>
      <c r="G3592" s="1">
        <v>31.37</v>
      </c>
      <c r="H3592">
        <f t="shared" si="56"/>
        <v>1216.8900000000001</v>
      </c>
    </row>
    <row r="3593" spans="1:8" x14ac:dyDescent="0.25">
      <c r="A3593" s="1" t="s">
        <v>3606</v>
      </c>
      <c r="B3593" s="5">
        <v>45807.625</v>
      </c>
      <c r="C3593" s="1" t="s">
        <v>8</v>
      </c>
      <c r="D3593" s="1" t="s">
        <v>19</v>
      </c>
      <c r="E3593" s="1">
        <v>2</v>
      </c>
      <c r="F3593" s="1">
        <v>181.35</v>
      </c>
      <c r="G3593" s="1">
        <v>46.29</v>
      </c>
      <c r="H3593">
        <f t="shared" si="56"/>
        <v>362.7</v>
      </c>
    </row>
    <row r="3594" spans="1:8" x14ac:dyDescent="0.25">
      <c r="A3594" s="1" t="s">
        <v>3607</v>
      </c>
      <c r="B3594" s="5">
        <v>45807.666666666664</v>
      </c>
      <c r="C3594" s="1" t="s">
        <v>8</v>
      </c>
      <c r="D3594" s="1" t="s">
        <v>16</v>
      </c>
      <c r="E3594" s="1">
        <v>2</v>
      </c>
      <c r="F3594" s="1">
        <v>178.36</v>
      </c>
      <c r="G3594" s="1">
        <v>16.48</v>
      </c>
      <c r="H3594">
        <f t="shared" si="56"/>
        <v>356.72</v>
      </c>
    </row>
    <row r="3595" spans="1:8" x14ac:dyDescent="0.25">
      <c r="A3595" s="1" t="s">
        <v>3608</v>
      </c>
      <c r="B3595" s="5">
        <v>45807.708333333336</v>
      </c>
      <c r="C3595" s="1" t="s">
        <v>13</v>
      </c>
      <c r="D3595" s="1" t="s">
        <v>9</v>
      </c>
      <c r="E3595" s="1">
        <v>3</v>
      </c>
      <c r="F3595" s="1">
        <v>121.61</v>
      </c>
      <c r="G3595" s="1">
        <v>29.89</v>
      </c>
      <c r="H3595">
        <f t="shared" si="56"/>
        <v>364.83</v>
      </c>
    </row>
    <row r="3596" spans="1:8" x14ac:dyDescent="0.25">
      <c r="A3596" s="1" t="s">
        <v>3609</v>
      </c>
      <c r="B3596" s="5">
        <v>45807.75</v>
      </c>
      <c r="C3596" s="1" t="s">
        <v>13</v>
      </c>
      <c r="D3596" s="1" t="s">
        <v>9</v>
      </c>
      <c r="E3596" s="1">
        <v>16</v>
      </c>
      <c r="F3596" s="1">
        <v>202.64</v>
      </c>
      <c r="G3596" s="1">
        <v>12.91</v>
      </c>
      <c r="H3596">
        <f t="shared" si="56"/>
        <v>3242.24</v>
      </c>
    </row>
    <row r="3597" spans="1:8" x14ac:dyDescent="0.25">
      <c r="A3597" s="1" t="s">
        <v>3610</v>
      </c>
      <c r="B3597" s="5">
        <v>45807.791666666664</v>
      </c>
      <c r="C3597" s="1" t="s">
        <v>8</v>
      </c>
      <c r="D3597" s="1" t="s">
        <v>9</v>
      </c>
      <c r="E3597" s="1">
        <v>19</v>
      </c>
      <c r="F3597" s="1">
        <v>221.17</v>
      </c>
      <c r="G3597" s="1">
        <v>33.4</v>
      </c>
      <c r="H3597">
        <f t="shared" si="56"/>
        <v>4202.2299999999996</v>
      </c>
    </row>
    <row r="3598" spans="1:8" x14ac:dyDescent="0.25">
      <c r="A3598" s="1" t="s">
        <v>3611</v>
      </c>
      <c r="B3598" s="5">
        <v>45807.833333333336</v>
      </c>
      <c r="C3598" s="1" t="s">
        <v>11</v>
      </c>
      <c r="D3598" s="1" t="s">
        <v>9</v>
      </c>
      <c r="E3598" s="1">
        <v>4</v>
      </c>
      <c r="F3598" s="1">
        <v>338.86</v>
      </c>
      <c r="G3598" s="1">
        <v>10.55</v>
      </c>
      <c r="H3598">
        <f t="shared" si="56"/>
        <v>1355.44</v>
      </c>
    </row>
    <row r="3599" spans="1:8" x14ac:dyDescent="0.25">
      <c r="A3599" s="1" t="s">
        <v>3612</v>
      </c>
      <c r="B3599" s="5">
        <v>45807.875</v>
      </c>
      <c r="C3599" s="1" t="s">
        <v>8</v>
      </c>
      <c r="D3599" s="1" t="s">
        <v>9</v>
      </c>
      <c r="E3599" s="1">
        <v>18</v>
      </c>
      <c r="F3599" s="1">
        <v>347.92</v>
      </c>
      <c r="G3599" s="1">
        <v>27.11</v>
      </c>
      <c r="H3599">
        <f t="shared" si="56"/>
        <v>6262.56</v>
      </c>
    </row>
    <row r="3600" spans="1:8" x14ac:dyDescent="0.25">
      <c r="A3600" s="1" t="s">
        <v>3613</v>
      </c>
      <c r="B3600" s="5">
        <v>45807.916666666664</v>
      </c>
      <c r="C3600" s="1" t="s">
        <v>11</v>
      </c>
      <c r="D3600" s="1" t="s">
        <v>16</v>
      </c>
      <c r="E3600" s="1">
        <v>18</v>
      </c>
      <c r="F3600" s="1">
        <v>84.39</v>
      </c>
      <c r="G3600" s="1">
        <v>34.479999999999997</v>
      </c>
      <c r="H3600">
        <f t="shared" si="56"/>
        <v>1519.02</v>
      </c>
    </row>
    <row r="3601" spans="1:8" x14ac:dyDescent="0.25">
      <c r="A3601" s="1" t="s">
        <v>3614</v>
      </c>
      <c r="B3601" s="5">
        <v>45807.958333333336</v>
      </c>
      <c r="C3601" s="1" t="s">
        <v>13</v>
      </c>
      <c r="D3601" s="1" t="s">
        <v>19</v>
      </c>
      <c r="E3601" s="1">
        <v>10</v>
      </c>
      <c r="F3601" s="1">
        <v>273.06</v>
      </c>
      <c r="G3601" s="1">
        <v>31.06</v>
      </c>
      <c r="H3601">
        <f t="shared" si="56"/>
        <v>2730.6</v>
      </c>
    </row>
    <row r="3602" spans="1:8" x14ac:dyDescent="0.25">
      <c r="A3602" s="1" t="s">
        <v>3615</v>
      </c>
      <c r="B3602" s="5">
        <v>45808</v>
      </c>
      <c r="C3602" s="1" t="s">
        <v>13</v>
      </c>
      <c r="D3602" s="1" t="s">
        <v>19</v>
      </c>
      <c r="E3602" s="1">
        <v>11</v>
      </c>
      <c r="F3602" s="1">
        <v>404.9</v>
      </c>
      <c r="G3602" s="1">
        <v>11.3</v>
      </c>
      <c r="H3602">
        <f t="shared" si="56"/>
        <v>4453.8999999999996</v>
      </c>
    </row>
    <row r="3603" spans="1:8" x14ac:dyDescent="0.25">
      <c r="A3603" s="1" t="s">
        <v>3616</v>
      </c>
      <c r="B3603" s="5">
        <v>45808.041666666664</v>
      </c>
      <c r="C3603" s="1" t="s">
        <v>11</v>
      </c>
      <c r="D3603" s="1" t="s">
        <v>9</v>
      </c>
      <c r="E3603" s="1">
        <v>17</v>
      </c>
      <c r="F3603" s="1">
        <v>62.77</v>
      </c>
      <c r="G3603" s="1">
        <v>12.26</v>
      </c>
      <c r="H3603">
        <f t="shared" si="56"/>
        <v>1067.0900000000001</v>
      </c>
    </row>
    <row r="3604" spans="1:8" x14ac:dyDescent="0.25">
      <c r="A3604" s="1" t="s">
        <v>3617</v>
      </c>
      <c r="B3604" s="5">
        <v>45808.083333333336</v>
      </c>
      <c r="C3604" s="1" t="s">
        <v>13</v>
      </c>
      <c r="D3604" s="1" t="s">
        <v>16</v>
      </c>
      <c r="E3604" s="1">
        <v>16</v>
      </c>
      <c r="F3604" s="1">
        <v>220.98</v>
      </c>
      <c r="G3604" s="1">
        <v>35.21</v>
      </c>
      <c r="H3604">
        <f t="shared" si="56"/>
        <v>3535.68</v>
      </c>
    </row>
    <row r="3605" spans="1:8" x14ac:dyDescent="0.25">
      <c r="A3605" s="1" t="s">
        <v>3618</v>
      </c>
      <c r="B3605" s="5">
        <v>45808.125</v>
      </c>
      <c r="C3605" s="1" t="s">
        <v>11</v>
      </c>
      <c r="D3605" s="1" t="s">
        <v>37</v>
      </c>
      <c r="E3605" s="1">
        <v>13</v>
      </c>
      <c r="F3605" s="1">
        <v>341.53</v>
      </c>
      <c r="G3605" s="1">
        <v>41.4</v>
      </c>
      <c r="H3605">
        <f t="shared" si="56"/>
        <v>4439.8899999999994</v>
      </c>
    </row>
    <row r="3606" spans="1:8" x14ac:dyDescent="0.25">
      <c r="A3606" s="1" t="s">
        <v>3619</v>
      </c>
      <c r="B3606" s="5">
        <v>45808.166666666664</v>
      </c>
      <c r="C3606" s="1" t="s">
        <v>23</v>
      </c>
      <c r="D3606" s="1" t="s">
        <v>37</v>
      </c>
      <c r="E3606" s="1">
        <v>2</v>
      </c>
      <c r="F3606" s="1">
        <v>281.19</v>
      </c>
      <c r="G3606" s="1">
        <v>45.86</v>
      </c>
      <c r="H3606">
        <f t="shared" si="56"/>
        <v>562.38</v>
      </c>
    </row>
    <row r="3607" spans="1:8" x14ac:dyDescent="0.25">
      <c r="A3607" s="1" t="s">
        <v>3620</v>
      </c>
      <c r="B3607" s="5">
        <v>45808.208333333336</v>
      </c>
      <c r="C3607" s="1" t="s">
        <v>8</v>
      </c>
      <c r="D3607" s="1" t="s">
        <v>16</v>
      </c>
      <c r="E3607" s="1">
        <v>2</v>
      </c>
      <c r="F3607" s="1">
        <v>59.2</v>
      </c>
      <c r="G3607" s="1">
        <v>41.61</v>
      </c>
      <c r="H3607">
        <f t="shared" si="56"/>
        <v>118.4</v>
      </c>
    </row>
    <row r="3608" spans="1:8" x14ac:dyDescent="0.25">
      <c r="A3608" s="1" t="s">
        <v>3621</v>
      </c>
      <c r="B3608" s="5">
        <v>45808.25</v>
      </c>
      <c r="C3608" s="1" t="s">
        <v>23</v>
      </c>
      <c r="D3608" s="1" t="s">
        <v>9</v>
      </c>
      <c r="E3608" s="1">
        <v>14</v>
      </c>
      <c r="F3608" s="1">
        <v>187.83</v>
      </c>
      <c r="G3608" s="1">
        <v>48.83</v>
      </c>
      <c r="H3608">
        <f t="shared" si="56"/>
        <v>2629.6200000000003</v>
      </c>
    </row>
    <row r="3609" spans="1:8" x14ac:dyDescent="0.25">
      <c r="A3609" s="1" t="s">
        <v>3622</v>
      </c>
      <c r="B3609" s="5">
        <v>45808.291666666664</v>
      </c>
      <c r="C3609" s="1" t="s">
        <v>11</v>
      </c>
      <c r="D3609" s="1" t="s">
        <v>19</v>
      </c>
      <c r="E3609" s="1">
        <v>4</v>
      </c>
      <c r="F3609" s="1">
        <v>235.9</v>
      </c>
      <c r="G3609" s="1">
        <v>23.37</v>
      </c>
      <c r="H3609">
        <f t="shared" si="56"/>
        <v>943.6</v>
      </c>
    </row>
    <row r="3610" spans="1:8" x14ac:dyDescent="0.25">
      <c r="A3610" s="1" t="s">
        <v>3623</v>
      </c>
      <c r="B3610" s="5">
        <v>45808.333333333336</v>
      </c>
      <c r="C3610" s="1" t="s">
        <v>8</v>
      </c>
      <c r="D3610" s="1" t="s">
        <v>16</v>
      </c>
      <c r="E3610" s="1">
        <v>17</v>
      </c>
      <c r="F3610" s="1">
        <v>448.19</v>
      </c>
      <c r="G3610" s="1">
        <v>19.899999999999999</v>
      </c>
      <c r="H3610">
        <f t="shared" si="56"/>
        <v>7619.23</v>
      </c>
    </row>
    <row r="3611" spans="1:8" x14ac:dyDescent="0.25">
      <c r="A3611" s="1" t="s">
        <v>3624</v>
      </c>
      <c r="B3611" s="5">
        <v>45808.375</v>
      </c>
      <c r="C3611" s="1" t="s">
        <v>11</v>
      </c>
      <c r="D3611" s="1" t="s">
        <v>37</v>
      </c>
      <c r="E3611" s="1">
        <v>13</v>
      </c>
      <c r="F3611" s="1">
        <v>93.11</v>
      </c>
      <c r="G3611" s="1">
        <v>6.27</v>
      </c>
      <c r="H3611">
        <f t="shared" si="56"/>
        <v>1210.43</v>
      </c>
    </row>
    <row r="3612" spans="1:8" x14ac:dyDescent="0.25">
      <c r="A3612" s="1" t="s">
        <v>3625</v>
      </c>
      <c r="B3612" s="5">
        <v>45808.416666666664</v>
      </c>
      <c r="C3612" s="1" t="s">
        <v>8</v>
      </c>
      <c r="D3612" s="1" t="s">
        <v>37</v>
      </c>
      <c r="E3612" s="1">
        <v>4</v>
      </c>
      <c r="F3612" s="1">
        <v>442.36</v>
      </c>
      <c r="G3612" s="1">
        <v>25.25</v>
      </c>
      <c r="H3612">
        <f t="shared" si="56"/>
        <v>1769.44</v>
      </c>
    </row>
    <row r="3613" spans="1:8" x14ac:dyDescent="0.25">
      <c r="A3613" s="1" t="s">
        <v>3626</v>
      </c>
      <c r="B3613" s="5">
        <v>45808.458333333336</v>
      </c>
      <c r="C3613" s="1" t="s">
        <v>8</v>
      </c>
      <c r="D3613" s="1" t="s">
        <v>37</v>
      </c>
      <c r="E3613" s="1">
        <v>3</v>
      </c>
      <c r="F3613" s="1">
        <v>178.94</v>
      </c>
      <c r="G3613" s="1">
        <v>34.31</v>
      </c>
      <c r="H3613">
        <f t="shared" si="56"/>
        <v>536.81999999999994</v>
      </c>
    </row>
    <row r="3614" spans="1:8" x14ac:dyDescent="0.25">
      <c r="A3614" s="1" t="s">
        <v>3627</v>
      </c>
      <c r="B3614" s="5">
        <v>45808.5</v>
      </c>
      <c r="C3614" s="1" t="s">
        <v>8</v>
      </c>
      <c r="D3614" s="1" t="s">
        <v>9</v>
      </c>
      <c r="E3614" s="1">
        <v>12</v>
      </c>
      <c r="F3614" s="1">
        <v>102.54</v>
      </c>
      <c r="G3614" s="1">
        <v>41.69</v>
      </c>
      <c r="H3614">
        <f t="shared" si="56"/>
        <v>1230.48</v>
      </c>
    </row>
    <row r="3615" spans="1:8" x14ac:dyDescent="0.25">
      <c r="A3615" s="1" t="s">
        <v>3628</v>
      </c>
      <c r="B3615" s="5">
        <v>45808.541666666664</v>
      </c>
      <c r="C3615" s="1" t="s">
        <v>8</v>
      </c>
      <c r="D3615" s="1" t="s">
        <v>37</v>
      </c>
      <c r="E3615" s="1">
        <v>8</v>
      </c>
      <c r="F3615" s="1">
        <v>195.43</v>
      </c>
      <c r="G3615" s="1">
        <v>17.04</v>
      </c>
      <c r="H3615">
        <f t="shared" si="56"/>
        <v>1563.44</v>
      </c>
    </row>
    <row r="3616" spans="1:8" x14ac:dyDescent="0.25">
      <c r="A3616" s="1" t="s">
        <v>3629</v>
      </c>
      <c r="B3616" s="5">
        <v>45808.583333333336</v>
      </c>
      <c r="C3616" s="1" t="s">
        <v>11</v>
      </c>
      <c r="D3616" s="1" t="s">
        <v>16</v>
      </c>
      <c r="E3616" s="1">
        <v>2</v>
      </c>
      <c r="F3616" s="1">
        <v>282.27999999999997</v>
      </c>
      <c r="G3616" s="1">
        <v>28.11</v>
      </c>
      <c r="H3616">
        <f t="shared" si="56"/>
        <v>564.55999999999995</v>
      </c>
    </row>
    <row r="3617" spans="1:8" x14ac:dyDescent="0.25">
      <c r="A3617" s="1" t="s">
        <v>3630</v>
      </c>
      <c r="B3617" s="5">
        <v>45808.625</v>
      </c>
      <c r="C3617" s="1" t="s">
        <v>8</v>
      </c>
      <c r="D3617" s="1" t="s">
        <v>16</v>
      </c>
      <c r="E3617" s="1">
        <v>6</v>
      </c>
      <c r="F3617" s="1">
        <v>108.26</v>
      </c>
      <c r="G3617" s="1">
        <v>34.79</v>
      </c>
      <c r="H3617">
        <f t="shared" si="56"/>
        <v>649.56000000000006</v>
      </c>
    </row>
    <row r="3618" spans="1:8" x14ac:dyDescent="0.25">
      <c r="A3618" s="1" t="s">
        <v>3631</v>
      </c>
      <c r="B3618" s="5">
        <v>45808.666666666664</v>
      </c>
      <c r="C3618" s="1" t="s">
        <v>8</v>
      </c>
      <c r="D3618" s="1" t="s">
        <v>37</v>
      </c>
      <c r="E3618" s="1">
        <v>10</v>
      </c>
      <c r="F3618" s="1">
        <v>142.13</v>
      </c>
      <c r="G3618" s="1">
        <v>29.82</v>
      </c>
      <c r="H3618">
        <f t="shared" si="56"/>
        <v>1421.3</v>
      </c>
    </row>
    <row r="3619" spans="1:8" x14ac:dyDescent="0.25">
      <c r="A3619" s="1" t="s">
        <v>3632</v>
      </c>
      <c r="B3619" s="5">
        <v>45808.708333333336</v>
      </c>
      <c r="C3619" s="1" t="s">
        <v>23</v>
      </c>
      <c r="D3619" s="1" t="s">
        <v>16</v>
      </c>
      <c r="E3619" s="1">
        <v>12</v>
      </c>
      <c r="F3619" s="1">
        <v>386.8</v>
      </c>
      <c r="G3619" s="1">
        <v>17.329999999999998</v>
      </c>
      <c r="H3619">
        <f t="shared" si="56"/>
        <v>4641.6000000000004</v>
      </c>
    </row>
    <row r="3620" spans="1:8" x14ac:dyDescent="0.25">
      <c r="A3620" s="1" t="s">
        <v>3633</v>
      </c>
      <c r="B3620" s="5">
        <v>45808.75</v>
      </c>
      <c r="C3620" s="1" t="s">
        <v>13</v>
      </c>
      <c r="D3620" s="1" t="s">
        <v>37</v>
      </c>
      <c r="E3620" s="1">
        <v>10</v>
      </c>
      <c r="F3620" s="1">
        <v>449.57</v>
      </c>
      <c r="G3620" s="1">
        <v>40.83</v>
      </c>
      <c r="H3620">
        <f t="shared" si="56"/>
        <v>4495.7</v>
      </c>
    </row>
    <row r="3621" spans="1:8" x14ac:dyDescent="0.25">
      <c r="A3621" s="1" t="s">
        <v>3634</v>
      </c>
      <c r="B3621" s="5">
        <v>45808.791666666664</v>
      </c>
      <c r="C3621" s="1" t="s">
        <v>13</v>
      </c>
      <c r="D3621" s="1" t="s">
        <v>37</v>
      </c>
      <c r="E3621" s="1">
        <v>10</v>
      </c>
      <c r="F3621" s="1">
        <v>153.75</v>
      </c>
      <c r="G3621" s="1">
        <v>12.8</v>
      </c>
      <c r="H3621">
        <f t="shared" si="56"/>
        <v>1537.5</v>
      </c>
    </row>
    <row r="3622" spans="1:8" x14ac:dyDescent="0.25">
      <c r="A3622" s="1" t="s">
        <v>3635</v>
      </c>
      <c r="B3622" s="5">
        <v>45808.833333333336</v>
      </c>
      <c r="C3622" s="1" t="s">
        <v>23</v>
      </c>
      <c r="D3622" s="1" t="s">
        <v>19</v>
      </c>
      <c r="E3622" s="1">
        <v>3</v>
      </c>
      <c r="F3622" s="1">
        <v>80.180000000000007</v>
      </c>
      <c r="G3622" s="1">
        <v>45.72</v>
      </c>
      <c r="H3622">
        <f t="shared" si="56"/>
        <v>240.54000000000002</v>
      </c>
    </row>
    <row r="3623" spans="1:8" x14ac:dyDescent="0.25">
      <c r="A3623" s="1" t="s">
        <v>3636</v>
      </c>
      <c r="B3623" s="5">
        <v>45808.875</v>
      </c>
      <c r="C3623" s="1" t="s">
        <v>23</v>
      </c>
      <c r="D3623" s="1" t="s">
        <v>9</v>
      </c>
      <c r="E3623" s="1">
        <v>10</v>
      </c>
      <c r="F3623" s="1">
        <v>360.13</v>
      </c>
      <c r="G3623" s="1">
        <v>47.87</v>
      </c>
      <c r="H3623">
        <f t="shared" si="56"/>
        <v>3601.3</v>
      </c>
    </row>
    <row r="3624" spans="1:8" x14ac:dyDescent="0.25">
      <c r="A3624" s="1" t="s">
        <v>3637</v>
      </c>
      <c r="B3624" s="5">
        <v>45808.916666666664</v>
      </c>
      <c r="C3624" s="1" t="s">
        <v>11</v>
      </c>
      <c r="D3624" s="1" t="s">
        <v>9</v>
      </c>
      <c r="E3624" s="1">
        <v>9</v>
      </c>
      <c r="F3624" s="1">
        <v>276.39999999999998</v>
      </c>
      <c r="G3624" s="1">
        <v>21.45</v>
      </c>
      <c r="H3624">
        <f t="shared" si="56"/>
        <v>2487.6</v>
      </c>
    </row>
    <row r="3625" spans="1:8" x14ac:dyDescent="0.25">
      <c r="A3625" s="1" t="s">
        <v>3638</v>
      </c>
      <c r="B3625" s="5">
        <v>45808.958333333336</v>
      </c>
      <c r="C3625" s="1" t="s">
        <v>11</v>
      </c>
      <c r="D3625" s="1" t="s">
        <v>19</v>
      </c>
      <c r="E3625" s="1">
        <v>19</v>
      </c>
      <c r="F3625" s="1">
        <v>59.12</v>
      </c>
      <c r="G3625" s="1">
        <v>21.93</v>
      </c>
      <c r="H3625">
        <f t="shared" si="56"/>
        <v>1123.28</v>
      </c>
    </row>
    <row r="3626" spans="1:8" x14ac:dyDescent="0.25">
      <c r="A3626" s="1" t="s">
        <v>3639</v>
      </c>
      <c r="B3626" s="5">
        <v>45809</v>
      </c>
      <c r="C3626" s="1" t="s">
        <v>11</v>
      </c>
      <c r="D3626" s="1" t="s">
        <v>19</v>
      </c>
      <c r="E3626" s="1">
        <v>14</v>
      </c>
      <c r="F3626" s="1">
        <v>426.87</v>
      </c>
      <c r="G3626" s="1">
        <v>38.450000000000003</v>
      </c>
      <c r="H3626">
        <f t="shared" si="56"/>
        <v>5976.18</v>
      </c>
    </row>
    <row r="3627" spans="1:8" x14ac:dyDescent="0.25">
      <c r="A3627" s="1" t="s">
        <v>3640</v>
      </c>
      <c r="B3627" s="5">
        <v>45809.041666666664</v>
      </c>
      <c r="C3627" s="1" t="s">
        <v>23</v>
      </c>
      <c r="D3627" s="1" t="s">
        <v>9</v>
      </c>
      <c r="E3627" s="1">
        <v>2</v>
      </c>
      <c r="F3627" s="1">
        <v>49.41</v>
      </c>
      <c r="G3627" s="1">
        <v>25.53</v>
      </c>
      <c r="H3627">
        <f t="shared" si="56"/>
        <v>98.82</v>
      </c>
    </row>
    <row r="3628" spans="1:8" x14ac:dyDescent="0.25">
      <c r="A3628" s="1" t="s">
        <v>3641</v>
      </c>
      <c r="B3628" s="5">
        <v>45809.083333333336</v>
      </c>
      <c r="C3628" s="1" t="s">
        <v>23</v>
      </c>
      <c r="D3628" s="1" t="s">
        <v>37</v>
      </c>
      <c r="E3628" s="1">
        <v>5</v>
      </c>
      <c r="F3628" s="1">
        <v>287.22000000000003</v>
      </c>
      <c r="G3628" s="1">
        <v>6.29</v>
      </c>
      <c r="H3628">
        <f t="shared" si="56"/>
        <v>1436.1000000000001</v>
      </c>
    </row>
    <row r="3629" spans="1:8" x14ac:dyDescent="0.25">
      <c r="A3629" s="1" t="s">
        <v>3642</v>
      </c>
      <c r="B3629" s="5">
        <v>45809.125</v>
      </c>
      <c r="C3629" s="1" t="s">
        <v>8</v>
      </c>
      <c r="D3629" s="1" t="s">
        <v>37</v>
      </c>
      <c r="E3629" s="1">
        <v>8</v>
      </c>
      <c r="F3629" s="1">
        <v>199.7</v>
      </c>
      <c r="G3629" s="1">
        <v>46.39</v>
      </c>
      <c r="H3629">
        <f t="shared" si="56"/>
        <v>1597.6</v>
      </c>
    </row>
    <row r="3630" spans="1:8" x14ac:dyDescent="0.25">
      <c r="A3630" s="1" t="s">
        <v>3643</v>
      </c>
      <c r="B3630" s="5">
        <v>45809.166666666664</v>
      </c>
      <c r="C3630" s="1" t="s">
        <v>11</v>
      </c>
      <c r="D3630" s="1" t="s">
        <v>9</v>
      </c>
      <c r="E3630" s="1">
        <v>7</v>
      </c>
      <c r="F3630" s="1">
        <v>257.35000000000002</v>
      </c>
      <c r="G3630" s="1">
        <v>24.38</v>
      </c>
      <c r="H3630">
        <f t="shared" si="56"/>
        <v>1801.4500000000003</v>
      </c>
    </row>
    <row r="3631" spans="1:8" x14ac:dyDescent="0.25">
      <c r="A3631" s="1" t="s">
        <v>3644</v>
      </c>
      <c r="B3631" s="5">
        <v>45809.208333333336</v>
      </c>
      <c r="C3631" s="1" t="s">
        <v>11</v>
      </c>
      <c r="D3631" s="1" t="s">
        <v>37</v>
      </c>
      <c r="E3631" s="1">
        <v>6</v>
      </c>
      <c r="F3631" s="1">
        <v>108.14</v>
      </c>
      <c r="G3631" s="1">
        <v>14.16</v>
      </c>
      <c r="H3631">
        <f t="shared" si="56"/>
        <v>648.84</v>
      </c>
    </row>
    <row r="3632" spans="1:8" x14ac:dyDescent="0.25">
      <c r="A3632" s="1" t="s">
        <v>3645</v>
      </c>
      <c r="B3632" s="5">
        <v>45809.25</v>
      </c>
      <c r="C3632" s="1" t="s">
        <v>11</v>
      </c>
      <c r="D3632" s="1" t="s">
        <v>19</v>
      </c>
      <c r="E3632" s="1">
        <v>11</v>
      </c>
      <c r="F3632" s="1">
        <v>314.48</v>
      </c>
      <c r="G3632" s="1">
        <v>30</v>
      </c>
      <c r="H3632">
        <f t="shared" si="56"/>
        <v>3459.28</v>
      </c>
    </row>
    <row r="3633" spans="1:8" x14ac:dyDescent="0.25">
      <c r="A3633" s="1" t="s">
        <v>3646</v>
      </c>
      <c r="B3633" s="5">
        <v>45809.291666666664</v>
      </c>
      <c r="C3633" s="1" t="s">
        <v>13</v>
      </c>
      <c r="D3633" s="1" t="s">
        <v>37</v>
      </c>
      <c r="E3633" s="1">
        <v>12</v>
      </c>
      <c r="F3633" s="1">
        <v>432.5</v>
      </c>
      <c r="G3633" s="1">
        <v>14.85</v>
      </c>
      <c r="H3633">
        <f t="shared" si="56"/>
        <v>5190</v>
      </c>
    </row>
    <row r="3634" spans="1:8" x14ac:dyDescent="0.25">
      <c r="A3634" s="1" t="s">
        <v>3647</v>
      </c>
      <c r="B3634" s="5">
        <v>45809.333333333336</v>
      </c>
      <c r="C3634" s="1" t="s">
        <v>8</v>
      </c>
      <c r="D3634" s="1" t="s">
        <v>37</v>
      </c>
      <c r="E3634" s="1">
        <v>18</v>
      </c>
      <c r="F3634" s="1">
        <v>214.69</v>
      </c>
      <c r="G3634" s="1">
        <v>14.27</v>
      </c>
      <c r="H3634">
        <f t="shared" si="56"/>
        <v>3864.42</v>
      </c>
    </row>
    <row r="3635" spans="1:8" x14ac:dyDescent="0.25">
      <c r="A3635" s="1" t="s">
        <v>3648</v>
      </c>
      <c r="B3635" s="5">
        <v>45809.375</v>
      </c>
      <c r="C3635" s="1" t="s">
        <v>11</v>
      </c>
      <c r="D3635" s="1" t="s">
        <v>16</v>
      </c>
      <c r="E3635" s="1">
        <v>19</v>
      </c>
      <c r="F3635" s="1">
        <v>242.73</v>
      </c>
      <c r="G3635" s="1">
        <v>29.56</v>
      </c>
      <c r="H3635">
        <f t="shared" si="56"/>
        <v>4611.87</v>
      </c>
    </row>
    <row r="3636" spans="1:8" x14ac:dyDescent="0.25">
      <c r="A3636" s="1" t="s">
        <v>3649</v>
      </c>
      <c r="B3636" s="5">
        <v>45809.416666666664</v>
      </c>
      <c r="C3636" s="1" t="s">
        <v>11</v>
      </c>
      <c r="D3636" s="1" t="s">
        <v>16</v>
      </c>
      <c r="E3636" s="1">
        <v>10</v>
      </c>
      <c r="F3636" s="1">
        <v>119.7</v>
      </c>
      <c r="G3636" s="1">
        <v>22.6</v>
      </c>
      <c r="H3636">
        <f t="shared" si="56"/>
        <v>1197</v>
      </c>
    </row>
    <row r="3637" spans="1:8" x14ac:dyDescent="0.25">
      <c r="A3637" s="1" t="s">
        <v>3650</v>
      </c>
      <c r="B3637" s="5">
        <v>45809.458333333336</v>
      </c>
      <c r="C3637" s="1" t="s">
        <v>11</v>
      </c>
      <c r="D3637" s="1" t="s">
        <v>16</v>
      </c>
      <c r="E3637" s="1">
        <v>14</v>
      </c>
      <c r="F3637" s="1">
        <v>403.02</v>
      </c>
      <c r="G3637" s="1">
        <v>30.78</v>
      </c>
      <c r="H3637">
        <f t="shared" si="56"/>
        <v>5642.28</v>
      </c>
    </row>
    <row r="3638" spans="1:8" x14ac:dyDescent="0.25">
      <c r="A3638" s="1" t="s">
        <v>3651</v>
      </c>
      <c r="B3638" s="5">
        <v>45809.5</v>
      </c>
      <c r="C3638" s="1" t="s">
        <v>13</v>
      </c>
      <c r="D3638" s="1" t="s">
        <v>37</v>
      </c>
      <c r="E3638" s="1">
        <v>3</v>
      </c>
      <c r="F3638" s="1">
        <v>437.48</v>
      </c>
      <c r="G3638" s="1">
        <v>49.86</v>
      </c>
      <c r="H3638">
        <f t="shared" si="56"/>
        <v>1312.44</v>
      </c>
    </row>
    <row r="3639" spans="1:8" x14ac:dyDescent="0.25">
      <c r="A3639" s="1" t="s">
        <v>3652</v>
      </c>
      <c r="B3639" s="5">
        <v>45809.541666666664</v>
      </c>
      <c r="C3639" s="1" t="s">
        <v>13</v>
      </c>
      <c r="D3639" s="1" t="s">
        <v>9</v>
      </c>
      <c r="E3639" s="1">
        <v>18</v>
      </c>
      <c r="F3639" s="1">
        <v>357.15</v>
      </c>
      <c r="G3639" s="1">
        <v>43.66</v>
      </c>
      <c r="H3639">
        <f t="shared" si="56"/>
        <v>6428.7</v>
      </c>
    </row>
    <row r="3640" spans="1:8" x14ac:dyDescent="0.25">
      <c r="A3640" s="1" t="s">
        <v>3653</v>
      </c>
      <c r="B3640" s="5">
        <v>45809.583333333336</v>
      </c>
      <c r="C3640" s="1" t="s">
        <v>23</v>
      </c>
      <c r="D3640" s="1" t="s">
        <v>19</v>
      </c>
      <c r="E3640" s="1">
        <v>15</v>
      </c>
      <c r="F3640" s="1">
        <v>251.34</v>
      </c>
      <c r="G3640" s="1">
        <v>5.35</v>
      </c>
      <c r="H3640">
        <f t="shared" si="56"/>
        <v>3770.1</v>
      </c>
    </row>
    <row r="3641" spans="1:8" x14ac:dyDescent="0.25">
      <c r="A3641" s="1" t="s">
        <v>3654</v>
      </c>
      <c r="B3641" s="5">
        <v>45809.625</v>
      </c>
      <c r="C3641" s="1" t="s">
        <v>8</v>
      </c>
      <c r="D3641" s="1" t="s">
        <v>37</v>
      </c>
      <c r="E3641" s="1">
        <v>6</v>
      </c>
      <c r="F3641" s="1">
        <v>431.23</v>
      </c>
      <c r="G3641" s="1">
        <v>7.28</v>
      </c>
      <c r="H3641">
        <f t="shared" si="56"/>
        <v>2587.38</v>
      </c>
    </row>
    <row r="3642" spans="1:8" x14ac:dyDescent="0.25">
      <c r="A3642" s="1" t="s">
        <v>3655</v>
      </c>
      <c r="B3642" s="5">
        <v>45809.666666666664</v>
      </c>
      <c r="C3642" s="1" t="s">
        <v>23</v>
      </c>
      <c r="D3642" s="1" t="s">
        <v>9</v>
      </c>
      <c r="E3642" s="1">
        <v>10</v>
      </c>
      <c r="F3642" s="1">
        <v>82.35</v>
      </c>
      <c r="G3642" s="1">
        <v>32.450000000000003</v>
      </c>
      <c r="H3642">
        <f t="shared" si="56"/>
        <v>823.5</v>
      </c>
    </row>
    <row r="3643" spans="1:8" x14ac:dyDescent="0.25">
      <c r="A3643" s="1" t="s">
        <v>3656</v>
      </c>
      <c r="B3643" s="5">
        <v>45809.708333333336</v>
      </c>
      <c r="C3643" s="1" t="s">
        <v>8</v>
      </c>
      <c r="D3643" s="1" t="s">
        <v>37</v>
      </c>
      <c r="E3643" s="1">
        <v>12</v>
      </c>
      <c r="F3643" s="1">
        <v>223.4</v>
      </c>
      <c r="G3643" s="1">
        <v>33.18</v>
      </c>
      <c r="H3643">
        <f t="shared" si="56"/>
        <v>2680.8</v>
      </c>
    </row>
    <row r="3644" spans="1:8" x14ac:dyDescent="0.25">
      <c r="A3644" s="1" t="s">
        <v>3657</v>
      </c>
      <c r="B3644" s="5">
        <v>45809.75</v>
      </c>
      <c r="C3644" s="1" t="s">
        <v>13</v>
      </c>
      <c r="D3644" s="1" t="s">
        <v>19</v>
      </c>
      <c r="E3644" s="1">
        <v>7</v>
      </c>
      <c r="F3644" s="1">
        <v>249.09</v>
      </c>
      <c r="G3644" s="1">
        <v>44.52</v>
      </c>
      <c r="H3644">
        <f t="shared" si="56"/>
        <v>1743.63</v>
      </c>
    </row>
    <row r="3645" spans="1:8" x14ac:dyDescent="0.25">
      <c r="A3645" s="1" t="s">
        <v>3658</v>
      </c>
      <c r="B3645" s="5">
        <v>45809.791666666664</v>
      </c>
      <c r="C3645" s="1" t="s">
        <v>11</v>
      </c>
      <c r="D3645" s="1" t="s">
        <v>37</v>
      </c>
      <c r="E3645" s="1">
        <v>17</v>
      </c>
      <c r="F3645" s="1">
        <v>229.24</v>
      </c>
      <c r="G3645" s="1">
        <v>33.31</v>
      </c>
      <c r="H3645">
        <f t="shared" si="56"/>
        <v>3897.08</v>
      </c>
    </row>
    <row r="3646" spans="1:8" x14ac:dyDescent="0.25">
      <c r="A3646" s="1" t="s">
        <v>3659</v>
      </c>
      <c r="B3646" s="5">
        <v>45809.833333333336</v>
      </c>
      <c r="C3646" s="1" t="s">
        <v>23</v>
      </c>
      <c r="D3646" s="1" t="s">
        <v>19</v>
      </c>
      <c r="E3646" s="1">
        <v>1</v>
      </c>
      <c r="F3646" s="1">
        <v>364.15</v>
      </c>
      <c r="G3646" s="1">
        <v>15.25</v>
      </c>
      <c r="H3646">
        <f t="shared" si="56"/>
        <v>364.15</v>
      </c>
    </row>
    <row r="3647" spans="1:8" x14ac:dyDescent="0.25">
      <c r="A3647" s="1" t="s">
        <v>3660</v>
      </c>
      <c r="B3647" s="5">
        <v>45809.875</v>
      </c>
      <c r="C3647" s="1" t="s">
        <v>11</v>
      </c>
      <c r="D3647" s="1" t="s">
        <v>37</v>
      </c>
      <c r="E3647" s="1">
        <v>18</v>
      </c>
      <c r="F3647" s="1">
        <v>306.79000000000002</v>
      </c>
      <c r="G3647" s="1">
        <v>26.08</v>
      </c>
      <c r="H3647">
        <f t="shared" si="56"/>
        <v>5522.22</v>
      </c>
    </row>
    <row r="3648" spans="1:8" x14ac:dyDescent="0.25">
      <c r="A3648" s="1" t="s">
        <v>3661</v>
      </c>
      <c r="B3648" s="5">
        <v>45809.916666666664</v>
      </c>
      <c r="C3648" s="1" t="s">
        <v>23</v>
      </c>
      <c r="D3648" s="1" t="s">
        <v>19</v>
      </c>
      <c r="E3648" s="1">
        <v>15</v>
      </c>
      <c r="F3648" s="1">
        <v>70.53</v>
      </c>
      <c r="G3648" s="1">
        <v>41.4</v>
      </c>
      <c r="H3648">
        <f t="shared" si="56"/>
        <v>1057.95</v>
      </c>
    </row>
    <row r="3649" spans="1:8" x14ac:dyDescent="0.25">
      <c r="A3649" s="1" t="s">
        <v>3662</v>
      </c>
      <c r="B3649" s="5">
        <v>45809.958333333336</v>
      </c>
      <c r="C3649" s="1" t="s">
        <v>13</v>
      </c>
      <c r="D3649" s="1" t="s">
        <v>37</v>
      </c>
      <c r="E3649" s="1">
        <v>19</v>
      </c>
      <c r="F3649" s="1">
        <v>166.03</v>
      </c>
      <c r="G3649" s="1">
        <v>46.53</v>
      </c>
      <c r="H3649">
        <f t="shared" si="56"/>
        <v>3154.57</v>
      </c>
    </row>
    <row r="3650" spans="1:8" x14ac:dyDescent="0.25">
      <c r="A3650" s="1" t="s">
        <v>3663</v>
      </c>
      <c r="B3650" s="5">
        <v>45810</v>
      </c>
      <c r="C3650" s="1" t="s">
        <v>13</v>
      </c>
      <c r="D3650" s="1" t="s">
        <v>19</v>
      </c>
      <c r="E3650" s="1">
        <v>1</v>
      </c>
      <c r="F3650" s="1">
        <v>162.83000000000001</v>
      </c>
      <c r="G3650" s="1">
        <v>15.66</v>
      </c>
      <c r="H3650">
        <f t="shared" ref="H3650:H3713" si="57">E3650*F3650</f>
        <v>162.83000000000001</v>
      </c>
    </row>
    <row r="3651" spans="1:8" x14ac:dyDescent="0.25">
      <c r="A3651" s="1" t="s">
        <v>3664</v>
      </c>
      <c r="B3651" s="5">
        <v>45810.041666666664</v>
      </c>
      <c r="C3651" s="1" t="s">
        <v>13</v>
      </c>
      <c r="D3651" s="1" t="s">
        <v>16</v>
      </c>
      <c r="E3651" s="1">
        <v>5</v>
      </c>
      <c r="F3651" s="1">
        <v>261.27</v>
      </c>
      <c r="G3651" s="1">
        <v>29.28</v>
      </c>
      <c r="H3651">
        <f t="shared" si="57"/>
        <v>1306.3499999999999</v>
      </c>
    </row>
    <row r="3652" spans="1:8" x14ac:dyDescent="0.25">
      <c r="A3652" s="1" t="s">
        <v>3665</v>
      </c>
      <c r="B3652" s="5">
        <v>45810.083333333336</v>
      </c>
      <c r="C3652" s="1" t="s">
        <v>23</v>
      </c>
      <c r="D3652" s="1" t="s">
        <v>37</v>
      </c>
      <c r="E3652" s="1">
        <v>15</v>
      </c>
      <c r="F3652" s="1">
        <v>142.13999999999999</v>
      </c>
      <c r="G3652" s="1">
        <v>12.15</v>
      </c>
      <c r="H3652">
        <f t="shared" si="57"/>
        <v>2132.1</v>
      </c>
    </row>
    <row r="3653" spans="1:8" x14ac:dyDescent="0.25">
      <c r="A3653" s="1" t="s">
        <v>3666</v>
      </c>
      <c r="B3653" s="5">
        <v>45810.125</v>
      </c>
      <c r="C3653" s="1" t="s">
        <v>8</v>
      </c>
      <c r="D3653" s="1" t="s">
        <v>37</v>
      </c>
      <c r="E3653" s="1">
        <v>3</v>
      </c>
      <c r="F3653" s="1">
        <v>66.45</v>
      </c>
      <c r="G3653" s="1">
        <v>27.36</v>
      </c>
      <c r="H3653">
        <f t="shared" si="57"/>
        <v>199.35000000000002</v>
      </c>
    </row>
    <row r="3654" spans="1:8" x14ac:dyDescent="0.25">
      <c r="A3654" s="1" t="s">
        <v>3667</v>
      </c>
      <c r="B3654" s="5">
        <v>45810.166666666664</v>
      </c>
      <c r="C3654" s="1" t="s">
        <v>23</v>
      </c>
      <c r="D3654" s="1" t="s">
        <v>9</v>
      </c>
      <c r="E3654" s="1">
        <v>1</v>
      </c>
      <c r="F3654" s="1">
        <v>299.52999999999997</v>
      </c>
      <c r="G3654" s="1">
        <v>9.06</v>
      </c>
      <c r="H3654">
        <f t="shared" si="57"/>
        <v>299.52999999999997</v>
      </c>
    </row>
    <row r="3655" spans="1:8" x14ac:dyDescent="0.25">
      <c r="A3655" s="1" t="s">
        <v>3668</v>
      </c>
      <c r="B3655" s="5">
        <v>45810.208333333336</v>
      </c>
      <c r="C3655" s="1" t="s">
        <v>8</v>
      </c>
      <c r="D3655" s="1" t="s">
        <v>9</v>
      </c>
      <c r="E3655" s="1">
        <v>8</v>
      </c>
      <c r="F3655" s="1">
        <v>385.28</v>
      </c>
      <c r="G3655" s="1">
        <v>47.38</v>
      </c>
      <c r="H3655">
        <f t="shared" si="57"/>
        <v>3082.24</v>
      </c>
    </row>
    <row r="3656" spans="1:8" x14ac:dyDescent="0.25">
      <c r="A3656" s="1" t="s">
        <v>3669</v>
      </c>
      <c r="B3656" s="5">
        <v>45810.25</v>
      </c>
      <c r="C3656" s="1" t="s">
        <v>23</v>
      </c>
      <c r="D3656" s="1" t="s">
        <v>19</v>
      </c>
      <c r="E3656" s="1">
        <v>12</v>
      </c>
      <c r="F3656" s="1">
        <v>420.28</v>
      </c>
      <c r="G3656" s="1">
        <v>33.71</v>
      </c>
      <c r="H3656">
        <f t="shared" si="57"/>
        <v>5043.3599999999997</v>
      </c>
    </row>
    <row r="3657" spans="1:8" x14ac:dyDescent="0.25">
      <c r="A3657" s="1" t="s">
        <v>3670</v>
      </c>
      <c r="B3657" s="5">
        <v>45810.291666666664</v>
      </c>
      <c r="C3657" s="1" t="s">
        <v>23</v>
      </c>
      <c r="D3657" s="1" t="s">
        <v>37</v>
      </c>
      <c r="E3657" s="1">
        <v>19</v>
      </c>
      <c r="F3657" s="1">
        <v>438.09</v>
      </c>
      <c r="G3657" s="1">
        <v>43.44</v>
      </c>
      <c r="H3657">
        <f t="shared" si="57"/>
        <v>8323.7099999999991</v>
      </c>
    </row>
    <row r="3658" spans="1:8" x14ac:dyDescent="0.25">
      <c r="A3658" s="1" t="s">
        <v>3671</v>
      </c>
      <c r="B3658" s="5">
        <v>45810.333333333336</v>
      </c>
      <c r="C3658" s="1" t="s">
        <v>13</v>
      </c>
      <c r="D3658" s="1" t="s">
        <v>19</v>
      </c>
      <c r="E3658" s="1">
        <v>12</v>
      </c>
      <c r="F3658" s="1">
        <v>354.9</v>
      </c>
      <c r="G3658" s="1">
        <v>49.92</v>
      </c>
      <c r="H3658">
        <f t="shared" si="57"/>
        <v>4258.7999999999993</v>
      </c>
    </row>
    <row r="3659" spans="1:8" x14ac:dyDescent="0.25">
      <c r="A3659" s="1" t="s">
        <v>3672</v>
      </c>
      <c r="B3659" s="5">
        <v>45810.375</v>
      </c>
      <c r="C3659" s="1" t="s">
        <v>11</v>
      </c>
      <c r="D3659" s="1" t="s">
        <v>16</v>
      </c>
      <c r="E3659" s="1">
        <v>13</v>
      </c>
      <c r="F3659" s="1">
        <v>76.2</v>
      </c>
      <c r="G3659" s="1">
        <v>13.22</v>
      </c>
      <c r="H3659">
        <f t="shared" si="57"/>
        <v>990.6</v>
      </c>
    </row>
    <row r="3660" spans="1:8" x14ac:dyDescent="0.25">
      <c r="A3660" s="1" t="s">
        <v>3673</v>
      </c>
      <c r="B3660" s="5">
        <v>45810.416666666664</v>
      </c>
      <c r="C3660" s="1" t="s">
        <v>11</v>
      </c>
      <c r="D3660" s="1" t="s">
        <v>9</v>
      </c>
      <c r="E3660" s="1">
        <v>1</v>
      </c>
      <c r="F3660" s="1">
        <v>386.18</v>
      </c>
      <c r="G3660" s="1">
        <v>36.24</v>
      </c>
      <c r="H3660">
        <f t="shared" si="57"/>
        <v>386.18</v>
      </c>
    </row>
    <row r="3661" spans="1:8" x14ac:dyDescent="0.25">
      <c r="A3661" s="1" t="s">
        <v>3674</v>
      </c>
      <c r="B3661" s="5">
        <v>45810.458333333336</v>
      </c>
      <c r="C3661" s="1" t="s">
        <v>8</v>
      </c>
      <c r="D3661" s="1" t="s">
        <v>19</v>
      </c>
      <c r="E3661" s="1">
        <v>19</v>
      </c>
      <c r="F3661" s="1">
        <v>189.28</v>
      </c>
      <c r="G3661" s="1">
        <v>44.91</v>
      </c>
      <c r="H3661">
        <f t="shared" si="57"/>
        <v>3596.32</v>
      </c>
    </row>
    <row r="3662" spans="1:8" x14ac:dyDescent="0.25">
      <c r="A3662" s="1" t="s">
        <v>3675</v>
      </c>
      <c r="B3662" s="5">
        <v>45810.5</v>
      </c>
      <c r="C3662" s="1" t="s">
        <v>11</v>
      </c>
      <c r="D3662" s="1" t="s">
        <v>19</v>
      </c>
      <c r="E3662" s="1">
        <v>6</v>
      </c>
      <c r="F3662" s="1">
        <v>332.65</v>
      </c>
      <c r="G3662" s="1">
        <v>30.92</v>
      </c>
      <c r="H3662">
        <f t="shared" si="57"/>
        <v>1995.8999999999999</v>
      </c>
    </row>
    <row r="3663" spans="1:8" x14ac:dyDescent="0.25">
      <c r="A3663" s="1" t="s">
        <v>3676</v>
      </c>
      <c r="B3663" s="5">
        <v>45810.541666666664</v>
      </c>
      <c r="C3663" s="1" t="s">
        <v>23</v>
      </c>
      <c r="D3663" s="1" t="s">
        <v>9</v>
      </c>
      <c r="E3663" s="1">
        <v>8</v>
      </c>
      <c r="F3663" s="1">
        <v>246.34</v>
      </c>
      <c r="G3663" s="1">
        <v>33.79</v>
      </c>
      <c r="H3663">
        <f t="shared" si="57"/>
        <v>1970.72</v>
      </c>
    </row>
    <row r="3664" spans="1:8" x14ac:dyDescent="0.25">
      <c r="A3664" s="1" t="s">
        <v>3677</v>
      </c>
      <c r="B3664" s="5">
        <v>45810.583333333336</v>
      </c>
      <c r="C3664" s="1" t="s">
        <v>23</v>
      </c>
      <c r="D3664" s="1" t="s">
        <v>37</v>
      </c>
      <c r="E3664" s="1">
        <v>4</v>
      </c>
      <c r="F3664" s="1">
        <v>375.53</v>
      </c>
      <c r="G3664" s="1">
        <v>23.35</v>
      </c>
      <c r="H3664">
        <f t="shared" si="57"/>
        <v>1502.12</v>
      </c>
    </row>
    <row r="3665" spans="1:8" x14ac:dyDescent="0.25">
      <c r="A3665" s="1" t="s">
        <v>3678</v>
      </c>
      <c r="B3665" s="5">
        <v>45810.625</v>
      </c>
      <c r="C3665" s="1" t="s">
        <v>13</v>
      </c>
      <c r="D3665" s="1" t="s">
        <v>19</v>
      </c>
      <c r="E3665" s="1">
        <v>5</v>
      </c>
      <c r="F3665" s="1">
        <v>200.38</v>
      </c>
      <c r="G3665" s="1">
        <v>35.36</v>
      </c>
      <c r="H3665">
        <f t="shared" si="57"/>
        <v>1001.9</v>
      </c>
    </row>
    <row r="3666" spans="1:8" x14ac:dyDescent="0.25">
      <c r="A3666" s="1" t="s">
        <v>3679</v>
      </c>
      <c r="B3666" s="5">
        <v>45810.666666666664</v>
      </c>
      <c r="C3666" s="1" t="s">
        <v>13</v>
      </c>
      <c r="D3666" s="1" t="s">
        <v>9</v>
      </c>
      <c r="E3666" s="1">
        <v>7</v>
      </c>
      <c r="F3666" s="1">
        <v>42.35</v>
      </c>
      <c r="G3666" s="1">
        <v>22.8</v>
      </c>
      <c r="H3666">
        <f t="shared" si="57"/>
        <v>296.45</v>
      </c>
    </row>
    <row r="3667" spans="1:8" x14ac:dyDescent="0.25">
      <c r="A3667" s="1" t="s">
        <v>3680</v>
      </c>
      <c r="B3667" s="5">
        <v>45810.708333333336</v>
      </c>
      <c r="C3667" s="1" t="s">
        <v>11</v>
      </c>
      <c r="D3667" s="1" t="s">
        <v>37</v>
      </c>
      <c r="E3667" s="1">
        <v>4</v>
      </c>
      <c r="F3667" s="1">
        <v>257.44</v>
      </c>
      <c r="G3667" s="1">
        <v>26.45</v>
      </c>
      <c r="H3667">
        <f t="shared" si="57"/>
        <v>1029.76</v>
      </c>
    </row>
    <row r="3668" spans="1:8" x14ac:dyDescent="0.25">
      <c r="A3668" s="1" t="s">
        <v>3681</v>
      </c>
      <c r="B3668" s="5">
        <v>45810.75</v>
      </c>
      <c r="C3668" s="1" t="s">
        <v>8</v>
      </c>
      <c r="D3668" s="1" t="s">
        <v>16</v>
      </c>
      <c r="E3668" s="1">
        <v>4</v>
      </c>
      <c r="F3668" s="1">
        <v>89.93</v>
      </c>
      <c r="G3668" s="1">
        <v>9.6300000000000008</v>
      </c>
      <c r="H3668">
        <f t="shared" si="57"/>
        <v>359.72</v>
      </c>
    </row>
    <row r="3669" spans="1:8" x14ac:dyDescent="0.25">
      <c r="A3669" s="1" t="s">
        <v>3682</v>
      </c>
      <c r="B3669" s="5">
        <v>45810.791666666664</v>
      </c>
      <c r="C3669" s="1" t="s">
        <v>11</v>
      </c>
      <c r="D3669" s="1" t="s">
        <v>9</v>
      </c>
      <c r="E3669" s="1">
        <v>15</v>
      </c>
      <c r="F3669" s="1">
        <v>435.02</v>
      </c>
      <c r="G3669" s="1">
        <v>5.35</v>
      </c>
      <c r="H3669">
        <f t="shared" si="57"/>
        <v>6525.2999999999993</v>
      </c>
    </row>
    <row r="3670" spans="1:8" x14ac:dyDescent="0.25">
      <c r="A3670" s="1" t="s">
        <v>3683</v>
      </c>
      <c r="B3670" s="5">
        <v>45810.833333333336</v>
      </c>
      <c r="C3670" s="1" t="s">
        <v>11</v>
      </c>
      <c r="D3670" s="1" t="s">
        <v>19</v>
      </c>
      <c r="E3670" s="1">
        <v>5</v>
      </c>
      <c r="F3670" s="1">
        <v>244.47</v>
      </c>
      <c r="G3670" s="1">
        <v>7.48</v>
      </c>
      <c r="H3670">
        <f t="shared" si="57"/>
        <v>1222.3499999999999</v>
      </c>
    </row>
    <row r="3671" spans="1:8" x14ac:dyDescent="0.25">
      <c r="A3671" s="1" t="s">
        <v>3684</v>
      </c>
      <c r="B3671" s="5">
        <v>45810.875</v>
      </c>
      <c r="C3671" s="1" t="s">
        <v>11</v>
      </c>
      <c r="D3671" s="1" t="s">
        <v>16</v>
      </c>
      <c r="E3671" s="1">
        <v>9</v>
      </c>
      <c r="F3671" s="1">
        <v>256.02</v>
      </c>
      <c r="G3671" s="1">
        <v>13.66</v>
      </c>
      <c r="H3671">
        <f t="shared" si="57"/>
        <v>2304.1799999999998</v>
      </c>
    </row>
    <row r="3672" spans="1:8" x14ac:dyDescent="0.25">
      <c r="A3672" s="1" t="s">
        <v>3685</v>
      </c>
      <c r="B3672" s="5">
        <v>45810.916666666664</v>
      </c>
      <c r="C3672" s="1" t="s">
        <v>11</v>
      </c>
      <c r="D3672" s="1" t="s">
        <v>37</v>
      </c>
      <c r="E3672" s="1">
        <v>2</v>
      </c>
      <c r="F3672" s="1">
        <v>409.71</v>
      </c>
      <c r="G3672" s="1">
        <v>25.55</v>
      </c>
      <c r="H3672">
        <f t="shared" si="57"/>
        <v>819.42</v>
      </c>
    </row>
    <row r="3673" spans="1:8" x14ac:dyDescent="0.25">
      <c r="A3673" s="1" t="s">
        <v>3686</v>
      </c>
      <c r="B3673" s="5">
        <v>45810.958333333336</v>
      </c>
      <c r="C3673" s="1" t="s">
        <v>23</v>
      </c>
      <c r="D3673" s="1" t="s">
        <v>37</v>
      </c>
      <c r="E3673" s="1">
        <v>7</v>
      </c>
      <c r="F3673" s="1">
        <v>286.88</v>
      </c>
      <c r="G3673" s="1">
        <v>5.94</v>
      </c>
      <c r="H3673">
        <f t="shared" si="57"/>
        <v>2008.1599999999999</v>
      </c>
    </row>
    <row r="3674" spans="1:8" x14ac:dyDescent="0.25">
      <c r="A3674" s="1" t="s">
        <v>3687</v>
      </c>
      <c r="B3674" s="5">
        <v>45811</v>
      </c>
      <c r="C3674" s="1" t="s">
        <v>8</v>
      </c>
      <c r="D3674" s="1" t="s">
        <v>9</v>
      </c>
      <c r="E3674" s="1">
        <v>17</v>
      </c>
      <c r="F3674" s="1">
        <v>147.04</v>
      </c>
      <c r="G3674" s="1">
        <v>12.02</v>
      </c>
      <c r="H3674">
        <f t="shared" si="57"/>
        <v>2499.6799999999998</v>
      </c>
    </row>
    <row r="3675" spans="1:8" x14ac:dyDescent="0.25">
      <c r="A3675" s="1" t="s">
        <v>3688</v>
      </c>
      <c r="B3675" s="5">
        <v>45811.041666666664</v>
      </c>
      <c r="C3675" s="1" t="s">
        <v>23</v>
      </c>
      <c r="D3675" s="1" t="s">
        <v>9</v>
      </c>
      <c r="E3675" s="1">
        <v>16</v>
      </c>
      <c r="F3675" s="1">
        <v>144.15</v>
      </c>
      <c r="G3675" s="1">
        <v>40.17</v>
      </c>
      <c r="H3675">
        <f t="shared" si="57"/>
        <v>2306.4</v>
      </c>
    </row>
    <row r="3676" spans="1:8" x14ac:dyDescent="0.25">
      <c r="A3676" s="1" t="s">
        <v>3689</v>
      </c>
      <c r="B3676" s="5">
        <v>45811.083333333336</v>
      </c>
      <c r="C3676" s="1" t="s">
        <v>8</v>
      </c>
      <c r="D3676" s="1" t="s">
        <v>9</v>
      </c>
      <c r="E3676" s="1">
        <v>17</v>
      </c>
      <c r="F3676" s="1">
        <v>233.44</v>
      </c>
      <c r="G3676" s="1">
        <v>39.299999999999997</v>
      </c>
      <c r="H3676">
        <f t="shared" si="57"/>
        <v>3968.48</v>
      </c>
    </row>
    <row r="3677" spans="1:8" x14ac:dyDescent="0.25">
      <c r="A3677" s="1" t="s">
        <v>3690</v>
      </c>
      <c r="B3677" s="5">
        <v>45811.125</v>
      </c>
      <c r="C3677" s="1" t="s">
        <v>13</v>
      </c>
      <c r="D3677" s="1" t="s">
        <v>37</v>
      </c>
      <c r="E3677" s="1">
        <v>2</v>
      </c>
      <c r="F3677" s="1">
        <v>392.04</v>
      </c>
      <c r="G3677" s="1">
        <v>40.54</v>
      </c>
      <c r="H3677">
        <f t="shared" si="57"/>
        <v>784.08</v>
      </c>
    </row>
    <row r="3678" spans="1:8" x14ac:dyDescent="0.25">
      <c r="A3678" s="1" t="s">
        <v>3691</v>
      </c>
      <c r="B3678" s="5">
        <v>45811.166666666664</v>
      </c>
      <c r="C3678" s="1" t="s">
        <v>11</v>
      </c>
      <c r="D3678" s="1" t="s">
        <v>16</v>
      </c>
      <c r="E3678" s="1">
        <v>11</v>
      </c>
      <c r="F3678" s="1">
        <v>360.81</v>
      </c>
      <c r="G3678" s="1">
        <v>46.47</v>
      </c>
      <c r="H3678">
        <f t="shared" si="57"/>
        <v>3968.91</v>
      </c>
    </row>
    <row r="3679" spans="1:8" x14ac:dyDescent="0.25">
      <c r="A3679" s="1" t="s">
        <v>3692</v>
      </c>
      <c r="B3679" s="5">
        <v>45811.208333333336</v>
      </c>
      <c r="C3679" s="1" t="s">
        <v>23</v>
      </c>
      <c r="D3679" s="1" t="s">
        <v>37</v>
      </c>
      <c r="E3679" s="1">
        <v>2</v>
      </c>
      <c r="F3679" s="1">
        <v>433.81</v>
      </c>
      <c r="G3679" s="1">
        <v>10.36</v>
      </c>
      <c r="H3679">
        <f t="shared" si="57"/>
        <v>867.62</v>
      </c>
    </row>
    <row r="3680" spans="1:8" x14ac:dyDescent="0.25">
      <c r="A3680" s="1" t="s">
        <v>3693</v>
      </c>
      <c r="B3680" s="5">
        <v>45811.25</v>
      </c>
      <c r="C3680" s="1" t="s">
        <v>8</v>
      </c>
      <c r="D3680" s="1" t="s">
        <v>19</v>
      </c>
      <c r="E3680" s="1">
        <v>1</v>
      </c>
      <c r="F3680" s="1">
        <v>46.73</v>
      </c>
      <c r="G3680" s="1">
        <v>12.34</v>
      </c>
      <c r="H3680">
        <f t="shared" si="57"/>
        <v>46.73</v>
      </c>
    </row>
    <row r="3681" spans="1:8" x14ac:dyDescent="0.25">
      <c r="A3681" s="1" t="s">
        <v>3694</v>
      </c>
      <c r="B3681" s="5">
        <v>45811.291666666664</v>
      </c>
      <c r="C3681" s="1" t="s">
        <v>13</v>
      </c>
      <c r="D3681" s="1" t="s">
        <v>37</v>
      </c>
      <c r="E3681" s="1">
        <v>2</v>
      </c>
      <c r="F3681" s="1">
        <v>132.09</v>
      </c>
      <c r="G3681" s="1">
        <v>20.010000000000002</v>
      </c>
      <c r="H3681">
        <f t="shared" si="57"/>
        <v>264.18</v>
      </c>
    </row>
    <row r="3682" spans="1:8" x14ac:dyDescent="0.25">
      <c r="A3682" s="1" t="s">
        <v>3695</v>
      </c>
      <c r="B3682" s="5">
        <v>45811.333333333336</v>
      </c>
      <c r="C3682" s="1" t="s">
        <v>13</v>
      </c>
      <c r="D3682" s="1" t="s">
        <v>19</v>
      </c>
      <c r="E3682" s="1">
        <v>9</v>
      </c>
      <c r="F3682" s="1">
        <v>50.35</v>
      </c>
      <c r="G3682" s="1">
        <v>46.18</v>
      </c>
      <c r="H3682">
        <f t="shared" si="57"/>
        <v>453.15000000000003</v>
      </c>
    </row>
    <row r="3683" spans="1:8" x14ac:dyDescent="0.25">
      <c r="A3683" s="1" t="s">
        <v>3696</v>
      </c>
      <c r="B3683" s="5">
        <v>45811.375</v>
      </c>
      <c r="C3683" s="1" t="s">
        <v>11</v>
      </c>
      <c r="D3683" s="1" t="s">
        <v>16</v>
      </c>
      <c r="E3683" s="1">
        <v>2</v>
      </c>
      <c r="F3683" s="1">
        <v>341.84</v>
      </c>
      <c r="G3683" s="1">
        <v>39.9</v>
      </c>
      <c r="H3683">
        <f t="shared" si="57"/>
        <v>683.68</v>
      </c>
    </row>
    <row r="3684" spans="1:8" x14ac:dyDescent="0.25">
      <c r="A3684" s="1" t="s">
        <v>3697</v>
      </c>
      <c r="B3684" s="5">
        <v>45811.416666666664</v>
      </c>
      <c r="C3684" s="1" t="s">
        <v>8</v>
      </c>
      <c r="D3684" s="1" t="s">
        <v>9</v>
      </c>
      <c r="E3684" s="1">
        <v>15</v>
      </c>
      <c r="F3684" s="1">
        <v>76.69</v>
      </c>
      <c r="G3684" s="1">
        <v>19.59</v>
      </c>
      <c r="H3684">
        <f t="shared" si="57"/>
        <v>1150.3499999999999</v>
      </c>
    </row>
    <row r="3685" spans="1:8" x14ac:dyDescent="0.25">
      <c r="A3685" s="1" t="s">
        <v>3698</v>
      </c>
      <c r="B3685" s="5">
        <v>45811.458333333336</v>
      </c>
      <c r="C3685" s="1" t="s">
        <v>23</v>
      </c>
      <c r="D3685" s="1" t="s">
        <v>9</v>
      </c>
      <c r="E3685" s="1">
        <v>10</v>
      </c>
      <c r="F3685" s="1">
        <v>58.9</v>
      </c>
      <c r="G3685" s="1">
        <v>8.94</v>
      </c>
      <c r="H3685">
        <f t="shared" si="57"/>
        <v>589</v>
      </c>
    </row>
    <row r="3686" spans="1:8" x14ac:dyDescent="0.25">
      <c r="A3686" s="1" t="s">
        <v>3699</v>
      </c>
      <c r="B3686" s="5">
        <v>45811.5</v>
      </c>
      <c r="C3686" s="1" t="s">
        <v>11</v>
      </c>
      <c r="D3686" s="1" t="s">
        <v>37</v>
      </c>
      <c r="E3686" s="1">
        <v>15</v>
      </c>
      <c r="F3686" s="1">
        <v>259.55</v>
      </c>
      <c r="G3686" s="1">
        <v>32.74</v>
      </c>
      <c r="H3686">
        <f t="shared" si="57"/>
        <v>3893.25</v>
      </c>
    </row>
    <row r="3687" spans="1:8" x14ac:dyDescent="0.25">
      <c r="A3687" s="1" t="s">
        <v>3700</v>
      </c>
      <c r="B3687" s="5">
        <v>45811.541666666664</v>
      </c>
      <c r="C3687" s="1" t="s">
        <v>23</v>
      </c>
      <c r="D3687" s="1" t="s">
        <v>9</v>
      </c>
      <c r="E3687" s="1">
        <v>10</v>
      </c>
      <c r="F3687" s="1">
        <v>194.29</v>
      </c>
      <c r="G3687" s="1">
        <v>16.559999999999999</v>
      </c>
      <c r="H3687">
        <f t="shared" si="57"/>
        <v>1942.8999999999999</v>
      </c>
    </row>
    <row r="3688" spans="1:8" x14ac:dyDescent="0.25">
      <c r="A3688" s="1" t="s">
        <v>3701</v>
      </c>
      <c r="B3688" s="5">
        <v>45811.583333333336</v>
      </c>
      <c r="C3688" s="1" t="s">
        <v>13</v>
      </c>
      <c r="D3688" s="1" t="s">
        <v>16</v>
      </c>
      <c r="E3688" s="1">
        <v>17</v>
      </c>
      <c r="F3688" s="1">
        <v>326.20999999999998</v>
      </c>
      <c r="G3688" s="1">
        <v>28.9</v>
      </c>
      <c r="H3688">
        <f t="shared" si="57"/>
        <v>5545.57</v>
      </c>
    </row>
    <row r="3689" spans="1:8" x14ac:dyDescent="0.25">
      <c r="A3689" s="1" t="s">
        <v>3702</v>
      </c>
      <c r="B3689" s="5">
        <v>45811.625</v>
      </c>
      <c r="C3689" s="1" t="s">
        <v>23</v>
      </c>
      <c r="D3689" s="1" t="s">
        <v>9</v>
      </c>
      <c r="E3689" s="1">
        <v>9</v>
      </c>
      <c r="F3689" s="1">
        <v>227.11</v>
      </c>
      <c r="G3689" s="1">
        <v>47.38</v>
      </c>
      <c r="H3689">
        <f t="shared" si="57"/>
        <v>2043.9900000000002</v>
      </c>
    </row>
    <row r="3690" spans="1:8" x14ac:dyDescent="0.25">
      <c r="A3690" s="1" t="s">
        <v>3703</v>
      </c>
      <c r="B3690" s="5">
        <v>45811.666666666664</v>
      </c>
      <c r="C3690" s="1" t="s">
        <v>23</v>
      </c>
      <c r="D3690" s="1" t="s">
        <v>37</v>
      </c>
      <c r="E3690" s="1">
        <v>18</v>
      </c>
      <c r="F3690" s="1">
        <v>200.31</v>
      </c>
      <c r="G3690" s="1">
        <v>30.77</v>
      </c>
      <c r="H3690">
        <f t="shared" si="57"/>
        <v>3605.58</v>
      </c>
    </row>
    <row r="3691" spans="1:8" x14ac:dyDescent="0.25">
      <c r="A3691" s="1" t="s">
        <v>3704</v>
      </c>
      <c r="B3691" s="5">
        <v>45811.708333333336</v>
      </c>
      <c r="C3691" s="1" t="s">
        <v>11</v>
      </c>
      <c r="D3691" s="1" t="s">
        <v>16</v>
      </c>
      <c r="E3691" s="1">
        <v>4</v>
      </c>
      <c r="F3691" s="1">
        <v>200.38</v>
      </c>
      <c r="G3691" s="1">
        <v>46.57</v>
      </c>
      <c r="H3691">
        <f t="shared" si="57"/>
        <v>801.52</v>
      </c>
    </row>
    <row r="3692" spans="1:8" x14ac:dyDescent="0.25">
      <c r="A3692" s="1" t="s">
        <v>3705</v>
      </c>
      <c r="B3692" s="5">
        <v>45811.75</v>
      </c>
      <c r="C3692" s="1" t="s">
        <v>23</v>
      </c>
      <c r="D3692" s="1" t="s">
        <v>19</v>
      </c>
      <c r="E3692" s="1">
        <v>9</v>
      </c>
      <c r="F3692" s="1">
        <v>394.33</v>
      </c>
      <c r="G3692" s="1">
        <v>22.69</v>
      </c>
      <c r="H3692">
        <f t="shared" si="57"/>
        <v>3548.97</v>
      </c>
    </row>
    <row r="3693" spans="1:8" x14ac:dyDescent="0.25">
      <c r="A3693" s="1" t="s">
        <v>3706</v>
      </c>
      <c r="B3693" s="5">
        <v>45811.791666666664</v>
      </c>
      <c r="C3693" s="1" t="s">
        <v>11</v>
      </c>
      <c r="D3693" s="1" t="s">
        <v>37</v>
      </c>
      <c r="E3693" s="1">
        <v>16</v>
      </c>
      <c r="F3693" s="1">
        <v>187.23</v>
      </c>
      <c r="G3693" s="1">
        <v>33.5</v>
      </c>
      <c r="H3693">
        <f t="shared" si="57"/>
        <v>2995.68</v>
      </c>
    </row>
    <row r="3694" spans="1:8" x14ac:dyDescent="0.25">
      <c r="A3694" s="1" t="s">
        <v>3707</v>
      </c>
      <c r="B3694" s="5">
        <v>45811.833333333336</v>
      </c>
      <c r="C3694" s="1" t="s">
        <v>13</v>
      </c>
      <c r="D3694" s="1" t="s">
        <v>19</v>
      </c>
      <c r="E3694" s="1">
        <v>4</v>
      </c>
      <c r="F3694" s="1">
        <v>160.36000000000001</v>
      </c>
      <c r="G3694" s="1">
        <v>45.23</v>
      </c>
      <c r="H3694">
        <f t="shared" si="57"/>
        <v>641.44000000000005</v>
      </c>
    </row>
    <row r="3695" spans="1:8" x14ac:dyDescent="0.25">
      <c r="A3695" s="1" t="s">
        <v>3708</v>
      </c>
      <c r="B3695" s="5">
        <v>45811.875</v>
      </c>
      <c r="C3695" s="1" t="s">
        <v>11</v>
      </c>
      <c r="D3695" s="1" t="s">
        <v>16</v>
      </c>
      <c r="E3695" s="1">
        <v>16</v>
      </c>
      <c r="F3695" s="1">
        <v>162.59</v>
      </c>
      <c r="G3695" s="1">
        <v>31.46</v>
      </c>
      <c r="H3695">
        <f t="shared" si="57"/>
        <v>2601.44</v>
      </c>
    </row>
    <row r="3696" spans="1:8" x14ac:dyDescent="0.25">
      <c r="A3696" s="1" t="s">
        <v>3709</v>
      </c>
      <c r="B3696" s="5">
        <v>45811.916666666664</v>
      </c>
      <c r="C3696" s="1" t="s">
        <v>11</v>
      </c>
      <c r="D3696" s="1" t="s">
        <v>37</v>
      </c>
      <c r="E3696" s="1">
        <v>19</v>
      </c>
      <c r="F3696" s="1">
        <v>100.92</v>
      </c>
      <c r="G3696" s="1">
        <v>32.67</v>
      </c>
      <c r="H3696">
        <f t="shared" si="57"/>
        <v>1917.48</v>
      </c>
    </row>
    <row r="3697" spans="1:8" x14ac:dyDescent="0.25">
      <c r="A3697" s="1" t="s">
        <v>3710</v>
      </c>
      <c r="B3697" s="5">
        <v>45811.958333333336</v>
      </c>
      <c r="C3697" s="1" t="s">
        <v>8</v>
      </c>
      <c r="D3697" s="1" t="s">
        <v>37</v>
      </c>
      <c r="E3697" s="1">
        <v>1</v>
      </c>
      <c r="F3697" s="1">
        <v>389.47</v>
      </c>
      <c r="G3697" s="1">
        <v>37.229999999999997</v>
      </c>
      <c r="H3697">
        <f t="shared" si="57"/>
        <v>389.47</v>
      </c>
    </row>
    <row r="3698" spans="1:8" x14ac:dyDescent="0.25">
      <c r="A3698" s="1" t="s">
        <v>3711</v>
      </c>
      <c r="B3698" s="5">
        <v>45812</v>
      </c>
      <c r="C3698" s="1" t="s">
        <v>23</v>
      </c>
      <c r="D3698" s="1" t="s">
        <v>16</v>
      </c>
      <c r="E3698" s="1">
        <v>6</v>
      </c>
      <c r="F3698" s="1">
        <v>79.209999999999994</v>
      </c>
      <c r="G3698" s="1">
        <v>44.69</v>
      </c>
      <c r="H3698">
        <f t="shared" si="57"/>
        <v>475.26</v>
      </c>
    </row>
    <row r="3699" spans="1:8" x14ac:dyDescent="0.25">
      <c r="A3699" s="1" t="s">
        <v>3712</v>
      </c>
      <c r="B3699" s="5">
        <v>45812.041666666664</v>
      </c>
      <c r="C3699" s="1" t="s">
        <v>13</v>
      </c>
      <c r="D3699" s="1" t="s">
        <v>9</v>
      </c>
      <c r="E3699" s="1">
        <v>10</v>
      </c>
      <c r="F3699" s="1">
        <v>410.29</v>
      </c>
      <c r="G3699" s="1">
        <v>8.9700000000000006</v>
      </c>
      <c r="H3699">
        <f t="shared" si="57"/>
        <v>4102.9000000000005</v>
      </c>
    </row>
    <row r="3700" spans="1:8" x14ac:dyDescent="0.25">
      <c r="A3700" s="1" t="s">
        <v>3713</v>
      </c>
      <c r="B3700" s="5">
        <v>45812.083333333336</v>
      </c>
      <c r="C3700" s="1" t="s">
        <v>11</v>
      </c>
      <c r="D3700" s="1" t="s">
        <v>37</v>
      </c>
      <c r="E3700" s="1">
        <v>16</v>
      </c>
      <c r="F3700" s="1">
        <v>138.66999999999999</v>
      </c>
      <c r="G3700" s="1">
        <v>20.16</v>
      </c>
      <c r="H3700">
        <f t="shared" si="57"/>
        <v>2218.7199999999998</v>
      </c>
    </row>
    <row r="3701" spans="1:8" x14ac:dyDescent="0.25">
      <c r="A3701" s="1" t="s">
        <v>3714</v>
      </c>
      <c r="B3701" s="5">
        <v>45812.125</v>
      </c>
      <c r="C3701" s="1" t="s">
        <v>13</v>
      </c>
      <c r="D3701" s="1" t="s">
        <v>37</v>
      </c>
      <c r="E3701" s="1">
        <v>4</v>
      </c>
      <c r="F3701" s="1">
        <v>406.3</v>
      </c>
      <c r="G3701" s="1">
        <v>22.9</v>
      </c>
      <c r="H3701">
        <f t="shared" si="57"/>
        <v>1625.2</v>
      </c>
    </row>
    <row r="3702" spans="1:8" x14ac:dyDescent="0.25">
      <c r="A3702" s="1" t="s">
        <v>3715</v>
      </c>
      <c r="B3702" s="5">
        <v>45812.166666666664</v>
      </c>
      <c r="C3702" s="1" t="s">
        <v>8</v>
      </c>
      <c r="D3702" s="1" t="s">
        <v>19</v>
      </c>
      <c r="E3702" s="1">
        <v>13</v>
      </c>
      <c r="F3702" s="1">
        <v>359.11</v>
      </c>
      <c r="G3702" s="1">
        <v>45.94</v>
      </c>
      <c r="H3702">
        <f t="shared" si="57"/>
        <v>4668.43</v>
      </c>
    </row>
    <row r="3703" spans="1:8" x14ac:dyDescent="0.25">
      <c r="A3703" s="1" t="s">
        <v>3716</v>
      </c>
      <c r="B3703" s="5">
        <v>45812.208333333336</v>
      </c>
      <c r="C3703" s="1" t="s">
        <v>23</v>
      </c>
      <c r="D3703" s="1" t="s">
        <v>9</v>
      </c>
      <c r="E3703" s="1">
        <v>16</v>
      </c>
      <c r="F3703" s="1">
        <v>268.37</v>
      </c>
      <c r="G3703" s="1">
        <v>48.02</v>
      </c>
      <c r="H3703">
        <f t="shared" si="57"/>
        <v>4293.92</v>
      </c>
    </row>
    <row r="3704" spans="1:8" x14ac:dyDescent="0.25">
      <c r="A3704" s="1" t="s">
        <v>3717</v>
      </c>
      <c r="B3704" s="5">
        <v>45812.25</v>
      </c>
      <c r="C3704" s="1" t="s">
        <v>11</v>
      </c>
      <c r="D3704" s="1" t="s">
        <v>19</v>
      </c>
      <c r="E3704" s="1">
        <v>6</v>
      </c>
      <c r="F3704" s="1">
        <v>306.38</v>
      </c>
      <c r="G3704" s="1">
        <v>10.42</v>
      </c>
      <c r="H3704">
        <f t="shared" si="57"/>
        <v>1838.28</v>
      </c>
    </row>
    <row r="3705" spans="1:8" x14ac:dyDescent="0.25">
      <c r="A3705" s="1" t="s">
        <v>3718</v>
      </c>
      <c r="B3705" s="5">
        <v>45812.291666666664</v>
      </c>
      <c r="C3705" s="1" t="s">
        <v>23</v>
      </c>
      <c r="D3705" s="1" t="s">
        <v>19</v>
      </c>
      <c r="E3705" s="1">
        <v>11</v>
      </c>
      <c r="F3705" s="1">
        <v>157.08000000000001</v>
      </c>
      <c r="G3705" s="1">
        <v>10.36</v>
      </c>
      <c r="H3705">
        <f t="shared" si="57"/>
        <v>1727.88</v>
      </c>
    </row>
    <row r="3706" spans="1:8" x14ac:dyDescent="0.25">
      <c r="A3706" s="1" t="s">
        <v>3719</v>
      </c>
      <c r="B3706" s="5">
        <v>45812.333333333336</v>
      </c>
      <c r="C3706" s="1" t="s">
        <v>8</v>
      </c>
      <c r="D3706" s="1" t="s">
        <v>9</v>
      </c>
      <c r="E3706" s="1">
        <v>3</v>
      </c>
      <c r="F3706" s="1">
        <v>265</v>
      </c>
      <c r="G3706" s="1">
        <v>47.07</v>
      </c>
      <c r="H3706">
        <f t="shared" si="57"/>
        <v>795</v>
      </c>
    </row>
    <row r="3707" spans="1:8" x14ac:dyDescent="0.25">
      <c r="A3707" s="1" t="s">
        <v>3720</v>
      </c>
      <c r="B3707" s="5">
        <v>45812.375</v>
      </c>
      <c r="C3707" s="1" t="s">
        <v>8</v>
      </c>
      <c r="D3707" s="1" t="s">
        <v>9</v>
      </c>
      <c r="E3707" s="1">
        <v>10</v>
      </c>
      <c r="F3707" s="1">
        <v>142.55000000000001</v>
      </c>
      <c r="G3707" s="1">
        <v>18.309999999999999</v>
      </c>
      <c r="H3707">
        <f t="shared" si="57"/>
        <v>1425.5</v>
      </c>
    </row>
    <row r="3708" spans="1:8" x14ac:dyDescent="0.25">
      <c r="A3708" s="1" t="s">
        <v>3721</v>
      </c>
      <c r="B3708" s="5">
        <v>45812.416666666664</v>
      </c>
      <c r="C3708" s="1" t="s">
        <v>13</v>
      </c>
      <c r="D3708" s="1" t="s">
        <v>16</v>
      </c>
      <c r="E3708" s="1">
        <v>1</v>
      </c>
      <c r="F3708" s="1">
        <v>190.29</v>
      </c>
      <c r="G3708" s="1">
        <v>15.88</v>
      </c>
      <c r="H3708">
        <f t="shared" si="57"/>
        <v>190.29</v>
      </c>
    </row>
    <row r="3709" spans="1:8" x14ac:dyDescent="0.25">
      <c r="A3709" s="1" t="s">
        <v>3722</v>
      </c>
      <c r="B3709" s="5">
        <v>45812.458333333336</v>
      </c>
      <c r="C3709" s="1" t="s">
        <v>11</v>
      </c>
      <c r="D3709" s="1" t="s">
        <v>9</v>
      </c>
      <c r="E3709" s="1">
        <v>11</v>
      </c>
      <c r="F3709" s="1">
        <v>347.75</v>
      </c>
      <c r="G3709" s="1">
        <v>6.6</v>
      </c>
      <c r="H3709">
        <f t="shared" si="57"/>
        <v>3825.25</v>
      </c>
    </row>
    <row r="3710" spans="1:8" x14ac:dyDescent="0.25">
      <c r="A3710" s="1" t="s">
        <v>3723</v>
      </c>
      <c r="B3710" s="5">
        <v>45812.5</v>
      </c>
      <c r="C3710" s="1" t="s">
        <v>13</v>
      </c>
      <c r="D3710" s="1" t="s">
        <v>37</v>
      </c>
      <c r="E3710" s="1">
        <v>12</v>
      </c>
      <c r="F3710" s="1">
        <v>121.49</v>
      </c>
      <c r="G3710" s="1">
        <v>17.399999999999999</v>
      </c>
      <c r="H3710">
        <f t="shared" si="57"/>
        <v>1457.8799999999999</v>
      </c>
    </row>
    <row r="3711" spans="1:8" x14ac:dyDescent="0.25">
      <c r="A3711" s="1" t="s">
        <v>3724</v>
      </c>
      <c r="B3711" s="5">
        <v>45812.541666666664</v>
      </c>
      <c r="C3711" s="1" t="s">
        <v>8</v>
      </c>
      <c r="D3711" s="1" t="s">
        <v>9</v>
      </c>
      <c r="E3711" s="1">
        <v>14</v>
      </c>
      <c r="F3711" s="1">
        <v>379.98</v>
      </c>
      <c r="G3711" s="1">
        <v>36.21</v>
      </c>
      <c r="H3711">
        <f t="shared" si="57"/>
        <v>5319.72</v>
      </c>
    </row>
    <row r="3712" spans="1:8" x14ac:dyDescent="0.25">
      <c r="A3712" s="1" t="s">
        <v>3725</v>
      </c>
      <c r="B3712" s="5">
        <v>45812.583333333336</v>
      </c>
      <c r="C3712" s="1" t="s">
        <v>23</v>
      </c>
      <c r="D3712" s="1" t="s">
        <v>16</v>
      </c>
      <c r="E3712" s="1">
        <v>8</v>
      </c>
      <c r="F3712" s="1">
        <v>178.82</v>
      </c>
      <c r="G3712" s="1">
        <v>24.17</v>
      </c>
      <c r="H3712">
        <f t="shared" si="57"/>
        <v>1430.56</v>
      </c>
    </row>
    <row r="3713" spans="1:8" x14ac:dyDescent="0.25">
      <c r="A3713" s="1" t="s">
        <v>3726</v>
      </c>
      <c r="B3713" s="5">
        <v>45812.625</v>
      </c>
      <c r="C3713" s="1" t="s">
        <v>13</v>
      </c>
      <c r="D3713" s="1" t="s">
        <v>16</v>
      </c>
      <c r="E3713" s="1">
        <v>11</v>
      </c>
      <c r="F3713" s="1">
        <v>246.73</v>
      </c>
      <c r="G3713" s="1">
        <v>28.26</v>
      </c>
      <c r="H3713">
        <f t="shared" si="57"/>
        <v>2714.0299999999997</v>
      </c>
    </row>
    <row r="3714" spans="1:8" x14ac:dyDescent="0.25">
      <c r="A3714" s="1" t="s">
        <v>3727</v>
      </c>
      <c r="B3714" s="5">
        <v>45812.666666666664</v>
      </c>
      <c r="C3714" s="1" t="s">
        <v>13</v>
      </c>
      <c r="D3714" s="1" t="s">
        <v>16</v>
      </c>
      <c r="E3714" s="1">
        <v>4</v>
      </c>
      <c r="F3714" s="1">
        <v>424.78</v>
      </c>
      <c r="G3714" s="1">
        <v>46.28</v>
      </c>
      <c r="H3714">
        <f t="shared" ref="H3714:H3777" si="58">E3714*F3714</f>
        <v>1699.12</v>
      </c>
    </row>
    <row r="3715" spans="1:8" x14ac:dyDescent="0.25">
      <c r="A3715" s="1" t="s">
        <v>3728</v>
      </c>
      <c r="B3715" s="5">
        <v>45812.708333333336</v>
      </c>
      <c r="C3715" s="1" t="s">
        <v>23</v>
      </c>
      <c r="D3715" s="1" t="s">
        <v>9</v>
      </c>
      <c r="E3715" s="1">
        <v>7</v>
      </c>
      <c r="F3715" s="1">
        <v>311.51</v>
      </c>
      <c r="G3715" s="1">
        <v>10.16</v>
      </c>
      <c r="H3715">
        <f t="shared" si="58"/>
        <v>2180.5699999999997</v>
      </c>
    </row>
    <row r="3716" spans="1:8" x14ac:dyDescent="0.25">
      <c r="A3716" s="1" t="s">
        <v>3729</v>
      </c>
      <c r="B3716" s="5">
        <v>45812.75</v>
      </c>
      <c r="C3716" s="1" t="s">
        <v>13</v>
      </c>
      <c r="D3716" s="1" t="s">
        <v>9</v>
      </c>
      <c r="E3716" s="1">
        <v>10</v>
      </c>
      <c r="F3716" s="1">
        <v>296.01</v>
      </c>
      <c r="G3716" s="1">
        <v>8.2100000000000009</v>
      </c>
      <c r="H3716">
        <f t="shared" si="58"/>
        <v>2960.1</v>
      </c>
    </row>
    <row r="3717" spans="1:8" x14ac:dyDescent="0.25">
      <c r="A3717" s="1" t="s">
        <v>3730</v>
      </c>
      <c r="B3717" s="5">
        <v>45812.791666666664</v>
      </c>
      <c r="C3717" s="1" t="s">
        <v>23</v>
      </c>
      <c r="D3717" s="1" t="s">
        <v>19</v>
      </c>
      <c r="E3717" s="1">
        <v>19</v>
      </c>
      <c r="F3717" s="1">
        <v>324.69</v>
      </c>
      <c r="G3717" s="1">
        <v>43.34</v>
      </c>
      <c r="H3717">
        <f t="shared" si="58"/>
        <v>6169.11</v>
      </c>
    </row>
    <row r="3718" spans="1:8" x14ac:dyDescent="0.25">
      <c r="A3718" s="1" t="s">
        <v>3731</v>
      </c>
      <c r="B3718" s="5">
        <v>45812.833333333336</v>
      </c>
      <c r="C3718" s="1" t="s">
        <v>11</v>
      </c>
      <c r="D3718" s="1" t="s">
        <v>19</v>
      </c>
      <c r="E3718" s="1">
        <v>4</v>
      </c>
      <c r="F3718" s="1">
        <v>414.42</v>
      </c>
      <c r="G3718" s="1">
        <v>39.869999999999997</v>
      </c>
      <c r="H3718">
        <f t="shared" si="58"/>
        <v>1657.68</v>
      </c>
    </row>
    <row r="3719" spans="1:8" x14ac:dyDescent="0.25">
      <c r="A3719" s="1" t="s">
        <v>3732</v>
      </c>
      <c r="B3719" s="5">
        <v>45812.875</v>
      </c>
      <c r="C3719" s="1" t="s">
        <v>23</v>
      </c>
      <c r="D3719" s="1" t="s">
        <v>37</v>
      </c>
      <c r="E3719" s="1">
        <v>2</v>
      </c>
      <c r="F3719" s="1">
        <v>123.48</v>
      </c>
      <c r="G3719" s="1">
        <v>16.87</v>
      </c>
      <c r="H3719">
        <f t="shared" si="58"/>
        <v>246.96</v>
      </c>
    </row>
    <row r="3720" spans="1:8" x14ac:dyDescent="0.25">
      <c r="A3720" s="1" t="s">
        <v>3733</v>
      </c>
      <c r="B3720" s="5">
        <v>45812.916666666664</v>
      </c>
      <c r="C3720" s="1" t="s">
        <v>11</v>
      </c>
      <c r="D3720" s="1" t="s">
        <v>19</v>
      </c>
      <c r="E3720" s="1">
        <v>18</v>
      </c>
      <c r="F3720" s="1">
        <v>281.95</v>
      </c>
      <c r="G3720" s="1">
        <v>19.59</v>
      </c>
      <c r="H3720">
        <f t="shared" si="58"/>
        <v>5075.0999999999995</v>
      </c>
    </row>
    <row r="3721" spans="1:8" x14ac:dyDescent="0.25">
      <c r="A3721" s="1" t="s">
        <v>3734</v>
      </c>
      <c r="B3721" s="5">
        <v>45812.958333333336</v>
      </c>
      <c r="C3721" s="1" t="s">
        <v>23</v>
      </c>
      <c r="D3721" s="1" t="s">
        <v>37</v>
      </c>
      <c r="E3721" s="1">
        <v>14</v>
      </c>
      <c r="F3721" s="1">
        <v>189.47</v>
      </c>
      <c r="G3721" s="1">
        <v>18.96</v>
      </c>
      <c r="H3721">
        <f t="shared" si="58"/>
        <v>2652.58</v>
      </c>
    </row>
    <row r="3722" spans="1:8" x14ac:dyDescent="0.25">
      <c r="A3722" s="1" t="s">
        <v>3735</v>
      </c>
      <c r="B3722" s="5">
        <v>45813</v>
      </c>
      <c r="C3722" s="1" t="s">
        <v>8</v>
      </c>
      <c r="D3722" s="1" t="s">
        <v>16</v>
      </c>
      <c r="E3722" s="1">
        <v>16</v>
      </c>
      <c r="F3722" s="1">
        <v>20.65</v>
      </c>
      <c r="G3722" s="1">
        <v>34.15</v>
      </c>
      <c r="H3722">
        <f t="shared" si="58"/>
        <v>330.4</v>
      </c>
    </row>
    <row r="3723" spans="1:8" x14ac:dyDescent="0.25">
      <c r="A3723" s="1" t="s">
        <v>3736</v>
      </c>
      <c r="B3723" s="5">
        <v>45813.041666666664</v>
      </c>
      <c r="C3723" s="1" t="s">
        <v>8</v>
      </c>
      <c r="D3723" s="1" t="s">
        <v>19</v>
      </c>
      <c r="E3723" s="1">
        <v>11</v>
      </c>
      <c r="F3723" s="1">
        <v>69.94</v>
      </c>
      <c r="G3723" s="1">
        <v>7.75</v>
      </c>
      <c r="H3723">
        <f t="shared" si="58"/>
        <v>769.33999999999992</v>
      </c>
    </row>
    <row r="3724" spans="1:8" x14ac:dyDescent="0.25">
      <c r="A3724" s="1" t="s">
        <v>3737</v>
      </c>
      <c r="B3724" s="5">
        <v>45813.083333333336</v>
      </c>
      <c r="C3724" s="1" t="s">
        <v>11</v>
      </c>
      <c r="D3724" s="1" t="s">
        <v>9</v>
      </c>
      <c r="E3724" s="1">
        <v>10</v>
      </c>
      <c r="F3724" s="1">
        <v>156.71</v>
      </c>
      <c r="G3724" s="1">
        <v>27.02</v>
      </c>
      <c r="H3724">
        <f t="shared" si="58"/>
        <v>1567.1000000000001</v>
      </c>
    </row>
    <row r="3725" spans="1:8" x14ac:dyDescent="0.25">
      <c r="A3725" s="1" t="s">
        <v>3738</v>
      </c>
      <c r="B3725" s="5">
        <v>45813.125</v>
      </c>
      <c r="C3725" s="1" t="s">
        <v>11</v>
      </c>
      <c r="D3725" s="1" t="s">
        <v>19</v>
      </c>
      <c r="E3725" s="1">
        <v>17</v>
      </c>
      <c r="F3725" s="1">
        <v>260.99</v>
      </c>
      <c r="G3725" s="1">
        <v>11.02</v>
      </c>
      <c r="H3725">
        <f t="shared" si="58"/>
        <v>4436.83</v>
      </c>
    </row>
    <row r="3726" spans="1:8" x14ac:dyDescent="0.25">
      <c r="A3726" s="1" t="s">
        <v>3739</v>
      </c>
      <c r="B3726" s="5">
        <v>45813.166666666664</v>
      </c>
      <c r="C3726" s="1" t="s">
        <v>8</v>
      </c>
      <c r="D3726" s="1" t="s">
        <v>37</v>
      </c>
      <c r="E3726" s="1">
        <v>14</v>
      </c>
      <c r="F3726" s="1">
        <v>398.5</v>
      </c>
      <c r="G3726" s="1">
        <v>41.89</v>
      </c>
      <c r="H3726">
        <f t="shared" si="58"/>
        <v>5579</v>
      </c>
    </row>
    <row r="3727" spans="1:8" x14ac:dyDescent="0.25">
      <c r="A3727" s="1" t="s">
        <v>3740</v>
      </c>
      <c r="B3727" s="5">
        <v>45813.208333333336</v>
      </c>
      <c r="C3727" s="1" t="s">
        <v>11</v>
      </c>
      <c r="D3727" s="1" t="s">
        <v>19</v>
      </c>
      <c r="E3727" s="1">
        <v>4</v>
      </c>
      <c r="F3727" s="1">
        <v>359.24</v>
      </c>
      <c r="G3727" s="1">
        <v>22.13</v>
      </c>
      <c r="H3727">
        <f t="shared" si="58"/>
        <v>1436.96</v>
      </c>
    </row>
    <row r="3728" spans="1:8" x14ac:dyDescent="0.25">
      <c r="A3728" s="1" t="s">
        <v>3741</v>
      </c>
      <c r="B3728" s="5">
        <v>45813.25</v>
      </c>
      <c r="C3728" s="1" t="s">
        <v>23</v>
      </c>
      <c r="D3728" s="1" t="s">
        <v>16</v>
      </c>
      <c r="E3728" s="1">
        <v>19</v>
      </c>
      <c r="F3728" s="1">
        <v>255.92</v>
      </c>
      <c r="G3728" s="1">
        <v>28.74</v>
      </c>
      <c r="H3728">
        <f t="shared" si="58"/>
        <v>4862.4799999999996</v>
      </c>
    </row>
    <row r="3729" spans="1:8" x14ac:dyDescent="0.25">
      <c r="A3729" s="1" t="s">
        <v>3742</v>
      </c>
      <c r="B3729" s="5">
        <v>45813.291666666664</v>
      </c>
      <c r="C3729" s="1" t="s">
        <v>23</v>
      </c>
      <c r="D3729" s="1" t="s">
        <v>9</v>
      </c>
      <c r="E3729" s="1">
        <v>2</v>
      </c>
      <c r="F3729" s="1">
        <v>47.6</v>
      </c>
      <c r="G3729" s="1">
        <v>6.32</v>
      </c>
      <c r="H3729">
        <f t="shared" si="58"/>
        <v>95.2</v>
      </c>
    </row>
    <row r="3730" spans="1:8" x14ac:dyDescent="0.25">
      <c r="A3730" s="1" t="s">
        <v>3743</v>
      </c>
      <c r="B3730" s="5">
        <v>45813.333333333336</v>
      </c>
      <c r="C3730" s="1" t="s">
        <v>8</v>
      </c>
      <c r="D3730" s="1" t="s">
        <v>37</v>
      </c>
      <c r="E3730" s="1">
        <v>7</v>
      </c>
      <c r="F3730" s="1">
        <v>139.72999999999999</v>
      </c>
      <c r="G3730" s="1">
        <v>7.62</v>
      </c>
      <c r="H3730">
        <f t="shared" si="58"/>
        <v>978.1099999999999</v>
      </c>
    </row>
    <row r="3731" spans="1:8" x14ac:dyDescent="0.25">
      <c r="A3731" s="1" t="s">
        <v>3744</v>
      </c>
      <c r="B3731" s="5">
        <v>45813.375</v>
      </c>
      <c r="C3731" s="1" t="s">
        <v>13</v>
      </c>
      <c r="D3731" s="1" t="s">
        <v>9</v>
      </c>
      <c r="E3731" s="1">
        <v>9</v>
      </c>
      <c r="F3731" s="1">
        <v>174.83</v>
      </c>
      <c r="G3731" s="1">
        <v>35.380000000000003</v>
      </c>
      <c r="H3731">
        <f t="shared" si="58"/>
        <v>1573.47</v>
      </c>
    </row>
    <row r="3732" spans="1:8" x14ac:dyDescent="0.25">
      <c r="A3732" s="1" t="s">
        <v>3745</v>
      </c>
      <c r="B3732" s="5">
        <v>45813.416666666664</v>
      </c>
      <c r="C3732" s="1" t="s">
        <v>23</v>
      </c>
      <c r="D3732" s="1" t="s">
        <v>9</v>
      </c>
      <c r="E3732" s="1">
        <v>19</v>
      </c>
      <c r="F3732" s="1">
        <v>285.64</v>
      </c>
      <c r="G3732" s="1">
        <v>39.5</v>
      </c>
      <c r="H3732">
        <f t="shared" si="58"/>
        <v>5427.16</v>
      </c>
    </row>
    <row r="3733" spans="1:8" x14ac:dyDescent="0.25">
      <c r="A3733" s="1" t="s">
        <v>3746</v>
      </c>
      <c r="B3733" s="5">
        <v>45813.458333333336</v>
      </c>
      <c r="C3733" s="1" t="s">
        <v>11</v>
      </c>
      <c r="D3733" s="1" t="s">
        <v>37</v>
      </c>
      <c r="E3733" s="1">
        <v>16</v>
      </c>
      <c r="F3733" s="1">
        <v>43.71</v>
      </c>
      <c r="G3733" s="1">
        <v>36.950000000000003</v>
      </c>
      <c r="H3733">
        <f t="shared" si="58"/>
        <v>699.36</v>
      </c>
    </row>
    <row r="3734" spans="1:8" x14ac:dyDescent="0.25">
      <c r="A3734" s="1" t="s">
        <v>3747</v>
      </c>
      <c r="B3734" s="5">
        <v>45813.5</v>
      </c>
      <c r="C3734" s="1" t="s">
        <v>13</v>
      </c>
      <c r="D3734" s="1" t="s">
        <v>9</v>
      </c>
      <c r="E3734" s="1">
        <v>16</v>
      </c>
      <c r="F3734" s="1">
        <v>245.87</v>
      </c>
      <c r="G3734" s="1">
        <v>38.17</v>
      </c>
      <c r="H3734">
        <f t="shared" si="58"/>
        <v>3933.92</v>
      </c>
    </row>
    <row r="3735" spans="1:8" x14ac:dyDescent="0.25">
      <c r="A3735" s="1" t="s">
        <v>3748</v>
      </c>
      <c r="B3735" s="5">
        <v>45813.541666666664</v>
      </c>
      <c r="C3735" s="1" t="s">
        <v>13</v>
      </c>
      <c r="D3735" s="1" t="s">
        <v>9</v>
      </c>
      <c r="E3735" s="1">
        <v>18</v>
      </c>
      <c r="F3735" s="1">
        <v>407.19</v>
      </c>
      <c r="G3735" s="1">
        <v>9.7100000000000009</v>
      </c>
      <c r="H3735">
        <f t="shared" si="58"/>
        <v>7329.42</v>
      </c>
    </row>
    <row r="3736" spans="1:8" x14ac:dyDescent="0.25">
      <c r="A3736" s="1" t="s">
        <v>3749</v>
      </c>
      <c r="B3736" s="5">
        <v>45813.583333333336</v>
      </c>
      <c r="C3736" s="1" t="s">
        <v>23</v>
      </c>
      <c r="D3736" s="1" t="s">
        <v>19</v>
      </c>
      <c r="E3736" s="1">
        <v>11</v>
      </c>
      <c r="F3736" s="1">
        <v>322.01</v>
      </c>
      <c r="G3736" s="1">
        <v>36.21</v>
      </c>
      <c r="H3736">
        <f t="shared" si="58"/>
        <v>3542.1099999999997</v>
      </c>
    </row>
    <row r="3737" spans="1:8" x14ac:dyDescent="0.25">
      <c r="A3737" s="1" t="s">
        <v>3750</v>
      </c>
      <c r="B3737" s="5">
        <v>45813.625</v>
      </c>
      <c r="C3737" s="1" t="s">
        <v>23</v>
      </c>
      <c r="D3737" s="1" t="s">
        <v>9</v>
      </c>
      <c r="E3737" s="1">
        <v>7</v>
      </c>
      <c r="F3737" s="1">
        <v>361.83</v>
      </c>
      <c r="G3737" s="1">
        <v>13.18</v>
      </c>
      <c r="H3737">
        <f t="shared" si="58"/>
        <v>2532.81</v>
      </c>
    </row>
    <row r="3738" spans="1:8" x14ac:dyDescent="0.25">
      <c r="A3738" s="1" t="s">
        <v>3751</v>
      </c>
      <c r="B3738" s="5">
        <v>45813.666666666664</v>
      </c>
      <c r="C3738" s="1" t="s">
        <v>13</v>
      </c>
      <c r="D3738" s="1" t="s">
        <v>9</v>
      </c>
      <c r="E3738" s="1">
        <v>9</v>
      </c>
      <c r="F3738" s="1">
        <v>311.69</v>
      </c>
      <c r="G3738" s="1">
        <v>9.41</v>
      </c>
      <c r="H3738">
        <f t="shared" si="58"/>
        <v>2805.21</v>
      </c>
    </row>
    <row r="3739" spans="1:8" x14ac:dyDescent="0.25">
      <c r="A3739" s="1" t="s">
        <v>3752</v>
      </c>
      <c r="B3739" s="5">
        <v>45813.708333333336</v>
      </c>
      <c r="C3739" s="1" t="s">
        <v>13</v>
      </c>
      <c r="D3739" s="1" t="s">
        <v>9</v>
      </c>
      <c r="E3739" s="1">
        <v>4</v>
      </c>
      <c r="F3739" s="1">
        <v>105.26</v>
      </c>
      <c r="G3739" s="1">
        <v>39.07</v>
      </c>
      <c r="H3739">
        <f t="shared" si="58"/>
        <v>421.04</v>
      </c>
    </row>
    <row r="3740" spans="1:8" x14ac:dyDescent="0.25">
      <c r="A3740" s="1" t="s">
        <v>3753</v>
      </c>
      <c r="B3740" s="5">
        <v>45813.75</v>
      </c>
      <c r="C3740" s="1" t="s">
        <v>8</v>
      </c>
      <c r="D3740" s="1" t="s">
        <v>9</v>
      </c>
      <c r="E3740" s="1">
        <v>13</v>
      </c>
      <c r="F3740" s="1">
        <v>63.51</v>
      </c>
      <c r="G3740" s="1">
        <v>45.02</v>
      </c>
      <c r="H3740">
        <f t="shared" si="58"/>
        <v>825.63</v>
      </c>
    </row>
    <row r="3741" spans="1:8" x14ac:dyDescent="0.25">
      <c r="A3741" s="1" t="s">
        <v>3754</v>
      </c>
      <c r="B3741" s="5">
        <v>45813.791666666664</v>
      </c>
      <c r="C3741" s="1" t="s">
        <v>11</v>
      </c>
      <c r="D3741" s="1" t="s">
        <v>37</v>
      </c>
      <c r="E3741" s="1">
        <v>4</v>
      </c>
      <c r="F3741" s="1">
        <v>375.91</v>
      </c>
      <c r="G3741" s="1">
        <v>37.25</v>
      </c>
      <c r="H3741">
        <f t="shared" si="58"/>
        <v>1503.64</v>
      </c>
    </row>
    <row r="3742" spans="1:8" x14ac:dyDescent="0.25">
      <c r="A3742" s="1" t="s">
        <v>3755</v>
      </c>
      <c r="B3742" s="5">
        <v>45813.833333333336</v>
      </c>
      <c r="C3742" s="1" t="s">
        <v>8</v>
      </c>
      <c r="D3742" s="1" t="s">
        <v>16</v>
      </c>
      <c r="E3742" s="1">
        <v>19</v>
      </c>
      <c r="F3742" s="1">
        <v>317.7</v>
      </c>
      <c r="G3742" s="1">
        <v>41.25</v>
      </c>
      <c r="H3742">
        <f t="shared" si="58"/>
        <v>6036.3</v>
      </c>
    </row>
    <row r="3743" spans="1:8" x14ac:dyDescent="0.25">
      <c r="A3743" s="1" t="s">
        <v>3756</v>
      </c>
      <c r="B3743" s="5">
        <v>45813.875</v>
      </c>
      <c r="C3743" s="1" t="s">
        <v>23</v>
      </c>
      <c r="D3743" s="1" t="s">
        <v>19</v>
      </c>
      <c r="E3743" s="1">
        <v>2</v>
      </c>
      <c r="F3743" s="1">
        <v>265.36</v>
      </c>
      <c r="G3743" s="1">
        <v>49.6</v>
      </c>
      <c r="H3743">
        <f t="shared" si="58"/>
        <v>530.72</v>
      </c>
    </row>
    <row r="3744" spans="1:8" x14ac:dyDescent="0.25">
      <c r="A3744" s="1" t="s">
        <v>3757</v>
      </c>
      <c r="B3744" s="5">
        <v>45813.916666666664</v>
      </c>
      <c r="C3744" s="1" t="s">
        <v>8</v>
      </c>
      <c r="D3744" s="1" t="s">
        <v>9</v>
      </c>
      <c r="E3744" s="1">
        <v>9</v>
      </c>
      <c r="F3744" s="1">
        <v>97.74</v>
      </c>
      <c r="G3744" s="1">
        <v>11.06</v>
      </c>
      <c r="H3744">
        <f t="shared" si="58"/>
        <v>879.66</v>
      </c>
    </row>
    <row r="3745" spans="1:8" x14ac:dyDescent="0.25">
      <c r="A3745" s="1" t="s">
        <v>3758</v>
      </c>
      <c r="B3745" s="5">
        <v>45813.958333333336</v>
      </c>
      <c r="C3745" s="1" t="s">
        <v>8</v>
      </c>
      <c r="D3745" s="1" t="s">
        <v>9</v>
      </c>
      <c r="E3745" s="1">
        <v>12</v>
      </c>
      <c r="F3745" s="1">
        <v>277.64999999999998</v>
      </c>
      <c r="G3745" s="1">
        <v>48.43</v>
      </c>
      <c r="H3745">
        <f t="shared" si="58"/>
        <v>3331.7999999999997</v>
      </c>
    </row>
    <row r="3746" spans="1:8" x14ac:dyDescent="0.25">
      <c r="A3746" s="1" t="s">
        <v>3759</v>
      </c>
      <c r="B3746" s="5">
        <v>45814</v>
      </c>
      <c r="C3746" s="1" t="s">
        <v>8</v>
      </c>
      <c r="D3746" s="1" t="s">
        <v>37</v>
      </c>
      <c r="E3746" s="1">
        <v>2</v>
      </c>
      <c r="F3746" s="1">
        <v>29.11</v>
      </c>
      <c r="G3746" s="1">
        <v>32.049999999999997</v>
      </c>
      <c r="H3746">
        <f t="shared" si="58"/>
        <v>58.22</v>
      </c>
    </row>
    <row r="3747" spans="1:8" x14ac:dyDescent="0.25">
      <c r="A3747" s="1" t="s">
        <v>3760</v>
      </c>
      <c r="B3747" s="5">
        <v>45814.041666666664</v>
      </c>
      <c r="C3747" s="1" t="s">
        <v>8</v>
      </c>
      <c r="D3747" s="1" t="s">
        <v>16</v>
      </c>
      <c r="E3747" s="1">
        <v>6</v>
      </c>
      <c r="F3747" s="1">
        <v>67.14</v>
      </c>
      <c r="G3747" s="1">
        <v>41.6</v>
      </c>
      <c r="H3747">
        <f t="shared" si="58"/>
        <v>402.84000000000003</v>
      </c>
    </row>
    <row r="3748" spans="1:8" x14ac:dyDescent="0.25">
      <c r="A3748" s="1" t="s">
        <v>3761</v>
      </c>
      <c r="B3748" s="5">
        <v>45814.083333333336</v>
      </c>
      <c r="C3748" s="1" t="s">
        <v>11</v>
      </c>
      <c r="D3748" s="1" t="s">
        <v>9</v>
      </c>
      <c r="E3748" s="1">
        <v>5</v>
      </c>
      <c r="F3748" s="1">
        <v>151.02000000000001</v>
      </c>
      <c r="G3748" s="1">
        <v>34.26</v>
      </c>
      <c r="H3748">
        <f t="shared" si="58"/>
        <v>755.1</v>
      </c>
    </row>
    <row r="3749" spans="1:8" x14ac:dyDescent="0.25">
      <c r="A3749" s="1" t="s">
        <v>3762</v>
      </c>
      <c r="B3749" s="5">
        <v>45814.125</v>
      </c>
      <c r="C3749" s="1" t="s">
        <v>11</v>
      </c>
      <c r="D3749" s="1" t="s">
        <v>37</v>
      </c>
      <c r="E3749" s="1">
        <v>5</v>
      </c>
      <c r="F3749" s="1">
        <v>208.3</v>
      </c>
      <c r="G3749" s="1">
        <v>30.65</v>
      </c>
      <c r="H3749">
        <f t="shared" si="58"/>
        <v>1041.5</v>
      </c>
    </row>
    <row r="3750" spans="1:8" x14ac:dyDescent="0.25">
      <c r="A3750" s="1" t="s">
        <v>3763</v>
      </c>
      <c r="B3750" s="5">
        <v>45814.166666666664</v>
      </c>
      <c r="C3750" s="1" t="s">
        <v>13</v>
      </c>
      <c r="D3750" s="1" t="s">
        <v>19</v>
      </c>
      <c r="E3750" s="1">
        <v>5</v>
      </c>
      <c r="F3750" s="1">
        <v>67.89</v>
      </c>
      <c r="G3750" s="1">
        <v>36.659999999999997</v>
      </c>
      <c r="H3750">
        <f t="shared" si="58"/>
        <v>339.45</v>
      </c>
    </row>
    <row r="3751" spans="1:8" x14ac:dyDescent="0.25">
      <c r="A3751" s="1" t="s">
        <v>3764</v>
      </c>
      <c r="B3751" s="5">
        <v>45814.208333333336</v>
      </c>
      <c r="C3751" s="1" t="s">
        <v>23</v>
      </c>
      <c r="D3751" s="1" t="s">
        <v>19</v>
      </c>
      <c r="E3751" s="1">
        <v>4</v>
      </c>
      <c r="F3751" s="1">
        <v>67.61</v>
      </c>
      <c r="G3751" s="1">
        <v>19.41</v>
      </c>
      <c r="H3751">
        <f t="shared" si="58"/>
        <v>270.44</v>
      </c>
    </row>
    <row r="3752" spans="1:8" x14ac:dyDescent="0.25">
      <c r="A3752" s="1" t="s">
        <v>3765</v>
      </c>
      <c r="B3752" s="5">
        <v>45814.25</v>
      </c>
      <c r="C3752" s="1" t="s">
        <v>8</v>
      </c>
      <c r="D3752" s="1" t="s">
        <v>9</v>
      </c>
      <c r="E3752" s="1">
        <v>9</v>
      </c>
      <c r="F3752" s="1">
        <v>330.9</v>
      </c>
      <c r="G3752" s="1">
        <v>46.59</v>
      </c>
      <c r="H3752">
        <f t="shared" si="58"/>
        <v>2978.1</v>
      </c>
    </row>
    <row r="3753" spans="1:8" x14ac:dyDescent="0.25">
      <c r="A3753" s="1" t="s">
        <v>3766</v>
      </c>
      <c r="B3753" s="5">
        <v>45814.291666666664</v>
      </c>
      <c r="C3753" s="1" t="s">
        <v>13</v>
      </c>
      <c r="D3753" s="1" t="s">
        <v>9</v>
      </c>
      <c r="E3753" s="1">
        <v>10</v>
      </c>
      <c r="F3753" s="1">
        <v>263.04000000000002</v>
      </c>
      <c r="G3753" s="1">
        <v>10.19</v>
      </c>
      <c r="H3753">
        <f t="shared" si="58"/>
        <v>2630.4</v>
      </c>
    </row>
    <row r="3754" spans="1:8" x14ac:dyDescent="0.25">
      <c r="A3754" s="1" t="s">
        <v>3767</v>
      </c>
      <c r="B3754" s="5">
        <v>45814.333333333336</v>
      </c>
      <c r="C3754" s="1" t="s">
        <v>13</v>
      </c>
      <c r="D3754" s="1" t="s">
        <v>16</v>
      </c>
      <c r="E3754" s="1">
        <v>16</v>
      </c>
      <c r="F3754" s="1">
        <v>247.41</v>
      </c>
      <c r="G3754" s="1">
        <v>19.309999999999999</v>
      </c>
      <c r="H3754">
        <f t="shared" si="58"/>
        <v>3958.56</v>
      </c>
    </row>
    <row r="3755" spans="1:8" x14ac:dyDescent="0.25">
      <c r="A3755" s="1" t="s">
        <v>3768</v>
      </c>
      <c r="B3755" s="5">
        <v>45814.375</v>
      </c>
      <c r="C3755" s="1" t="s">
        <v>13</v>
      </c>
      <c r="D3755" s="1" t="s">
        <v>16</v>
      </c>
      <c r="E3755" s="1">
        <v>10</v>
      </c>
      <c r="F3755" s="1">
        <v>212.08</v>
      </c>
      <c r="G3755" s="1">
        <v>6.4</v>
      </c>
      <c r="H3755">
        <f t="shared" si="58"/>
        <v>2120.8000000000002</v>
      </c>
    </row>
    <row r="3756" spans="1:8" x14ac:dyDescent="0.25">
      <c r="A3756" s="1" t="s">
        <v>3769</v>
      </c>
      <c r="B3756" s="5">
        <v>45814.416666666664</v>
      </c>
      <c r="C3756" s="1" t="s">
        <v>11</v>
      </c>
      <c r="D3756" s="1" t="s">
        <v>9</v>
      </c>
      <c r="E3756" s="1">
        <v>10</v>
      </c>
      <c r="F3756" s="1">
        <v>439.81</v>
      </c>
      <c r="G3756" s="1">
        <v>17.21</v>
      </c>
      <c r="H3756">
        <f t="shared" si="58"/>
        <v>4398.1000000000004</v>
      </c>
    </row>
    <row r="3757" spans="1:8" x14ac:dyDescent="0.25">
      <c r="A3757" s="1" t="s">
        <v>3770</v>
      </c>
      <c r="B3757" s="5">
        <v>45814.458333333336</v>
      </c>
      <c r="C3757" s="1" t="s">
        <v>8</v>
      </c>
      <c r="D3757" s="1" t="s">
        <v>37</v>
      </c>
      <c r="E3757" s="1">
        <v>19</v>
      </c>
      <c r="F3757" s="1">
        <v>37.14</v>
      </c>
      <c r="G3757" s="1">
        <v>14.82</v>
      </c>
      <c r="H3757">
        <f t="shared" si="58"/>
        <v>705.66</v>
      </c>
    </row>
    <row r="3758" spans="1:8" x14ac:dyDescent="0.25">
      <c r="A3758" s="1" t="s">
        <v>3771</v>
      </c>
      <c r="B3758" s="5">
        <v>45814.5</v>
      </c>
      <c r="C3758" s="1" t="s">
        <v>8</v>
      </c>
      <c r="D3758" s="1" t="s">
        <v>16</v>
      </c>
      <c r="E3758" s="1">
        <v>10</v>
      </c>
      <c r="F3758" s="1">
        <v>93.98</v>
      </c>
      <c r="G3758" s="1">
        <v>7.23</v>
      </c>
      <c r="H3758">
        <f t="shared" si="58"/>
        <v>939.80000000000007</v>
      </c>
    </row>
    <row r="3759" spans="1:8" x14ac:dyDescent="0.25">
      <c r="A3759" s="1" t="s">
        <v>3772</v>
      </c>
      <c r="B3759" s="5">
        <v>45814.541666666664</v>
      </c>
      <c r="C3759" s="1" t="s">
        <v>23</v>
      </c>
      <c r="D3759" s="1" t="s">
        <v>9</v>
      </c>
      <c r="E3759" s="1">
        <v>6</v>
      </c>
      <c r="F3759" s="1">
        <v>296.83999999999997</v>
      </c>
      <c r="G3759" s="1">
        <v>27.13</v>
      </c>
      <c r="H3759">
        <f t="shared" si="58"/>
        <v>1781.04</v>
      </c>
    </row>
    <row r="3760" spans="1:8" x14ac:dyDescent="0.25">
      <c r="A3760" s="1" t="s">
        <v>3773</v>
      </c>
      <c r="B3760" s="5">
        <v>45814.583333333336</v>
      </c>
      <c r="C3760" s="1" t="s">
        <v>8</v>
      </c>
      <c r="D3760" s="1" t="s">
        <v>16</v>
      </c>
      <c r="E3760" s="1">
        <v>17</v>
      </c>
      <c r="F3760" s="1">
        <v>74.75</v>
      </c>
      <c r="G3760" s="1">
        <v>26.09</v>
      </c>
      <c r="H3760">
        <f t="shared" si="58"/>
        <v>1270.75</v>
      </c>
    </row>
    <row r="3761" spans="1:8" x14ac:dyDescent="0.25">
      <c r="A3761" s="1" t="s">
        <v>3774</v>
      </c>
      <c r="B3761" s="5">
        <v>45814.625</v>
      </c>
      <c r="C3761" s="1" t="s">
        <v>8</v>
      </c>
      <c r="D3761" s="1" t="s">
        <v>9</v>
      </c>
      <c r="E3761" s="1">
        <v>5</v>
      </c>
      <c r="F3761" s="1">
        <v>271.58999999999997</v>
      </c>
      <c r="G3761" s="1">
        <v>8.5</v>
      </c>
      <c r="H3761">
        <f t="shared" si="58"/>
        <v>1357.9499999999998</v>
      </c>
    </row>
    <row r="3762" spans="1:8" x14ac:dyDescent="0.25">
      <c r="A3762" s="1" t="s">
        <v>3775</v>
      </c>
      <c r="B3762" s="5">
        <v>45814.666666666664</v>
      </c>
      <c r="C3762" s="1" t="s">
        <v>13</v>
      </c>
      <c r="D3762" s="1" t="s">
        <v>19</v>
      </c>
      <c r="E3762" s="1">
        <v>6</v>
      </c>
      <c r="F3762" s="1">
        <v>262.19</v>
      </c>
      <c r="G3762" s="1">
        <v>16.78</v>
      </c>
      <c r="H3762">
        <f t="shared" si="58"/>
        <v>1573.1399999999999</v>
      </c>
    </row>
    <row r="3763" spans="1:8" x14ac:dyDescent="0.25">
      <c r="A3763" s="1" t="s">
        <v>3776</v>
      </c>
      <c r="B3763" s="5">
        <v>45814.708333333336</v>
      </c>
      <c r="C3763" s="1" t="s">
        <v>23</v>
      </c>
      <c r="D3763" s="1" t="s">
        <v>9</v>
      </c>
      <c r="E3763" s="1">
        <v>15</v>
      </c>
      <c r="F3763" s="1">
        <v>437.4</v>
      </c>
      <c r="G3763" s="1">
        <v>47.9</v>
      </c>
      <c r="H3763">
        <f t="shared" si="58"/>
        <v>6561</v>
      </c>
    </row>
    <row r="3764" spans="1:8" x14ac:dyDescent="0.25">
      <c r="A3764" s="1" t="s">
        <v>3777</v>
      </c>
      <c r="B3764" s="5">
        <v>45814.75</v>
      </c>
      <c r="C3764" s="1" t="s">
        <v>8</v>
      </c>
      <c r="D3764" s="1" t="s">
        <v>19</v>
      </c>
      <c r="E3764" s="1">
        <v>19</v>
      </c>
      <c r="F3764" s="1">
        <v>399.33</v>
      </c>
      <c r="G3764" s="1">
        <v>9.98</v>
      </c>
      <c r="H3764">
        <f t="shared" si="58"/>
        <v>7587.2699999999995</v>
      </c>
    </row>
    <row r="3765" spans="1:8" x14ac:dyDescent="0.25">
      <c r="A3765" s="1" t="s">
        <v>3778</v>
      </c>
      <c r="B3765" s="5">
        <v>45814.791666666664</v>
      </c>
      <c r="C3765" s="1" t="s">
        <v>11</v>
      </c>
      <c r="D3765" s="1" t="s">
        <v>16</v>
      </c>
      <c r="E3765" s="1">
        <v>18</v>
      </c>
      <c r="F3765" s="1">
        <v>426.34</v>
      </c>
      <c r="G3765" s="1">
        <v>18.73</v>
      </c>
      <c r="H3765">
        <f t="shared" si="58"/>
        <v>7674.12</v>
      </c>
    </row>
    <row r="3766" spans="1:8" x14ac:dyDescent="0.25">
      <c r="A3766" s="1" t="s">
        <v>3779</v>
      </c>
      <c r="B3766" s="5">
        <v>45814.833333333336</v>
      </c>
      <c r="C3766" s="1" t="s">
        <v>8</v>
      </c>
      <c r="D3766" s="1" t="s">
        <v>9</v>
      </c>
      <c r="E3766" s="1">
        <v>4</v>
      </c>
      <c r="F3766" s="1">
        <v>64.86</v>
      </c>
      <c r="G3766" s="1">
        <v>6.61</v>
      </c>
      <c r="H3766">
        <f t="shared" si="58"/>
        <v>259.44</v>
      </c>
    </row>
    <row r="3767" spans="1:8" x14ac:dyDescent="0.25">
      <c r="A3767" s="1" t="s">
        <v>3780</v>
      </c>
      <c r="B3767" s="5">
        <v>45814.875</v>
      </c>
      <c r="C3767" s="1" t="s">
        <v>13</v>
      </c>
      <c r="D3767" s="1" t="s">
        <v>16</v>
      </c>
      <c r="E3767" s="1">
        <v>8</v>
      </c>
      <c r="F3767" s="1">
        <v>392.71</v>
      </c>
      <c r="G3767" s="1">
        <v>11.7</v>
      </c>
      <c r="H3767">
        <f t="shared" si="58"/>
        <v>3141.68</v>
      </c>
    </row>
    <row r="3768" spans="1:8" x14ac:dyDescent="0.25">
      <c r="A3768" s="1" t="s">
        <v>3781</v>
      </c>
      <c r="B3768" s="5">
        <v>45814.916666666664</v>
      </c>
      <c r="C3768" s="1" t="s">
        <v>11</v>
      </c>
      <c r="D3768" s="1" t="s">
        <v>19</v>
      </c>
      <c r="E3768" s="1">
        <v>16</v>
      </c>
      <c r="F3768" s="1">
        <v>71.59</v>
      </c>
      <c r="G3768" s="1">
        <v>36.47</v>
      </c>
      <c r="H3768">
        <f t="shared" si="58"/>
        <v>1145.44</v>
      </c>
    </row>
    <row r="3769" spans="1:8" x14ac:dyDescent="0.25">
      <c r="A3769" s="1" t="s">
        <v>3782</v>
      </c>
      <c r="B3769" s="5">
        <v>45814.958333333336</v>
      </c>
      <c r="C3769" s="1" t="s">
        <v>13</v>
      </c>
      <c r="D3769" s="1" t="s">
        <v>9</v>
      </c>
      <c r="E3769" s="1">
        <v>19</v>
      </c>
      <c r="F3769" s="1">
        <v>290.51</v>
      </c>
      <c r="G3769" s="1">
        <v>21.5</v>
      </c>
      <c r="H3769">
        <f t="shared" si="58"/>
        <v>5519.69</v>
      </c>
    </row>
    <row r="3770" spans="1:8" x14ac:dyDescent="0.25">
      <c r="A3770" s="1" t="s">
        <v>3783</v>
      </c>
      <c r="B3770" s="5">
        <v>45815</v>
      </c>
      <c r="C3770" s="1" t="s">
        <v>8</v>
      </c>
      <c r="D3770" s="1" t="s">
        <v>16</v>
      </c>
      <c r="E3770" s="1">
        <v>3</v>
      </c>
      <c r="F3770" s="1">
        <v>328.37</v>
      </c>
      <c r="G3770" s="1">
        <v>25.34</v>
      </c>
      <c r="H3770">
        <f t="shared" si="58"/>
        <v>985.11</v>
      </c>
    </row>
    <row r="3771" spans="1:8" x14ac:dyDescent="0.25">
      <c r="A3771" s="1" t="s">
        <v>3784</v>
      </c>
      <c r="B3771" s="5">
        <v>45815.041666666664</v>
      </c>
      <c r="C3771" s="1" t="s">
        <v>11</v>
      </c>
      <c r="D3771" s="1" t="s">
        <v>19</v>
      </c>
      <c r="E3771" s="1">
        <v>10</v>
      </c>
      <c r="F3771" s="1">
        <v>85.39</v>
      </c>
      <c r="G3771" s="1">
        <v>12.06</v>
      </c>
      <c r="H3771">
        <f t="shared" si="58"/>
        <v>853.9</v>
      </c>
    </row>
    <row r="3772" spans="1:8" x14ac:dyDescent="0.25">
      <c r="A3772" s="1" t="s">
        <v>3785</v>
      </c>
      <c r="B3772" s="5">
        <v>45815.083333333336</v>
      </c>
      <c r="C3772" s="1" t="s">
        <v>23</v>
      </c>
      <c r="D3772" s="1" t="s">
        <v>16</v>
      </c>
      <c r="E3772" s="1">
        <v>2</v>
      </c>
      <c r="F3772" s="1">
        <v>290.39</v>
      </c>
      <c r="G3772" s="1">
        <v>35.700000000000003</v>
      </c>
      <c r="H3772">
        <f t="shared" si="58"/>
        <v>580.78</v>
      </c>
    </row>
    <row r="3773" spans="1:8" x14ac:dyDescent="0.25">
      <c r="A3773" s="1" t="s">
        <v>3786</v>
      </c>
      <c r="B3773" s="5">
        <v>45815.125</v>
      </c>
      <c r="C3773" s="1" t="s">
        <v>23</v>
      </c>
      <c r="D3773" s="1" t="s">
        <v>37</v>
      </c>
      <c r="E3773" s="1">
        <v>4</v>
      </c>
      <c r="F3773" s="1">
        <v>38.29</v>
      </c>
      <c r="G3773" s="1">
        <v>38.82</v>
      </c>
      <c r="H3773">
        <f t="shared" si="58"/>
        <v>153.16</v>
      </c>
    </row>
    <row r="3774" spans="1:8" x14ac:dyDescent="0.25">
      <c r="A3774" s="1" t="s">
        <v>3787</v>
      </c>
      <c r="B3774" s="5">
        <v>45815.166666666664</v>
      </c>
      <c r="C3774" s="1" t="s">
        <v>11</v>
      </c>
      <c r="D3774" s="1" t="s">
        <v>19</v>
      </c>
      <c r="E3774" s="1">
        <v>6</v>
      </c>
      <c r="F3774" s="1">
        <v>142.91999999999999</v>
      </c>
      <c r="G3774" s="1">
        <v>13.15</v>
      </c>
      <c r="H3774">
        <f t="shared" si="58"/>
        <v>857.52</v>
      </c>
    </row>
    <row r="3775" spans="1:8" x14ac:dyDescent="0.25">
      <c r="A3775" s="1" t="s">
        <v>3788</v>
      </c>
      <c r="B3775" s="5">
        <v>45815.208333333336</v>
      </c>
      <c r="C3775" s="1" t="s">
        <v>11</v>
      </c>
      <c r="D3775" s="1" t="s">
        <v>19</v>
      </c>
      <c r="E3775" s="1">
        <v>11</v>
      </c>
      <c r="F3775" s="1">
        <v>415.74</v>
      </c>
      <c r="G3775" s="1">
        <v>7.02</v>
      </c>
      <c r="H3775">
        <f t="shared" si="58"/>
        <v>4573.1400000000003</v>
      </c>
    </row>
    <row r="3776" spans="1:8" x14ac:dyDescent="0.25">
      <c r="A3776" s="1" t="s">
        <v>3789</v>
      </c>
      <c r="B3776" s="5">
        <v>45815.25</v>
      </c>
      <c r="C3776" s="1" t="s">
        <v>13</v>
      </c>
      <c r="D3776" s="1" t="s">
        <v>19</v>
      </c>
      <c r="E3776" s="1">
        <v>14</v>
      </c>
      <c r="F3776" s="1">
        <v>90.12</v>
      </c>
      <c r="G3776" s="1">
        <v>8.64</v>
      </c>
      <c r="H3776">
        <f t="shared" si="58"/>
        <v>1261.68</v>
      </c>
    </row>
    <row r="3777" spans="1:8" x14ac:dyDescent="0.25">
      <c r="A3777" s="1" t="s">
        <v>3790</v>
      </c>
      <c r="B3777" s="5">
        <v>45815.291666666664</v>
      </c>
      <c r="C3777" s="1" t="s">
        <v>11</v>
      </c>
      <c r="D3777" s="1" t="s">
        <v>9</v>
      </c>
      <c r="E3777" s="1">
        <v>16</v>
      </c>
      <c r="F3777" s="1">
        <v>43.86</v>
      </c>
      <c r="G3777" s="1">
        <v>34.57</v>
      </c>
      <c r="H3777">
        <f t="shared" si="58"/>
        <v>701.76</v>
      </c>
    </row>
    <row r="3778" spans="1:8" x14ac:dyDescent="0.25">
      <c r="A3778" s="1" t="s">
        <v>3791</v>
      </c>
      <c r="B3778" s="5">
        <v>45815.333333333336</v>
      </c>
      <c r="C3778" s="1" t="s">
        <v>13</v>
      </c>
      <c r="D3778" s="1" t="s">
        <v>9</v>
      </c>
      <c r="E3778" s="1">
        <v>19</v>
      </c>
      <c r="F3778" s="1">
        <v>208.28</v>
      </c>
      <c r="G3778" s="1">
        <v>11.1</v>
      </c>
      <c r="H3778">
        <f t="shared" ref="H3778:H3841" si="59">E3778*F3778</f>
        <v>3957.32</v>
      </c>
    </row>
    <row r="3779" spans="1:8" x14ac:dyDescent="0.25">
      <c r="A3779" s="1" t="s">
        <v>3792</v>
      </c>
      <c r="B3779" s="5">
        <v>45815.375</v>
      </c>
      <c r="C3779" s="1" t="s">
        <v>8</v>
      </c>
      <c r="D3779" s="1" t="s">
        <v>9</v>
      </c>
      <c r="E3779" s="1">
        <v>2</v>
      </c>
      <c r="F3779" s="1">
        <v>385.09</v>
      </c>
      <c r="G3779" s="1">
        <v>27.23</v>
      </c>
      <c r="H3779">
        <f t="shared" si="59"/>
        <v>770.18</v>
      </c>
    </row>
    <row r="3780" spans="1:8" x14ac:dyDescent="0.25">
      <c r="A3780" s="1" t="s">
        <v>3793</v>
      </c>
      <c r="B3780" s="5">
        <v>45815.416666666664</v>
      </c>
      <c r="C3780" s="1" t="s">
        <v>13</v>
      </c>
      <c r="D3780" s="1" t="s">
        <v>37</v>
      </c>
      <c r="E3780" s="1">
        <v>17</v>
      </c>
      <c r="F3780" s="1">
        <v>48.81</v>
      </c>
      <c r="G3780" s="1">
        <v>11.87</v>
      </c>
      <c r="H3780">
        <f t="shared" si="59"/>
        <v>829.77</v>
      </c>
    </row>
    <row r="3781" spans="1:8" x14ac:dyDescent="0.25">
      <c r="A3781" s="1" t="s">
        <v>3794</v>
      </c>
      <c r="B3781" s="5">
        <v>45815.458333333336</v>
      </c>
      <c r="C3781" s="1" t="s">
        <v>11</v>
      </c>
      <c r="D3781" s="1" t="s">
        <v>37</v>
      </c>
      <c r="E3781" s="1">
        <v>9</v>
      </c>
      <c r="F3781" s="1">
        <v>169.98</v>
      </c>
      <c r="G3781" s="1">
        <v>12.66</v>
      </c>
      <c r="H3781">
        <f t="shared" si="59"/>
        <v>1529.82</v>
      </c>
    </row>
    <row r="3782" spans="1:8" x14ac:dyDescent="0.25">
      <c r="A3782" s="1" t="s">
        <v>3795</v>
      </c>
      <c r="B3782" s="5">
        <v>45815.5</v>
      </c>
      <c r="C3782" s="1" t="s">
        <v>11</v>
      </c>
      <c r="D3782" s="1" t="s">
        <v>19</v>
      </c>
      <c r="E3782" s="1">
        <v>17</v>
      </c>
      <c r="F3782" s="1">
        <v>406.45</v>
      </c>
      <c r="G3782" s="1">
        <v>5.2</v>
      </c>
      <c r="H3782">
        <f t="shared" si="59"/>
        <v>6909.65</v>
      </c>
    </row>
    <row r="3783" spans="1:8" x14ac:dyDescent="0.25">
      <c r="A3783" s="1" t="s">
        <v>3796</v>
      </c>
      <c r="B3783" s="5">
        <v>45815.541666666664</v>
      </c>
      <c r="C3783" s="1" t="s">
        <v>8</v>
      </c>
      <c r="D3783" s="1" t="s">
        <v>37</v>
      </c>
      <c r="E3783" s="1">
        <v>15</v>
      </c>
      <c r="F3783" s="1">
        <v>66.84</v>
      </c>
      <c r="G3783" s="1">
        <v>19.440000000000001</v>
      </c>
      <c r="H3783">
        <f t="shared" si="59"/>
        <v>1002.6</v>
      </c>
    </row>
    <row r="3784" spans="1:8" x14ac:dyDescent="0.25">
      <c r="A3784" s="1" t="s">
        <v>3797</v>
      </c>
      <c r="B3784" s="5">
        <v>45815.583333333336</v>
      </c>
      <c r="C3784" s="1" t="s">
        <v>11</v>
      </c>
      <c r="D3784" s="1" t="s">
        <v>16</v>
      </c>
      <c r="E3784" s="1">
        <v>7</v>
      </c>
      <c r="F3784" s="1">
        <v>150.49</v>
      </c>
      <c r="G3784" s="1">
        <v>9.0399999999999991</v>
      </c>
      <c r="H3784">
        <f t="shared" si="59"/>
        <v>1053.43</v>
      </c>
    </row>
    <row r="3785" spans="1:8" x14ac:dyDescent="0.25">
      <c r="A3785" s="1" t="s">
        <v>3798</v>
      </c>
      <c r="B3785" s="5">
        <v>45815.625</v>
      </c>
      <c r="C3785" s="1" t="s">
        <v>11</v>
      </c>
      <c r="D3785" s="1" t="s">
        <v>19</v>
      </c>
      <c r="E3785" s="1">
        <v>19</v>
      </c>
      <c r="F3785" s="1">
        <v>353.72</v>
      </c>
      <c r="G3785" s="1">
        <v>22.73</v>
      </c>
      <c r="H3785">
        <f t="shared" si="59"/>
        <v>6720.68</v>
      </c>
    </row>
    <row r="3786" spans="1:8" x14ac:dyDescent="0.25">
      <c r="A3786" s="1" t="s">
        <v>3799</v>
      </c>
      <c r="B3786" s="5">
        <v>45815.666666666664</v>
      </c>
      <c r="C3786" s="1" t="s">
        <v>23</v>
      </c>
      <c r="D3786" s="1" t="s">
        <v>19</v>
      </c>
      <c r="E3786" s="1">
        <v>3</v>
      </c>
      <c r="F3786" s="1">
        <v>251.53</v>
      </c>
      <c r="G3786" s="1">
        <v>31.9</v>
      </c>
      <c r="H3786">
        <f t="shared" si="59"/>
        <v>754.59</v>
      </c>
    </row>
    <row r="3787" spans="1:8" x14ac:dyDescent="0.25">
      <c r="A3787" s="1" t="s">
        <v>3800</v>
      </c>
      <c r="B3787" s="5">
        <v>45815.708333333336</v>
      </c>
      <c r="C3787" s="1" t="s">
        <v>23</v>
      </c>
      <c r="D3787" s="1" t="s">
        <v>16</v>
      </c>
      <c r="E3787" s="1">
        <v>1</v>
      </c>
      <c r="F3787" s="1">
        <v>377.15</v>
      </c>
      <c r="G3787" s="1">
        <v>21.54</v>
      </c>
      <c r="H3787">
        <f t="shared" si="59"/>
        <v>377.15</v>
      </c>
    </row>
    <row r="3788" spans="1:8" x14ac:dyDescent="0.25">
      <c r="A3788" s="1" t="s">
        <v>3801</v>
      </c>
      <c r="B3788" s="5">
        <v>45815.75</v>
      </c>
      <c r="C3788" s="1" t="s">
        <v>8</v>
      </c>
      <c r="D3788" s="1" t="s">
        <v>19</v>
      </c>
      <c r="E3788" s="1">
        <v>4</v>
      </c>
      <c r="F3788" s="1">
        <v>63.99</v>
      </c>
      <c r="G3788" s="1">
        <v>36.729999999999997</v>
      </c>
      <c r="H3788">
        <f t="shared" si="59"/>
        <v>255.96</v>
      </c>
    </row>
    <row r="3789" spans="1:8" x14ac:dyDescent="0.25">
      <c r="A3789" s="1" t="s">
        <v>3802</v>
      </c>
      <c r="B3789" s="5">
        <v>45815.791666666664</v>
      </c>
      <c r="C3789" s="1" t="s">
        <v>13</v>
      </c>
      <c r="D3789" s="1" t="s">
        <v>37</v>
      </c>
      <c r="E3789" s="1">
        <v>18</v>
      </c>
      <c r="F3789" s="1">
        <v>415.48</v>
      </c>
      <c r="G3789" s="1">
        <v>38.369999999999997</v>
      </c>
      <c r="H3789">
        <f t="shared" si="59"/>
        <v>7478.64</v>
      </c>
    </row>
    <row r="3790" spans="1:8" x14ac:dyDescent="0.25">
      <c r="A3790" s="1" t="s">
        <v>3803</v>
      </c>
      <c r="B3790" s="5">
        <v>45815.833333333336</v>
      </c>
      <c r="C3790" s="1" t="s">
        <v>23</v>
      </c>
      <c r="D3790" s="1" t="s">
        <v>9</v>
      </c>
      <c r="E3790" s="1">
        <v>8</v>
      </c>
      <c r="F3790" s="1">
        <v>421.72</v>
      </c>
      <c r="G3790" s="1">
        <v>36.35</v>
      </c>
      <c r="H3790">
        <f t="shared" si="59"/>
        <v>3373.76</v>
      </c>
    </row>
    <row r="3791" spans="1:8" x14ac:dyDescent="0.25">
      <c r="A3791" s="1" t="s">
        <v>3804</v>
      </c>
      <c r="B3791" s="5">
        <v>45815.875</v>
      </c>
      <c r="C3791" s="1" t="s">
        <v>13</v>
      </c>
      <c r="D3791" s="1" t="s">
        <v>16</v>
      </c>
      <c r="E3791" s="1">
        <v>19</v>
      </c>
      <c r="F3791" s="1">
        <v>82.98</v>
      </c>
      <c r="G3791" s="1">
        <v>47.15</v>
      </c>
      <c r="H3791">
        <f t="shared" si="59"/>
        <v>1576.6200000000001</v>
      </c>
    </row>
    <row r="3792" spans="1:8" x14ac:dyDescent="0.25">
      <c r="A3792" s="1" t="s">
        <v>3805</v>
      </c>
      <c r="B3792" s="5">
        <v>45815.916666666664</v>
      </c>
      <c r="C3792" s="1" t="s">
        <v>11</v>
      </c>
      <c r="D3792" s="1" t="s">
        <v>37</v>
      </c>
      <c r="E3792" s="1">
        <v>6</v>
      </c>
      <c r="F3792" s="1">
        <v>30.22</v>
      </c>
      <c r="G3792" s="1">
        <v>15.68</v>
      </c>
      <c r="H3792">
        <f t="shared" si="59"/>
        <v>181.32</v>
      </c>
    </row>
    <row r="3793" spans="1:8" x14ac:dyDescent="0.25">
      <c r="A3793" s="1" t="s">
        <v>3806</v>
      </c>
      <c r="B3793" s="5">
        <v>45815.958333333336</v>
      </c>
      <c r="C3793" s="1" t="s">
        <v>23</v>
      </c>
      <c r="D3793" s="1" t="s">
        <v>16</v>
      </c>
      <c r="E3793" s="1">
        <v>1</v>
      </c>
      <c r="F3793" s="1">
        <v>445.59</v>
      </c>
      <c r="G3793" s="1">
        <v>13.53</v>
      </c>
      <c r="H3793">
        <f t="shared" si="59"/>
        <v>445.59</v>
      </c>
    </row>
    <row r="3794" spans="1:8" x14ac:dyDescent="0.25">
      <c r="A3794" s="1" t="s">
        <v>3807</v>
      </c>
      <c r="B3794" s="5">
        <v>45816</v>
      </c>
      <c r="C3794" s="1" t="s">
        <v>8</v>
      </c>
      <c r="D3794" s="1" t="s">
        <v>16</v>
      </c>
      <c r="E3794" s="1">
        <v>8</v>
      </c>
      <c r="F3794" s="1">
        <v>225.04</v>
      </c>
      <c r="G3794" s="1">
        <v>32.44</v>
      </c>
      <c r="H3794">
        <f t="shared" si="59"/>
        <v>1800.32</v>
      </c>
    </row>
    <row r="3795" spans="1:8" x14ac:dyDescent="0.25">
      <c r="A3795" s="1" t="s">
        <v>3808</v>
      </c>
      <c r="B3795" s="5">
        <v>45816.041666666664</v>
      </c>
      <c r="C3795" s="1" t="s">
        <v>8</v>
      </c>
      <c r="D3795" s="1" t="s">
        <v>19</v>
      </c>
      <c r="E3795" s="1">
        <v>1</v>
      </c>
      <c r="F3795" s="1">
        <v>264.07</v>
      </c>
      <c r="G3795" s="1">
        <v>31.77</v>
      </c>
      <c r="H3795">
        <f t="shared" si="59"/>
        <v>264.07</v>
      </c>
    </row>
    <row r="3796" spans="1:8" x14ac:dyDescent="0.25">
      <c r="A3796" s="1" t="s">
        <v>3809</v>
      </c>
      <c r="B3796" s="5">
        <v>45816.083333333336</v>
      </c>
      <c r="C3796" s="1" t="s">
        <v>8</v>
      </c>
      <c r="D3796" s="1" t="s">
        <v>19</v>
      </c>
      <c r="E3796" s="1">
        <v>19</v>
      </c>
      <c r="F3796" s="1">
        <v>283.11</v>
      </c>
      <c r="G3796" s="1">
        <v>27.95</v>
      </c>
      <c r="H3796">
        <f t="shared" si="59"/>
        <v>5379.09</v>
      </c>
    </row>
    <row r="3797" spans="1:8" x14ac:dyDescent="0.25">
      <c r="A3797" s="1" t="s">
        <v>3810</v>
      </c>
      <c r="B3797" s="5">
        <v>45816.125</v>
      </c>
      <c r="C3797" s="1" t="s">
        <v>23</v>
      </c>
      <c r="D3797" s="1" t="s">
        <v>37</v>
      </c>
      <c r="E3797" s="1">
        <v>11</v>
      </c>
      <c r="F3797" s="1">
        <v>358.61</v>
      </c>
      <c r="G3797" s="1">
        <v>5.2</v>
      </c>
      <c r="H3797">
        <f t="shared" si="59"/>
        <v>3944.71</v>
      </c>
    </row>
    <row r="3798" spans="1:8" x14ac:dyDescent="0.25">
      <c r="A3798" s="1" t="s">
        <v>3811</v>
      </c>
      <c r="B3798" s="5">
        <v>45816.166666666664</v>
      </c>
      <c r="C3798" s="1" t="s">
        <v>13</v>
      </c>
      <c r="D3798" s="1" t="s">
        <v>16</v>
      </c>
      <c r="E3798" s="1">
        <v>15</v>
      </c>
      <c r="F3798" s="1">
        <v>368.31</v>
      </c>
      <c r="G3798" s="1">
        <v>29.99</v>
      </c>
      <c r="H3798">
        <f t="shared" si="59"/>
        <v>5524.65</v>
      </c>
    </row>
    <row r="3799" spans="1:8" x14ac:dyDescent="0.25">
      <c r="A3799" s="1" t="s">
        <v>3812</v>
      </c>
      <c r="B3799" s="5">
        <v>45816.208333333336</v>
      </c>
      <c r="C3799" s="1" t="s">
        <v>11</v>
      </c>
      <c r="D3799" s="1" t="s">
        <v>19</v>
      </c>
      <c r="E3799" s="1">
        <v>11</v>
      </c>
      <c r="F3799" s="1">
        <v>99.76</v>
      </c>
      <c r="G3799" s="1">
        <v>46.98</v>
      </c>
      <c r="H3799">
        <f t="shared" si="59"/>
        <v>1097.3600000000001</v>
      </c>
    </row>
    <row r="3800" spans="1:8" x14ac:dyDescent="0.25">
      <c r="A3800" s="1" t="s">
        <v>3813</v>
      </c>
      <c r="B3800" s="5">
        <v>45816.25</v>
      </c>
      <c r="C3800" s="1" t="s">
        <v>13</v>
      </c>
      <c r="D3800" s="1" t="s">
        <v>19</v>
      </c>
      <c r="E3800" s="1">
        <v>19</v>
      </c>
      <c r="F3800" s="1">
        <v>118.32</v>
      </c>
      <c r="G3800" s="1">
        <v>20.059999999999999</v>
      </c>
      <c r="H3800">
        <f t="shared" si="59"/>
        <v>2248.08</v>
      </c>
    </row>
    <row r="3801" spans="1:8" x14ac:dyDescent="0.25">
      <c r="A3801" s="1" t="s">
        <v>3814</v>
      </c>
      <c r="B3801" s="5">
        <v>45816.291666666664</v>
      </c>
      <c r="C3801" s="1" t="s">
        <v>13</v>
      </c>
      <c r="D3801" s="1" t="s">
        <v>16</v>
      </c>
      <c r="E3801" s="1">
        <v>10</v>
      </c>
      <c r="F3801" s="1">
        <v>396.48</v>
      </c>
      <c r="G3801" s="1">
        <v>48.54</v>
      </c>
      <c r="H3801">
        <f t="shared" si="59"/>
        <v>3964.8</v>
      </c>
    </row>
    <row r="3802" spans="1:8" x14ac:dyDescent="0.25">
      <c r="A3802" s="1" t="s">
        <v>3815</v>
      </c>
      <c r="B3802" s="5">
        <v>45816.333333333336</v>
      </c>
      <c r="C3802" s="1" t="s">
        <v>11</v>
      </c>
      <c r="D3802" s="1" t="s">
        <v>37</v>
      </c>
      <c r="E3802" s="1">
        <v>12</v>
      </c>
      <c r="F3802" s="1">
        <v>371.58</v>
      </c>
      <c r="G3802" s="1">
        <v>21.05</v>
      </c>
      <c r="H3802">
        <f t="shared" si="59"/>
        <v>4458.96</v>
      </c>
    </row>
    <row r="3803" spans="1:8" x14ac:dyDescent="0.25">
      <c r="A3803" s="1" t="s">
        <v>3816</v>
      </c>
      <c r="B3803" s="5">
        <v>45816.375</v>
      </c>
      <c r="C3803" s="1" t="s">
        <v>11</v>
      </c>
      <c r="D3803" s="1" t="s">
        <v>37</v>
      </c>
      <c r="E3803" s="1">
        <v>1</v>
      </c>
      <c r="F3803" s="1">
        <v>283.86</v>
      </c>
      <c r="G3803" s="1">
        <v>11.29</v>
      </c>
      <c r="H3803">
        <f t="shared" si="59"/>
        <v>283.86</v>
      </c>
    </row>
    <row r="3804" spans="1:8" x14ac:dyDescent="0.25">
      <c r="A3804" s="1" t="s">
        <v>3817</v>
      </c>
      <c r="B3804" s="5">
        <v>45816.416666666664</v>
      </c>
      <c r="C3804" s="1" t="s">
        <v>23</v>
      </c>
      <c r="D3804" s="1" t="s">
        <v>16</v>
      </c>
      <c r="E3804" s="1">
        <v>7</v>
      </c>
      <c r="F3804" s="1">
        <v>447.7</v>
      </c>
      <c r="G3804" s="1">
        <v>22.93</v>
      </c>
      <c r="H3804">
        <f t="shared" si="59"/>
        <v>3133.9</v>
      </c>
    </row>
    <row r="3805" spans="1:8" x14ac:dyDescent="0.25">
      <c r="A3805" s="1" t="s">
        <v>3818</v>
      </c>
      <c r="B3805" s="5">
        <v>45816.458333333336</v>
      </c>
      <c r="C3805" s="1" t="s">
        <v>23</v>
      </c>
      <c r="D3805" s="1" t="s">
        <v>37</v>
      </c>
      <c r="E3805" s="1">
        <v>17</v>
      </c>
      <c r="F3805" s="1">
        <v>334.94</v>
      </c>
      <c r="G3805" s="1">
        <v>27.26</v>
      </c>
      <c r="H3805">
        <f t="shared" si="59"/>
        <v>5693.98</v>
      </c>
    </row>
    <row r="3806" spans="1:8" x14ac:dyDescent="0.25">
      <c r="A3806" s="1" t="s">
        <v>3819</v>
      </c>
      <c r="B3806" s="5">
        <v>45816.5</v>
      </c>
      <c r="C3806" s="1" t="s">
        <v>23</v>
      </c>
      <c r="D3806" s="1" t="s">
        <v>19</v>
      </c>
      <c r="E3806" s="1">
        <v>10</v>
      </c>
      <c r="F3806" s="1">
        <v>109.28</v>
      </c>
      <c r="G3806" s="1">
        <v>33.33</v>
      </c>
      <c r="H3806">
        <f t="shared" si="59"/>
        <v>1092.8</v>
      </c>
    </row>
    <row r="3807" spans="1:8" x14ac:dyDescent="0.25">
      <c r="A3807" s="1" t="s">
        <v>3820</v>
      </c>
      <c r="B3807" s="5">
        <v>45816.541666666664</v>
      </c>
      <c r="C3807" s="1" t="s">
        <v>23</v>
      </c>
      <c r="D3807" s="1" t="s">
        <v>16</v>
      </c>
      <c r="E3807" s="1">
        <v>6</v>
      </c>
      <c r="F3807" s="1">
        <v>383.37</v>
      </c>
      <c r="G3807" s="1">
        <v>27.72</v>
      </c>
      <c r="H3807">
        <f t="shared" si="59"/>
        <v>2300.2200000000003</v>
      </c>
    </row>
    <row r="3808" spans="1:8" x14ac:dyDescent="0.25">
      <c r="A3808" s="1" t="s">
        <v>3821</v>
      </c>
      <c r="B3808" s="5">
        <v>45816.583333333336</v>
      </c>
      <c r="C3808" s="1" t="s">
        <v>23</v>
      </c>
      <c r="D3808" s="1" t="s">
        <v>19</v>
      </c>
      <c r="E3808" s="1">
        <v>17</v>
      </c>
      <c r="F3808" s="1">
        <v>195.7</v>
      </c>
      <c r="G3808" s="1">
        <v>29.15</v>
      </c>
      <c r="H3808">
        <f t="shared" si="59"/>
        <v>3326.8999999999996</v>
      </c>
    </row>
    <row r="3809" spans="1:8" x14ac:dyDescent="0.25">
      <c r="A3809" s="1" t="s">
        <v>3822</v>
      </c>
      <c r="B3809" s="5">
        <v>45816.625</v>
      </c>
      <c r="C3809" s="1" t="s">
        <v>11</v>
      </c>
      <c r="D3809" s="1" t="s">
        <v>9</v>
      </c>
      <c r="E3809" s="1">
        <v>18</v>
      </c>
      <c r="F3809" s="1">
        <v>31.21</v>
      </c>
      <c r="G3809" s="1">
        <v>6.08</v>
      </c>
      <c r="H3809">
        <f t="shared" si="59"/>
        <v>561.78</v>
      </c>
    </row>
    <row r="3810" spans="1:8" x14ac:dyDescent="0.25">
      <c r="A3810" s="1" t="s">
        <v>3823</v>
      </c>
      <c r="B3810" s="5">
        <v>45816.666666666664</v>
      </c>
      <c r="C3810" s="1" t="s">
        <v>13</v>
      </c>
      <c r="D3810" s="1" t="s">
        <v>9</v>
      </c>
      <c r="E3810" s="1">
        <v>5</v>
      </c>
      <c r="F3810" s="1">
        <v>155.16</v>
      </c>
      <c r="G3810" s="1">
        <v>16.41</v>
      </c>
      <c r="H3810">
        <f t="shared" si="59"/>
        <v>775.8</v>
      </c>
    </row>
    <row r="3811" spans="1:8" x14ac:dyDescent="0.25">
      <c r="A3811" s="1" t="s">
        <v>3824</v>
      </c>
      <c r="B3811" s="5">
        <v>45816.708333333336</v>
      </c>
      <c r="C3811" s="1" t="s">
        <v>23</v>
      </c>
      <c r="D3811" s="1" t="s">
        <v>37</v>
      </c>
      <c r="E3811" s="1">
        <v>18</v>
      </c>
      <c r="F3811" s="1">
        <v>347.26</v>
      </c>
      <c r="G3811" s="1">
        <v>18.98</v>
      </c>
      <c r="H3811">
        <f t="shared" si="59"/>
        <v>6250.68</v>
      </c>
    </row>
    <row r="3812" spans="1:8" x14ac:dyDescent="0.25">
      <c r="A3812" s="1" t="s">
        <v>3825</v>
      </c>
      <c r="B3812" s="5">
        <v>45816.75</v>
      </c>
      <c r="C3812" s="1" t="s">
        <v>23</v>
      </c>
      <c r="D3812" s="1" t="s">
        <v>9</v>
      </c>
      <c r="E3812" s="1">
        <v>17</v>
      </c>
      <c r="F3812" s="1">
        <v>432.71</v>
      </c>
      <c r="G3812" s="1">
        <v>49.42</v>
      </c>
      <c r="H3812">
        <f t="shared" si="59"/>
        <v>7356.07</v>
      </c>
    </row>
    <row r="3813" spans="1:8" x14ac:dyDescent="0.25">
      <c r="A3813" s="1" t="s">
        <v>3826</v>
      </c>
      <c r="B3813" s="5">
        <v>45816.791666666664</v>
      </c>
      <c r="C3813" s="1" t="s">
        <v>13</v>
      </c>
      <c r="D3813" s="1" t="s">
        <v>19</v>
      </c>
      <c r="E3813" s="1">
        <v>16</v>
      </c>
      <c r="F3813" s="1">
        <v>135.47999999999999</v>
      </c>
      <c r="G3813" s="1">
        <v>18.3</v>
      </c>
      <c r="H3813">
        <f t="shared" si="59"/>
        <v>2167.6799999999998</v>
      </c>
    </row>
    <row r="3814" spans="1:8" x14ac:dyDescent="0.25">
      <c r="A3814" s="1" t="s">
        <v>3827</v>
      </c>
      <c r="B3814" s="5">
        <v>45816.833333333336</v>
      </c>
      <c r="C3814" s="1" t="s">
        <v>23</v>
      </c>
      <c r="D3814" s="1" t="s">
        <v>9</v>
      </c>
      <c r="E3814" s="1">
        <v>8</v>
      </c>
      <c r="F3814" s="1">
        <v>122.61</v>
      </c>
      <c r="G3814" s="1">
        <v>45.35</v>
      </c>
      <c r="H3814">
        <f t="shared" si="59"/>
        <v>980.88</v>
      </c>
    </row>
    <row r="3815" spans="1:8" x14ac:dyDescent="0.25">
      <c r="A3815" s="1" t="s">
        <v>3828</v>
      </c>
      <c r="B3815" s="5">
        <v>45816.875</v>
      </c>
      <c r="C3815" s="1" t="s">
        <v>13</v>
      </c>
      <c r="D3815" s="1" t="s">
        <v>19</v>
      </c>
      <c r="E3815" s="1">
        <v>13</v>
      </c>
      <c r="F3815" s="1">
        <v>260.39</v>
      </c>
      <c r="G3815" s="1">
        <v>18.71</v>
      </c>
      <c r="H3815">
        <f t="shared" si="59"/>
        <v>3385.0699999999997</v>
      </c>
    </row>
    <row r="3816" spans="1:8" x14ac:dyDescent="0.25">
      <c r="A3816" s="1" t="s">
        <v>3829</v>
      </c>
      <c r="B3816" s="5">
        <v>45816.916666666664</v>
      </c>
      <c r="C3816" s="1" t="s">
        <v>13</v>
      </c>
      <c r="D3816" s="1" t="s">
        <v>37</v>
      </c>
      <c r="E3816" s="1">
        <v>16</v>
      </c>
      <c r="F3816" s="1">
        <v>368.18</v>
      </c>
      <c r="G3816" s="1">
        <v>9.32</v>
      </c>
      <c r="H3816">
        <f t="shared" si="59"/>
        <v>5890.88</v>
      </c>
    </row>
    <row r="3817" spans="1:8" x14ac:dyDescent="0.25">
      <c r="A3817" s="1" t="s">
        <v>3830</v>
      </c>
      <c r="B3817" s="5">
        <v>45816.958333333336</v>
      </c>
      <c r="C3817" s="1" t="s">
        <v>11</v>
      </c>
      <c r="D3817" s="1" t="s">
        <v>37</v>
      </c>
      <c r="E3817" s="1">
        <v>11</v>
      </c>
      <c r="F3817" s="1">
        <v>339.87</v>
      </c>
      <c r="G3817" s="1">
        <v>16.14</v>
      </c>
      <c r="H3817">
        <f t="shared" si="59"/>
        <v>3738.57</v>
      </c>
    </row>
    <row r="3818" spans="1:8" x14ac:dyDescent="0.25">
      <c r="A3818" s="1" t="s">
        <v>3831</v>
      </c>
      <c r="B3818" s="5">
        <v>45817</v>
      </c>
      <c r="C3818" s="1" t="s">
        <v>8</v>
      </c>
      <c r="D3818" s="1" t="s">
        <v>19</v>
      </c>
      <c r="E3818" s="1">
        <v>6</v>
      </c>
      <c r="F3818" s="1">
        <v>258.8</v>
      </c>
      <c r="G3818" s="1">
        <v>17.28</v>
      </c>
      <c r="H3818">
        <f t="shared" si="59"/>
        <v>1552.8000000000002</v>
      </c>
    </row>
    <row r="3819" spans="1:8" x14ac:dyDescent="0.25">
      <c r="A3819" s="1" t="s">
        <v>3832</v>
      </c>
      <c r="B3819" s="5">
        <v>45817.041666666664</v>
      </c>
      <c r="C3819" s="1" t="s">
        <v>11</v>
      </c>
      <c r="D3819" s="1" t="s">
        <v>9</v>
      </c>
      <c r="E3819" s="1">
        <v>3</v>
      </c>
      <c r="F3819" s="1">
        <v>289.83999999999997</v>
      </c>
      <c r="G3819" s="1">
        <v>49.02</v>
      </c>
      <c r="H3819">
        <f t="shared" si="59"/>
        <v>869.52</v>
      </c>
    </row>
    <row r="3820" spans="1:8" x14ac:dyDescent="0.25">
      <c r="A3820" s="1" t="s">
        <v>3833</v>
      </c>
      <c r="B3820" s="5">
        <v>45817.083333333336</v>
      </c>
      <c r="C3820" s="1" t="s">
        <v>8</v>
      </c>
      <c r="D3820" s="1" t="s">
        <v>37</v>
      </c>
      <c r="E3820" s="1">
        <v>1</v>
      </c>
      <c r="F3820" s="1">
        <v>120.69</v>
      </c>
      <c r="G3820" s="1">
        <v>35.340000000000003</v>
      </c>
      <c r="H3820">
        <f t="shared" si="59"/>
        <v>120.69</v>
      </c>
    </row>
    <row r="3821" spans="1:8" x14ac:dyDescent="0.25">
      <c r="A3821" s="1" t="s">
        <v>3834</v>
      </c>
      <c r="B3821" s="5">
        <v>45817.125</v>
      </c>
      <c r="C3821" s="1" t="s">
        <v>8</v>
      </c>
      <c r="D3821" s="1" t="s">
        <v>16</v>
      </c>
      <c r="E3821" s="1">
        <v>18</v>
      </c>
      <c r="F3821" s="1">
        <v>203.45</v>
      </c>
      <c r="G3821" s="1">
        <v>46.93</v>
      </c>
      <c r="H3821">
        <f t="shared" si="59"/>
        <v>3662.1</v>
      </c>
    </row>
    <row r="3822" spans="1:8" x14ac:dyDescent="0.25">
      <c r="A3822" s="1" t="s">
        <v>3835</v>
      </c>
      <c r="B3822" s="5">
        <v>45817.166666666664</v>
      </c>
      <c r="C3822" s="1" t="s">
        <v>8</v>
      </c>
      <c r="D3822" s="1" t="s">
        <v>37</v>
      </c>
      <c r="E3822" s="1">
        <v>5</v>
      </c>
      <c r="F3822" s="1">
        <v>126.46</v>
      </c>
      <c r="G3822" s="1">
        <v>42.57</v>
      </c>
      <c r="H3822">
        <f t="shared" si="59"/>
        <v>632.29999999999995</v>
      </c>
    </row>
    <row r="3823" spans="1:8" x14ac:dyDescent="0.25">
      <c r="A3823" s="1" t="s">
        <v>3836</v>
      </c>
      <c r="B3823" s="5">
        <v>45817.208333333336</v>
      </c>
      <c r="C3823" s="1" t="s">
        <v>23</v>
      </c>
      <c r="D3823" s="1" t="s">
        <v>9</v>
      </c>
      <c r="E3823" s="1">
        <v>13</v>
      </c>
      <c r="F3823" s="1">
        <v>399.78</v>
      </c>
      <c r="G3823" s="1">
        <v>31.04</v>
      </c>
      <c r="H3823">
        <f t="shared" si="59"/>
        <v>5197.1399999999994</v>
      </c>
    </row>
    <row r="3824" spans="1:8" x14ac:dyDescent="0.25">
      <c r="A3824" s="1" t="s">
        <v>3837</v>
      </c>
      <c r="B3824" s="5">
        <v>45817.25</v>
      </c>
      <c r="C3824" s="1" t="s">
        <v>11</v>
      </c>
      <c r="D3824" s="1" t="s">
        <v>16</v>
      </c>
      <c r="E3824" s="1">
        <v>10</v>
      </c>
      <c r="F3824" s="1">
        <v>64.400000000000006</v>
      </c>
      <c r="G3824" s="1">
        <v>35.39</v>
      </c>
      <c r="H3824">
        <f t="shared" si="59"/>
        <v>644</v>
      </c>
    </row>
    <row r="3825" spans="1:8" x14ac:dyDescent="0.25">
      <c r="A3825" s="1" t="s">
        <v>3838</v>
      </c>
      <c r="B3825" s="5">
        <v>45817.291666666664</v>
      </c>
      <c r="C3825" s="1" t="s">
        <v>8</v>
      </c>
      <c r="D3825" s="1" t="s">
        <v>9</v>
      </c>
      <c r="E3825" s="1">
        <v>5</v>
      </c>
      <c r="F3825" s="1">
        <v>310.85000000000002</v>
      </c>
      <c r="G3825" s="1">
        <v>33.119999999999997</v>
      </c>
      <c r="H3825">
        <f t="shared" si="59"/>
        <v>1554.25</v>
      </c>
    </row>
    <row r="3826" spans="1:8" x14ac:dyDescent="0.25">
      <c r="A3826" s="1" t="s">
        <v>3839</v>
      </c>
      <c r="B3826" s="5">
        <v>45817.333333333336</v>
      </c>
      <c r="C3826" s="1" t="s">
        <v>13</v>
      </c>
      <c r="D3826" s="1" t="s">
        <v>19</v>
      </c>
      <c r="E3826" s="1">
        <v>14</v>
      </c>
      <c r="F3826" s="1">
        <v>128.59</v>
      </c>
      <c r="G3826" s="1">
        <v>34.979999999999997</v>
      </c>
      <c r="H3826">
        <f t="shared" si="59"/>
        <v>1800.26</v>
      </c>
    </row>
    <row r="3827" spans="1:8" x14ac:dyDescent="0.25">
      <c r="A3827" s="1" t="s">
        <v>3840</v>
      </c>
      <c r="B3827" s="5">
        <v>45817.375</v>
      </c>
      <c r="C3827" s="1" t="s">
        <v>23</v>
      </c>
      <c r="D3827" s="1" t="s">
        <v>16</v>
      </c>
      <c r="E3827" s="1">
        <v>17</v>
      </c>
      <c r="F3827" s="1">
        <v>222.14</v>
      </c>
      <c r="G3827" s="1">
        <v>16.91</v>
      </c>
      <c r="H3827">
        <f t="shared" si="59"/>
        <v>3776.3799999999997</v>
      </c>
    </row>
    <row r="3828" spans="1:8" x14ac:dyDescent="0.25">
      <c r="A3828" s="1" t="s">
        <v>3841</v>
      </c>
      <c r="B3828" s="5">
        <v>45817.416666666664</v>
      </c>
      <c r="C3828" s="1" t="s">
        <v>11</v>
      </c>
      <c r="D3828" s="1" t="s">
        <v>9</v>
      </c>
      <c r="E3828" s="1">
        <v>1</v>
      </c>
      <c r="F3828" s="1">
        <v>145.59</v>
      </c>
      <c r="G3828" s="1">
        <v>23.37</v>
      </c>
      <c r="H3828">
        <f t="shared" si="59"/>
        <v>145.59</v>
      </c>
    </row>
    <row r="3829" spans="1:8" x14ac:dyDescent="0.25">
      <c r="A3829" s="1" t="s">
        <v>3842</v>
      </c>
      <c r="B3829" s="5">
        <v>45817.458333333336</v>
      </c>
      <c r="C3829" s="1" t="s">
        <v>8</v>
      </c>
      <c r="D3829" s="1" t="s">
        <v>16</v>
      </c>
      <c r="E3829" s="1">
        <v>2</v>
      </c>
      <c r="F3829" s="1">
        <v>155.94999999999999</v>
      </c>
      <c r="G3829" s="1">
        <v>31.67</v>
      </c>
      <c r="H3829">
        <f t="shared" si="59"/>
        <v>311.89999999999998</v>
      </c>
    </row>
    <row r="3830" spans="1:8" x14ac:dyDescent="0.25">
      <c r="A3830" s="1" t="s">
        <v>3843</v>
      </c>
      <c r="B3830" s="5">
        <v>45817.5</v>
      </c>
      <c r="C3830" s="1" t="s">
        <v>13</v>
      </c>
      <c r="D3830" s="1" t="s">
        <v>9</v>
      </c>
      <c r="E3830" s="1">
        <v>7</v>
      </c>
      <c r="F3830" s="1">
        <v>128.63999999999999</v>
      </c>
      <c r="G3830" s="1">
        <v>6.62</v>
      </c>
      <c r="H3830">
        <f t="shared" si="59"/>
        <v>900.4799999999999</v>
      </c>
    </row>
    <row r="3831" spans="1:8" x14ac:dyDescent="0.25">
      <c r="A3831" s="1" t="s">
        <v>3844</v>
      </c>
      <c r="B3831" s="5">
        <v>45817.541666666664</v>
      </c>
      <c r="C3831" s="1" t="s">
        <v>11</v>
      </c>
      <c r="D3831" s="1" t="s">
        <v>16</v>
      </c>
      <c r="E3831" s="1">
        <v>10</v>
      </c>
      <c r="F3831" s="1">
        <v>342.59</v>
      </c>
      <c r="G3831" s="1">
        <v>26.73</v>
      </c>
      <c r="H3831">
        <f t="shared" si="59"/>
        <v>3425.8999999999996</v>
      </c>
    </row>
    <row r="3832" spans="1:8" x14ac:dyDescent="0.25">
      <c r="A3832" s="1" t="s">
        <v>3845</v>
      </c>
      <c r="B3832" s="5">
        <v>45817.583333333336</v>
      </c>
      <c r="C3832" s="1" t="s">
        <v>11</v>
      </c>
      <c r="D3832" s="1" t="s">
        <v>9</v>
      </c>
      <c r="E3832" s="1">
        <v>7</v>
      </c>
      <c r="F3832" s="1">
        <v>174.4</v>
      </c>
      <c r="G3832" s="1">
        <v>43.69</v>
      </c>
      <c r="H3832">
        <f t="shared" si="59"/>
        <v>1220.8</v>
      </c>
    </row>
    <row r="3833" spans="1:8" x14ac:dyDescent="0.25">
      <c r="A3833" s="1" t="s">
        <v>3846</v>
      </c>
      <c r="B3833" s="5">
        <v>45817.625</v>
      </c>
      <c r="C3833" s="1" t="s">
        <v>23</v>
      </c>
      <c r="D3833" s="1" t="s">
        <v>19</v>
      </c>
      <c r="E3833" s="1">
        <v>16</v>
      </c>
      <c r="F3833" s="1">
        <v>331.1</v>
      </c>
      <c r="G3833" s="1">
        <v>27.16</v>
      </c>
      <c r="H3833">
        <f t="shared" si="59"/>
        <v>5297.6</v>
      </c>
    </row>
    <row r="3834" spans="1:8" x14ac:dyDescent="0.25">
      <c r="A3834" s="1" t="s">
        <v>3847</v>
      </c>
      <c r="B3834" s="5">
        <v>45817.666666666664</v>
      </c>
      <c r="C3834" s="1" t="s">
        <v>11</v>
      </c>
      <c r="D3834" s="1" t="s">
        <v>16</v>
      </c>
      <c r="E3834" s="1">
        <v>5</v>
      </c>
      <c r="F3834" s="1">
        <v>213.66</v>
      </c>
      <c r="G3834" s="1">
        <v>29.85</v>
      </c>
      <c r="H3834">
        <f t="shared" si="59"/>
        <v>1068.3</v>
      </c>
    </row>
    <row r="3835" spans="1:8" x14ac:dyDescent="0.25">
      <c r="A3835" s="1" t="s">
        <v>3848</v>
      </c>
      <c r="B3835" s="5">
        <v>45817.708333333336</v>
      </c>
      <c r="C3835" s="1" t="s">
        <v>23</v>
      </c>
      <c r="D3835" s="1" t="s">
        <v>16</v>
      </c>
      <c r="E3835" s="1">
        <v>12</v>
      </c>
      <c r="F3835" s="1">
        <v>253.28</v>
      </c>
      <c r="G3835" s="1">
        <v>14.09</v>
      </c>
      <c r="H3835">
        <f t="shared" si="59"/>
        <v>3039.36</v>
      </c>
    </row>
    <row r="3836" spans="1:8" x14ac:dyDescent="0.25">
      <c r="A3836" s="1" t="s">
        <v>3849</v>
      </c>
      <c r="B3836" s="5">
        <v>45817.75</v>
      </c>
      <c r="C3836" s="1" t="s">
        <v>8</v>
      </c>
      <c r="D3836" s="1" t="s">
        <v>16</v>
      </c>
      <c r="E3836" s="1">
        <v>17</v>
      </c>
      <c r="F3836" s="1">
        <v>251.56</v>
      </c>
      <c r="G3836" s="1">
        <v>40.75</v>
      </c>
      <c r="H3836">
        <f t="shared" si="59"/>
        <v>4276.5200000000004</v>
      </c>
    </row>
    <row r="3837" spans="1:8" x14ac:dyDescent="0.25">
      <c r="A3837" s="1" t="s">
        <v>3850</v>
      </c>
      <c r="B3837" s="5">
        <v>45817.791666666664</v>
      </c>
      <c r="C3837" s="1" t="s">
        <v>23</v>
      </c>
      <c r="D3837" s="1" t="s">
        <v>16</v>
      </c>
      <c r="E3837" s="1">
        <v>16</v>
      </c>
      <c r="F3837" s="1">
        <v>439.51</v>
      </c>
      <c r="G3837" s="1">
        <v>21.15</v>
      </c>
      <c r="H3837">
        <f t="shared" si="59"/>
        <v>7032.16</v>
      </c>
    </row>
    <row r="3838" spans="1:8" x14ac:dyDescent="0.25">
      <c r="A3838" s="1" t="s">
        <v>3851</v>
      </c>
      <c r="B3838" s="5">
        <v>45817.833333333336</v>
      </c>
      <c r="C3838" s="1" t="s">
        <v>13</v>
      </c>
      <c r="D3838" s="1" t="s">
        <v>19</v>
      </c>
      <c r="E3838" s="1">
        <v>16</v>
      </c>
      <c r="F3838" s="1">
        <v>174.99</v>
      </c>
      <c r="G3838" s="1">
        <v>48.05</v>
      </c>
      <c r="H3838">
        <f t="shared" si="59"/>
        <v>2799.84</v>
      </c>
    </row>
    <row r="3839" spans="1:8" x14ac:dyDescent="0.25">
      <c r="A3839" s="1" t="s">
        <v>3852</v>
      </c>
      <c r="B3839" s="5">
        <v>45817.875</v>
      </c>
      <c r="C3839" s="1" t="s">
        <v>23</v>
      </c>
      <c r="D3839" s="1" t="s">
        <v>16</v>
      </c>
      <c r="E3839" s="1">
        <v>19</v>
      </c>
      <c r="F3839" s="1">
        <v>105.74</v>
      </c>
      <c r="G3839" s="1">
        <v>49.72</v>
      </c>
      <c r="H3839">
        <f t="shared" si="59"/>
        <v>2009.06</v>
      </c>
    </row>
    <row r="3840" spans="1:8" x14ac:dyDescent="0.25">
      <c r="A3840" s="1" t="s">
        <v>3853</v>
      </c>
      <c r="B3840" s="5">
        <v>45817.916666666664</v>
      </c>
      <c r="C3840" s="1" t="s">
        <v>13</v>
      </c>
      <c r="D3840" s="1" t="s">
        <v>37</v>
      </c>
      <c r="E3840" s="1">
        <v>15</v>
      </c>
      <c r="F3840" s="1">
        <v>411.67</v>
      </c>
      <c r="G3840" s="1">
        <v>46.22</v>
      </c>
      <c r="H3840">
        <f t="shared" si="59"/>
        <v>6175.05</v>
      </c>
    </row>
    <row r="3841" spans="1:8" x14ac:dyDescent="0.25">
      <c r="A3841" s="1" t="s">
        <v>3854</v>
      </c>
      <c r="B3841" s="5">
        <v>45817.958333333336</v>
      </c>
      <c r="C3841" s="1" t="s">
        <v>23</v>
      </c>
      <c r="D3841" s="1" t="s">
        <v>19</v>
      </c>
      <c r="E3841" s="1">
        <v>12</v>
      </c>
      <c r="F3841" s="1">
        <v>91.47</v>
      </c>
      <c r="G3841" s="1">
        <v>8.82</v>
      </c>
      <c r="H3841">
        <f t="shared" si="59"/>
        <v>1097.6399999999999</v>
      </c>
    </row>
    <row r="3842" spans="1:8" x14ac:dyDescent="0.25">
      <c r="A3842" s="1" t="s">
        <v>3855</v>
      </c>
      <c r="B3842" s="5">
        <v>45818</v>
      </c>
      <c r="C3842" s="1" t="s">
        <v>11</v>
      </c>
      <c r="D3842" s="1" t="s">
        <v>37</v>
      </c>
      <c r="E3842" s="1">
        <v>10</v>
      </c>
      <c r="F3842" s="1">
        <v>378.06</v>
      </c>
      <c r="G3842" s="1">
        <v>19.989999999999998</v>
      </c>
      <c r="H3842">
        <f t="shared" ref="H3842:H3905" si="60">E3842*F3842</f>
        <v>3780.6</v>
      </c>
    </row>
    <row r="3843" spans="1:8" x14ac:dyDescent="0.25">
      <c r="A3843" s="1" t="s">
        <v>3856</v>
      </c>
      <c r="B3843" s="5">
        <v>45818.041666666664</v>
      </c>
      <c r="C3843" s="1" t="s">
        <v>8</v>
      </c>
      <c r="D3843" s="1" t="s">
        <v>16</v>
      </c>
      <c r="E3843" s="1">
        <v>2</v>
      </c>
      <c r="F3843" s="1">
        <v>80.77</v>
      </c>
      <c r="G3843" s="1">
        <v>47.53</v>
      </c>
      <c r="H3843">
        <f t="shared" si="60"/>
        <v>161.54</v>
      </c>
    </row>
    <row r="3844" spans="1:8" x14ac:dyDescent="0.25">
      <c r="A3844" s="1" t="s">
        <v>3857</v>
      </c>
      <c r="B3844" s="5">
        <v>45818.083333333336</v>
      </c>
      <c r="C3844" s="1" t="s">
        <v>13</v>
      </c>
      <c r="D3844" s="1" t="s">
        <v>9</v>
      </c>
      <c r="E3844" s="1">
        <v>7</v>
      </c>
      <c r="F3844" s="1">
        <v>301.72000000000003</v>
      </c>
      <c r="G3844" s="1">
        <v>41.2</v>
      </c>
      <c r="H3844">
        <f t="shared" si="60"/>
        <v>2112.04</v>
      </c>
    </row>
    <row r="3845" spans="1:8" x14ac:dyDescent="0.25">
      <c r="A3845" s="1" t="s">
        <v>3858</v>
      </c>
      <c r="B3845" s="5">
        <v>45818.125</v>
      </c>
      <c r="C3845" s="1" t="s">
        <v>23</v>
      </c>
      <c r="D3845" s="1" t="s">
        <v>37</v>
      </c>
      <c r="E3845" s="1">
        <v>13</v>
      </c>
      <c r="F3845" s="1">
        <v>80.91</v>
      </c>
      <c r="G3845" s="1">
        <v>46</v>
      </c>
      <c r="H3845">
        <f t="shared" si="60"/>
        <v>1051.83</v>
      </c>
    </row>
    <row r="3846" spans="1:8" x14ac:dyDescent="0.25">
      <c r="A3846" s="1" t="s">
        <v>3859</v>
      </c>
      <c r="B3846" s="5">
        <v>45818.166666666664</v>
      </c>
      <c r="C3846" s="1" t="s">
        <v>23</v>
      </c>
      <c r="D3846" s="1" t="s">
        <v>16</v>
      </c>
      <c r="E3846" s="1">
        <v>3</v>
      </c>
      <c r="F3846" s="1">
        <v>416.58</v>
      </c>
      <c r="G3846" s="1">
        <v>30.76</v>
      </c>
      <c r="H3846">
        <f t="shared" si="60"/>
        <v>1249.74</v>
      </c>
    </row>
    <row r="3847" spans="1:8" x14ac:dyDescent="0.25">
      <c r="A3847" s="1" t="s">
        <v>3860</v>
      </c>
      <c r="B3847" s="5">
        <v>45818.208333333336</v>
      </c>
      <c r="C3847" s="1" t="s">
        <v>23</v>
      </c>
      <c r="D3847" s="1" t="s">
        <v>37</v>
      </c>
      <c r="E3847" s="1">
        <v>15</v>
      </c>
      <c r="F3847" s="1">
        <v>261</v>
      </c>
      <c r="G3847" s="1">
        <v>26.62</v>
      </c>
      <c r="H3847">
        <f t="shared" si="60"/>
        <v>3915</v>
      </c>
    </row>
    <row r="3848" spans="1:8" x14ac:dyDescent="0.25">
      <c r="A3848" s="1" t="s">
        <v>3861</v>
      </c>
      <c r="B3848" s="5">
        <v>45818.25</v>
      </c>
      <c r="C3848" s="1" t="s">
        <v>11</v>
      </c>
      <c r="D3848" s="1" t="s">
        <v>16</v>
      </c>
      <c r="E3848" s="1">
        <v>1</v>
      </c>
      <c r="F3848" s="1">
        <v>158.57</v>
      </c>
      <c r="G3848" s="1">
        <v>9.7899999999999991</v>
      </c>
      <c r="H3848">
        <f t="shared" si="60"/>
        <v>158.57</v>
      </c>
    </row>
    <row r="3849" spans="1:8" x14ac:dyDescent="0.25">
      <c r="A3849" s="1" t="s">
        <v>3862</v>
      </c>
      <c r="B3849" s="5">
        <v>45818.291666666664</v>
      </c>
      <c r="C3849" s="1" t="s">
        <v>11</v>
      </c>
      <c r="D3849" s="1" t="s">
        <v>16</v>
      </c>
      <c r="E3849" s="1">
        <v>3</v>
      </c>
      <c r="F3849" s="1">
        <v>76.47</v>
      </c>
      <c r="G3849" s="1">
        <v>42.78</v>
      </c>
      <c r="H3849">
        <f t="shared" si="60"/>
        <v>229.41</v>
      </c>
    </row>
    <row r="3850" spans="1:8" x14ac:dyDescent="0.25">
      <c r="A3850" s="1" t="s">
        <v>3863</v>
      </c>
      <c r="B3850" s="5">
        <v>45818.333333333336</v>
      </c>
      <c r="C3850" s="1" t="s">
        <v>13</v>
      </c>
      <c r="D3850" s="1" t="s">
        <v>16</v>
      </c>
      <c r="E3850" s="1">
        <v>10</v>
      </c>
      <c r="F3850" s="1">
        <v>176.78</v>
      </c>
      <c r="G3850" s="1">
        <v>38.53</v>
      </c>
      <c r="H3850">
        <f t="shared" si="60"/>
        <v>1767.8</v>
      </c>
    </row>
    <row r="3851" spans="1:8" x14ac:dyDescent="0.25">
      <c r="A3851" s="1" t="s">
        <v>3864</v>
      </c>
      <c r="B3851" s="5">
        <v>45818.375</v>
      </c>
      <c r="C3851" s="1" t="s">
        <v>13</v>
      </c>
      <c r="D3851" s="1" t="s">
        <v>9</v>
      </c>
      <c r="E3851" s="1">
        <v>15</v>
      </c>
      <c r="F3851" s="1">
        <v>321.83</v>
      </c>
      <c r="G3851" s="1">
        <v>7.65</v>
      </c>
      <c r="H3851">
        <f t="shared" si="60"/>
        <v>4827.45</v>
      </c>
    </row>
    <row r="3852" spans="1:8" x14ac:dyDescent="0.25">
      <c r="A3852" s="1" t="s">
        <v>3865</v>
      </c>
      <c r="B3852" s="5">
        <v>45818.416666666664</v>
      </c>
      <c r="C3852" s="1" t="s">
        <v>11</v>
      </c>
      <c r="D3852" s="1" t="s">
        <v>37</v>
      </c>
      <c r="E3852" s="1">
        <v>6</v>
      </c>
      <c r="F3852" s="1">
        <v>182.76</v>
      </c>
      <c r="G3852" s="1">
        <v>14.42</v>
      </c>
      <c r="H3852">
        <f t="shared" si="60"/>
        <v>1096.56</v>
      </c>
    </row>
    <row r="3853" spans="1:8" x14ac:dyDescent="0.25">
      <c r="A3853" s="1" t="s">
        <v>3866</v>
      </c>
      <c r="B3853" s="5">
        <v>45818.458333333336</v>
      </c>
      <c r="C3853" s="1" t="s">
        <v>13</v>
      </c>
      <c r="D3853" s="1" t="s">
        <v>19</v>
      </c>
      <c r="E3853" s="1">
        <v>15</v>
      </c>
      <c r="F3853" s="1">
        <v>122.43</v>
      </c>
      <c r="G3853" s="1">
        <v>30.08</v>
      </c>
      <c r="H3853">
        <f t="shared" si="60"/>
        <v>1836.45</v>
      </c>
    </row>
    <row r="3854" spans="1:8" x14ac:dyDescent="0.25">
      <c r="A3854" s="1" t="s">
        <v>3867</v>
      </c>
      <c r="B3854" s="5">
        <v>45818.5</v>
      </c>
      <c r="C3854" s="1" t="s">
        <v>8</v>
      </c>
      <c r="D3854" s="1" t="s">
        <v>19</v>
      </c>
      <c r="E3854" s="1">
        <v>7</v>
      </c>
      <c r="F3854" s="1">
        <v>266.38</v>
      </c>
      <c r="G3854" s="1">
        <v>35.799999999999997</v>
      </c>
      <c r="H3854">
        <f t="shared" si="60"/>
        <v>1864.6599999999999</v>
      </c>
    </row>
    <row r="3855" spans="1:8" x14ac:dyDescent="0.25">
      <c r="A3855" s="1" t="s">
        <v>3868</v>
      </c>
      <c r="B3855" s="5">
        <v>45818.541666666664</v>
      </c>
      <c r="C3855" s="1" t="s">
        <v>8</v>
      </c>
      <c r="D3855" s="1" t="s">
        <v>19</v>
      </c>
      <c r="E3855" s="1">
        <v>5</v>
      </c>
      <c r="F3855" s="1">
        <v>197.04</v>
      </c>
      <c r="G3855" s="1">
        <v>11.2</v>
      </c>
      <c r="H3855">
        <f t="shared" si="60"/>
        <v>985.19999999999993</v>
      </c>
    </row>
    <row r="3856" spans="1:8" x14ac:dyDescent="0.25">
      <c r="A3856" s="1" t="s">
        <v>3869</v>
      </c>
      <c r="B3856" s="5">
        <v>45818.583333333336</v>
      </c>
      <c r="C3856" s="1" t="s">
        <v>11</v>
      </c>
      <c r="D3856" s="1" t="s">
        <v>19</v>
      </c>
      <c r="E3856" s="1">
        <v>4</v>
      </c>
      <c r="F3856" s="1">
        <v>87.54</v>
      </c>
      <c r="G3856" s="1">
        <v>16.02</v>
      </c>
      <c r="H3856">
        <f t="shared" si="60"/>
        <v>350.16</v>
      </c>
    </row>
    <row r="3857" spans="1:8" x14ac:dyDescent="0.25">
      <c r="A3857" s="1" t="s">
        <v>3870</v>
      </c>
      <c r="B3857" s="5">
        <v>45818.625</v>
      </c>
      <c r="C3857" s="1" t="s">
        <v>13</v>
      </c>
      <c r="D3857" s="1" t="s">
        <v>16</v>
      </c>
      <c r="E3857" s="1">
        <v>18</v>
      </c>
      <c r="F3857" s="1">
        <v>82.41</v>
      </c>
      <c r="G3857" s="1">
        <v>13.69</v>
      </c>
      <c r="H3857">
        <f t="shared" si="60"/>
        <v>1483.3799999999999</v>
      </c>
    </row>
    <row r="3858" spans="1:8" x14ac:dyDescent="0.25">
      <c r="A3858" s="1" t="s">
        <v>3871</v>
      </c>
      <c r="B3858" s="5">
        <v>45818.666666666664</v>
      </c>
      <c r="C3858" s="1" t="s">
        <v>23</v>
      </c>
      <c r="D3858" s="1" t="s">
        <v>37</v>
      </c>
      <c r="E3858" s="1">
        <v>3</v>
      </c>
      <c r="F3858" s="1">
        <v>322.89</v>
      </c>
      <c r="G3858" s="1">
        <v>14.9</v>
      </c>
      <c r="H3858">
        <f t="shared" si="60"/>
        <v>968.67</v>
      </c>
    </row>
    <row r="3859" spans="1:8" x14ac:dyDescent="0.25">
      <c r="A3859" s="1" t="s">
        <v>3872</v>
      </c>
      <c r="B3859" s="5">
        <v>45818.708333333336</v>
      </c>
      <c r="C3859" s="1" t="s">
        <v>8</v>
      </c>
      <c r="D3859" s="1" t="s">
        <v>37</v>
      </c>
      <c r="E3859" s="1">
        <v>17</v>
      </c>
      <c r="F3859" s="1">
        <v>438.99</v>
      </c>
      <c r="G3859" s="1">
        <v>46.43</v>
      </c>
      <c r="H3859">
        <f t="shared" si="60"/>
        <v>7462.83</v>
      </c>
    </row>
    <row r="3860" spans="1:8" x14ac:dyDescent="0.25">
      <c r="A3860" s="1" t="s">
        <v>3873</v>
      </c>
      <c r="B3860" s="5">
        <v>45818.75</v>
      </c>
      <c r="C3860" s="1" t="s">
        <v>11</v>
      </c>
      <c r="D3860" s="1" t="s">
        <v>9</v>
      </c>
      <c r="E3860" s="1">
        <v>18</v>
      </c>
      <c r="F3860" s="1">
        <v>116.78</v>
      </c>
      <c r="G3860" s="1">
        <v>37.21</v>
      </c>
      <c r="H3860">
        <f t="shared" si="60"/>
        <v>2102.04</v>
      </c>
    </row>
    <row r="3861" spans="1:8" x14ac:dyDescent="0.25">
      <c r="A3861" s="1" t="s">
        <v>3874</v>
      </c>
      <c r="B3861" s="5">
        <v>45818.791666666664</v>
      </c>
      <c r="C3861" s="1" t="s">
        <v>13</v>
      </c>
      <c r="D3861" s="1" t="s">
        <v>37</v>
      </c>
      <c r="E3861" s="1">
        <v>18</v>
      </c>
      <c r="F3861" s="1">
        <v>351.43</v>
      </c>
      <c r="G3861" s="1">
        <v>38.17</v>
      </c>
      <c r="H3861">
        <f t="shared" si="60"/>
        <v>6325.74</v>
      </c>
    </row>
    <row r="3862" spans="1:8" x14ac:dyDescent="0.25">
      <c r="A3862" s="1" t="s">
        <v>3875</v>
      </c>
      <c r="B3862" s="5">
        <v>45818.833333333336</v>
      </c>
      <c r="C3862" s="1" t="s">
        <v>11</v>
      </c>
      <c r="D3862" s="1" t="s">
        <v>37</v>
      </c>
      <c r="E3862" s="1">
        <v>2</v>
      </c>
      <c r="F3862" s="1">
        <v>53.57</v>
      </c>
      <c r="G3862" s="1">
        <v>40.729999999999997</v>
      </c>
      <c r="H3862">
        <f t="shared" si="60"/>
        <v>107.14</v>
      </c>
    </row>
    <row r="3863" spans="1:8" x14ac:dyDescent="0.25">
      <c r="A3863" s="1" t="s">
        <v>3876</v>
      </c>
      <c r="B3863" s="5">
        <v>45818.875</v>
      </c>
      <c r="C3863" s="1" t="s">
        <v>23</v>
      </c>
      <c r="D3863" s="1" t="s">
        <v>37</v>
      </c>
      <c r="E3863" s="1">
        <v>13</v>
      </c>
      <c r="F3863" s="1">
        <v>181.29</v>
      </c>
      <c r="G3863" s="1">
        <v>21.05</v>
      </c>
      <c r="H3863">
        <f t="shared" si="60"/>
        <v>2356.77</v>
      </c>
    </row>
    <row r="3864" spans="1:8" x14ac:dyDescent="0.25">
      <c r="A3864" s="1" t="s">
        <v>3877</v>
      </c>
      <c r="B3864" s="5">
        <v>45818.916666666664</v>
      </c>
      <c r="C3864" s="1" t="s">
        <v>8</v>
      </c>
      <c r="D3864" s="1" t="s">
        <v>9</v>
      </c>
      <c r="E3864" s="1">
        <v>15</v>
      </c>
      <c r="F3864" s="1">
        <v>235.66</v>
      </c>
      <c r="G3864" s="1">
        <v>39.520000000000003</v>
      </c>
      <c r="H3864">
        <f t="shared" si="60"/>
        <v>3534.9</v>
      </c>
    </row>
    <row r="3865" spans="1:8" x14ac:dyDescent="0.25">
      <c r="A3865" s="1" t="s">
        <v>3878</v>
      </c>
      <c r="B3865" s="5">
        <v>45818.958333333336</v>
      </c>
      <c r="C3865" s="1" t="s">
        <v>11</v>
      </c>
      <c r="D3865" s="1" t="s">
        <v>19</v>
      </c>
      <c r="E3865" s="1">
        <v>5</v>
      </c>
      <c r="F3865" s="1">
        <v>132.27000000000001</v>
      </c>
      <c r="G3865" s="1">
        <v>49.03</v>
      </c>
      <c r="H3865">
        <f t="shared" si="60"/>
        <v>661.35</v>
      </c>
    </row>
    <row r="3866" spans="1:8" x14ac:dyDescent="0.25">
      <c r="A3866" s="1" t="s">
        <v>3879</v>
      </c>
      <c r="B3866" s="5">
        <v>45819</v>
      </c>
      <c r="C3866" s="1" t="s">
        <v>11</v>
      </c>
      <c r="D3866" s="1" t="s">
        <v>37</v>
      </c>
      <c r="E3866" s="1">
        <v>3</v>
      </c>
      <c r="F3866" s="1">
        <v>245.6</v>
      </c>
      <c r="G3866" s="1">
        <v>36.43</v>
      </c>
      <c r="H3866">
        <f t="shared" si="60"/>
        <v>736.8</v>
      </c>
    </row>
    <row r="3867" spans="1:8" x14ac:dyDescent="0.25">
      <c r="A3867" s="1" t="s">
        <v>3880</v>
      </c>
      <c r="B3867" s="5">
        <v>45819.041666666664</v>
      </c>
      <c r="C3867" s="1" t="s">
        <v>11</v>
      </c>
      <c r="D3867" s="1" t="s">
        <v>9</v>
      </c>
      <c r="E3867" s="1">
        <v>5</v>
      </c>
      <c r="F3867" s="1">
        <v>399</v>
      </c>
      <c r="G3867" s="1">
        <v>23.75</v>
      </c>
      <c r="H3867">
        <f t="shared" si="60"/>
        <v>1995</v>
      </c>
    </row>
    <row r="3868" spans="1:8" x14ac:dyDescent="0.25">
      <c r="A3868" s="1" t="s">
        <v>3881</v>
      </c>
      <c r="B3868" s="5">
        <v>45819.083333333336</v>
      </c>
      <c r="C3868" s="1" t="s">
        <v>23</v>
      </c>
      <c r="D3868" s="1" t="s">
        <v>9</v>
      </c>
      <c r="E3868" s="1">
        <v>5</v>
      </c>
      <c r="F3868" s="1">
        <v>425.86</v>
      </c>
      <c r="G3868" s="1">
        <v>37.24</v>
      </c>
      <c r="H3868">
        <f t="shared" si="60"/>
        <v>2129.3000000000002</v>
      </c>
    </row>
    <row r="3869" spans="1:8" x14ac:dyDescent="0.25">
      <c r="A3869" s="1" t="s">
        <v>3882</v>
      </c>
      <c r="B3869" s="5">
        <v>45819.125</v>
      </c>
      <c r="C3869" s="1" t="s">
        <v>11</v>
      </c>
      <c r="D3869" s="1" t="s">
        <v>16</v>
      </c>
      <c r="E3869" s="1">
        <v>5</v>
      </c>
      <c r="F3869" s="1">
        <v>59.19</v>
      </c>
      <c r="G3869" s="1">
        <v>45.54</v>
      </c>
      <c r="H3869">
        <f t="shared" si="60"/>
        <v>295.95</v>
      </c>
    </row>
    <row r="3870" spans="1:8" x14ac:dyDescent="0.25">
      <c r="A3870" s="1" t="s">
        <v>3883</v>
      </c>
      <c r="B3870" s="5">
        <v>45819.166666666664</v>
      </c>
      <c r="C3870" s="1" t="s">
        <v>23</v>
      </c>
      <c r="D3870" s="1" t="s">
        <v>9</v>
      </c>
      <c r="E3870" s="1">
        <v>3</v>
      </c>
      <c r="F3870" s="1">
        <v>133.62</v>
      </c>
      <c r="G3870" s="1">
        <v>10.79</v>
      </c>
      <c r="H3870">
        <f t="shared" si="60"/>
        <v>400.86</v>
      </c>
    </row>
    <row r="3871" spans="1:8" x14ac:dyDescent="0.25">
      <c r="A3871" s="1" t="s">
        <v>3884</v>
      </c>
      <c r="B3871" s="5">
        <v>45819.208333333336</v>
      </c>
      <c r="C3871" s="1" t="s">
        <v>23</v>
      </c>
      <c r="D3871" s="1" t="s">
        <v>19</v>
      </c>
      <c r="E3871" s="1">
        <v>3</v>
      </c>
      <c r="F3871" s="1">
        <v>440.93</v>
      </c>
      <c r="G3871" s="1">
        <v>16.940000000000001</v>
      </c>
      <c r="H3871">
        <f t="shared" si="60"/>
        <v>1322.79</v>
      </c>
    </row>
    <row r="3872" spans="1:8" x14ac:dyDescent="0.25">
      <c r="A3872" s="1" t="s">
        <v>3885</v>
      </c>
      <c r="B3872" s="5">
        <v>45819.25</v>
      </c>
      <c r="C3872" s="1" t="s">
        <v>23</v>
      </c>
      <c r="D3872" s="1" t="s">
        <v>37</v>
      </c>
      <c r="E3872" s="1">
        <v>18</v>
      </c>
      <c r="F3872" s="1">
        <v>133</v>
      </c>
      <c r="G3872" s="1">
        <v>46.37</v>
      </c>
      <c r="H3872">
        <f t="shared" si="60"/>
        <v>2394</v>
      </c>
    </row>
    <row r="3873" spans="1:8" x14ac:dyDescent="0.25">
      <c r="A3873" s="1" t="s">
        <v>3886</v>
      </c>
      <c r="B3873" s="5">
        <v>45819.291666666664</v>
      </c>
      <c r="C3873" s="1" t="s">
        <v>8</v>
      </c>
      <c r="D3873" s="1" t="s">
        <v>9</v>
      </c>
      <c r="E3873" s="1">
        <v>4</v>
      </c>
      <c r="F3873" s="1">
        <v>316.48</v>
      </c>
      <c r="G3873" s="1">
        <v>47.58</v>
      </c>
      <c r="H3873">
        <f t="shared" si="60"/>
        <v>1265.92</v>
      </c>
    </row>
    <row r="3874" spans="1:8" x14ac:dyDescent="0.25">
      <c r="A3874" s="1" t="s">
        <v>3887</v>
      </c>
      <c r="B3874" s="5">
        <v>45819.333333333336</v>
      </c>
      <c r="C3874" s="1" t="s">
        <v>8</v>
      </c>
      <c r="D3874" s="1" t="s">
        <v>19</v>
      </c>
      <c r="E3874" s="1">
        <v>1</v>
      </c>
      <c r="F3874" s="1">
        <v>125.63</v>
      </c>
      <c r="G3874" s="1">
        <v>26.79</v>
      </c>
      <c r="H3874">
        <f t="shared" si="60"/>
        <v>125.63</v>
      </c>
    </row>
    <row r="3875" spans="1:8" x14ac:dyDescent="0.25">
      <c r="A3875" s="1" t="s">
        <v>3888</v>
      </c>
      <c r="B3875" s="5">
        <v>45819.375</v>
      </c>
      <c r="C3875" s="1" t="s">
        <v>11</v>
      </c>
      <c r="D3875" s="1" t="s">
        <v>9</v>
      </c>
      <c r="E3875" s="1">
        <v>16</v>
      </c>
      <c r="F3875" s="1">
        <v>170.34</v>
      </c>
      <c r="G3875" s="1">
        <v>21.85</v>
      </c>
      <c r="H3875">
        <f t="shared" si="60"/>
        <v>2725.44</v>
      </c>
    </row>
    <row r="3876" spans="1:8" x14ac:dyDescent="0.25">
      <c r="A3876" s="1" t="s">
        <v>3889</v>
      </c>
      <c r="B3876" s="5">
        <v>45819.416666666664</v>
      </c>
      <c r="C3876" s="1" t="s">
        <v>11</v>
      </c>
      <c r="D3876" s="1" t="s">
        <v>9</v>
      </c>
      <c r="E3876" s="1">
        <v>8</v>
      </c>
      <c r="F3876" s="1">
        <v>98.61</v>
      </c>
      <c r="G3876" s="1">
        <v>17.73</v>
      </c>
      <c r="H3876">
        <f t="shared" si="60"/>
        <v>788.88</v>
      </c>
    </row>
    <row r="3877" spans="1:8" x14ac:dyDescent="0.25">
      <c r="A3877" s="1" t="s">
        <v>3890</v>
      </c>
      <c r="B3877" s="5">
        <v>45819.458333333336</v>
      </c>
      <c r="C3877" s="1" t="s">
        <v>8</v>
      </c>
      <c r="D3877" s="1" t="s">
        <v>9</v>
      </c>
      <c r="E3877" s="1">
        <v>17</v>
      </c>
      <c r="F3877" s="1">
        <v>387.56</v>
      </c>
      <c r="G3877" s="1">
        <v>27.44</v>
      </c>
      <c r="H3877">
        <f t="shared" si="60"/>
        <v>6588.52</v>
      </c>
    </row>
    <row r="3878" spans="1:8" x14ac:dyDescent="0.25">
      <c r="A3878" s="1" t="s">
        <v>3891</v>
      </c>
      <c r="B3878" s="5">
        <v>45819.5</v>
      </c>
      <c r="C3878" s="1" t="s">
        <v>13</v>
      </c>
      <c r="D3878" s="1" t="s">
        <v>9</v>
      </c>
      <c r="E3878" s="1">
        <v>8</v>
      </c>
      <c r="F3878" s="1">
        <v>399.01</v>
      </c>
      <c r="G3878" s="1">
        <v>47.05</v>
      </c>
      <c r="H3878">
        <f t="shared" si="60"/>
        <v>3192.08</v>
      </c>
    </row>
    <row r="3879" spans="1:8" x14ac:dyDescent="0.25">
      <c r="A3879" s="1" t="s">
        <v>3892</v>
      </c>
      <c r="B3879" s="5">
        <v>45819.541666666664</v>
      </c>
      <c r="C3879" s="1" t="s">
        <v>8</v>
      </c>
      <c r="D3879" s="1" t="s">
        <v>9</v>
      </c>
      <c r="E3879" s="1">
        <v>7</v>
      </c>
      <c r="F3879" s="1">
        <v>144.51</v>
      </c>
      <c r="G3879" s="1">
        <v>11.74</v>
      </c>
      <c r="H3879">
        <f t="shared" si="60"/>
        <v>1011.5699999999999</v>
      </c>
    </row>
    <row r="3880" spans="1:8" x14ac:dyDescent="0.25">
      <c r="A3880" s="1" t="s">
        <v>3893</v>
      </c>
      <c r="B3880" s="5">
        <v>45819.583333333336</v>
      </c>
      <c r="C3880" s="1" t="s">
        <v>23</v>
      </c>
      <c r="D3880" s="1" t="s">
        <v>19</v>
      </c>
      <c r="E3880" s="1">
        <v>8</v>
      </c>
      <c r="F3880" s="1">
        <v>373.35</v>
      </c>
      <c r="G3880" s="1">
        <v>23.89</v>
      </c>
      <c r="H3880">
        <f t="shared" si="60"/>
        <v>2986.8</v>
      </c>
    </row>
    <row r="3881" spans="1:8" x14ac:dyDescent="0.25">
      <c r="A3881" s="1" t="s">
        <v>3894</v>
      </c>
      <c r="B3881" s="5">
        <v>45819.625</v>
      </c>
      <c r="C3881" s="1" t="s">
        <v>8</v>
      </c>
      <c r="D3881" s="1" t="s">
        <v>37</v>
      </c>
      <c r="E3881" s="1">
        <v>12</v>
      </c>
      <c r="F3881" s="1">
        <v>171.16</v>
      </c>
      <c r="G3881" s="1">
        <v>46.02</v>
      </c>
      <c r="H3881">
        <f t="shared" si="60"/>
        <v>2053.92</v>
      </c>
    </row>
    <row r="3882" spans="1:8" x14ac:dyDescent="0.25">
      <c r="A3882" s="1" t="s">
        <v>3895</v>
      </c>
      <c r="B3882" s="5">
        <v>45819.666666666664</v>
      </c>
      <c r="C3882" s="1" t="s">
        <v>23</v>
      </c>
      <c r="D3882" s="1" t="s">
        <v>37</v>
      </c>
      <c r="E3882" s="1">
        <v>16</v>
      </c>
      <c r="F3882" s="1">
        <v>58.52</v>
      </c>
      <c r="G3882" s="1">
        <v>20.71</v>
      </c>
      <c r="H3882">
        <f t="shared" si="60"/>
        <v>936.32</v>
      </c>
    </row>
    <row r="3883" spans="1:8" x14ac:dyDescent="0.25">
      <c r="A3883" s="1" t="s">
        <v>3896</v>
      </c>
      <c r="B3883" s="5">
        <v>45819.708333333336</v>
      </c>
      <c r="C3883" s="1" t="s">
        <v>11</v>
      </c>
      <c r="D3883" s="1" t="s">
        <v>37</v>
      </c>
      <c r="E3883" s="1">
        <v>12</v>
      </c>
      <c r="F3883" s="1">
        <v>344.88</v>
      </c>
      <c r="G3883" s="1">
        <v>39.56</v>
      </c>
      <c r="H3883">
        <f t="shared" si="60"/>
        <v>4138.5599999999995</v>
      </c>
    </row>
    <row r="3884" spans="1:8" x14ac:dyDescent="0.25">
      <c r="A3884" s="1" t="s">
        <v>3897</v>
      </c>
      <c r="B3884" s="5">
        <v>45819.75</v>
      </c>
      <c r="C3884" s="1" t="s">
        <v>13</v>
      </c>
      <c r="D3884" s="1" t="s">
        <v>37</v>
      </c>
      <c r="E3884" s="1">
        <v>19</v>
      </c>
      <c r="F3884" s="1">
        <v>274.66000000000003</v>
      </c>
      <c r="G3884" s="1">
        <v>22.52</v>
      </c>
      <c r="H3884">
        <f t="shared" si="60"/>
        <v>5218.5400000000009</v>
      </c>
    </row>
    <row r="3885" spans="1:8" x14ac:dyDescent="0.25">
      <c r="A3885" s="1" t="s">
        <v>3898</v>
      </c>
      <c r="B3885" s="5">
        <v>45819.791666666664</v>
      </c>
      <c r="C3885" s="1" t="s">
        <v>11</v>
      </c>
      <c r="D3885" s="1" t="s">
        <v>19</v>
      </c>
      <c r="E3885" s="1">
        <v>10</v>
      </c>
      <c r="F3885" s="1">
        <v>134.72</v>
      </c>
      <c r="G3885" s="1">
        <v>41.22</v>
      </c>
      <c r="H3885">
        <f t="shared" si="60"/>
        <v>1347.2</v>
      </c>
    </row>
    <row r="3886" spans="1:8" x14ac:dyDescent="0.25">
      <c r="A3886" s="1" t="s">
        <v>3899</v>
      </c>
      <c r="B3886" s="5">
        <v>45819.833333333336</v>
      </c>
      <c r="C3886" s="1" t="s">
        <v>23</v>
      </c>
      <c r="D3886" s="1" t="s">
        <v>16</v>
      </c>
      <c r="E3886" s="1">
        <v>7</v>
      </c>
      <c r="F3886" s="1">
        <v>125.43</v>
      </c>
      <c r="G3886" s="1">
        <v>49.15</v>
      </c>
      <c r="H3886">
        <f t="shared" si="60"/>
        <v>878.01</v>
      </c>
    </row>
    <row r="3887" spans="1:8" x14ac:dyDescent="0.25">
      <c r="A3887" s="1" t="s">
        <v>3900</v>
      </c>
      <c r="B3887" s="5">
        <v>45819.875</v>
      </c>
      <c r="C3887" s="1" t="s">
        <v>23</v>
      </c>
      <c r="D3887" s="1" t="s">
        <v>16</v>
      </c>
      <c r="E3887" s="1">
        <v>12</v>
      </c>
      <c r="F3887" s="1">
        <v>439.41</v>
      </c>
      <c r="G3887" s="1">
        <v>22.45</v>
      </c>
      <c r="H3887">
        <f t="shared" si="60"/>
        <v>5272.92</v>
      </c>
    </row>
    <row r="3888" spans="1:8" x14ac:dyDescent="0.25">
      <c r="A3888" s="1" t="s">
        <v>3901</v>
      </c>
      <c r="B3888" s="5">
        <v>45819.916666666664</v>
      </c>
      <c r="C3888" s="1" t="s">
        <v>23</v>
      </c>
      <c r="D3888" s="1" t="s">
        <v>19</v>
      </c>
      <c r="E3888" s="1">
        <v>5</v>
      </c>
      <c r="F3888" s="1">
        <v>390.26</v>
      </c>
      <c r="G3888" s="1">
        <v>43.03</v>
      </c>
      <c r="H3888">
        <f t="shared" si="60"/>
        <v>1951.3</v>
      </c>
    </row>
    <row r="3889" spans="1:8" x14ac:dyDescent="0.25">
      <c r="A3889" s="1" t="s">
        <v>3902</v>
      </c>
      <c r="B3889" s="5">
        <v>45819.958333333336</v>
      </c>
      <c r="C3889" s="1" t="s">
        <v>13</v>
      </c>
      <c r="D3889" s="1" t="s">
        <v>19</v>
      </c>
      <c r="E3889" s="1">
        <v>16</v>
      </c>
      <c r="F3889" s="1">
        <v>367.36</v>
      </c>
      <c r="G3889" s="1">
        <v>49.48</v>
      </c>
      <c r="H3889">
        <f t="shared" si="60"/>
        <v>5877.76</v>
      </c>
    </row>
    <row r="3890" spans="1:8" x14ac:dyDescent="0.25">
      <c r="A3890" s="1" t="s">
        <v>3903</v>
      </c>
      <c r="B3890" s="5">
        <v>45820</v>
      </c>
      <c r="C3890" s="1" t="s">
        <v>8</v>
      </c>
      <c r="D3890" s="1" t="s">
        <v>9</v>
      </c>
      <c r="E3890" s="1">
        <v>9</v>
      </c>
      <c r="F3890" s="1">
        <v>71.12</v>
      </c>
      <c r="G3890" s="1">
        <v>49.27</v>
      </c>
      <c r="H3890">
        <f t="shared" si="60"/>
        <v>640.08000000000004</v>
      </c>
    </row>
    <row r="3891" spans="1:8" x14ac:dyDescent="0.25">
      <c r="A3891" s="1" t="s">
        <v>3904</v>
      </c>
      <c r="B3891" s="5">
        <v>45820.041666666664</v>
      </c>
      <c r="C3891" s="1" t="s">
        <v>11</v>
      </c>
      <c r="D3891" s="1" t="s">
        <v>9</v>
      </c>
      <c r="E3891" s="1">
        <v>7</v>
      </c>
      <c r="F3891" s="1">
        <v>343.63</v>
      </c>
      <c r="G3891" s="1">
        <v>24.52</v>
      </c>
      <c r="H3891">
        <f t="shared" si="60"/>
        <v>2405.41</v>
      </c>
    </row>
    <row r="3892" spans="1:8" x14ac:dyDescent="0.25">
      <c r="A3892" s="1" t="s">
        <v>3905</v>
      </c>
      <c r="B3892" s="5">
        <v>45820.083333333336</v>
      </c>
      <c r="C3892" s="1" t="s">
        <v>11</v>
      </c>
      <c r="D3892" s="1" t="s">
        <v>9</v>
      </c>
      <c r="E3892" s="1">
        <v>14</v>
      </c>
      <c r="F3892" s="1">
        <v>108.72</v>
      </c>
      <c r="G3892" s="1">
        <v>26.86</v>
      </c>
      <c r="H3892">
        <f t="shared" si="60"/>
        <v>1522.08</v>
      </c>
    </row>
    <row r="3893" spans="1:8" x14ac:dyDescent="0.25">
      <c r="A3893" s="1" t="s">
        <v>3906</v>
      </c>
      <c r="B3893" s="5">
        <v>45820.125</v>
      </c>
      <c r="C3893" s="1" t="s">
        <v>8</v>
      </c>
      <c r="D3893" s="1" t="s">
        <v>37</v>
      </c>
      <c r="E3893" s="1">
        <v>11</v>
      </c>
      <c r="F3893" s="1">
        <v>440.18</v>
      </c>
      <c r="G3893" s="1">
        <v>18.649999999999999</v>
      </c>
      <c r="H3893">
        <f t="shared" si="60"/>
        <v>4841.9800000000005</v>
      </c>
    </row>
    <row r="3894" spans="1:8" x14ac:dyDescent="0.25">
      <c r="A3894" s="1" t="s">
        <v>3907</v>
      </c>
      <c r="B3894" s="5">
        <v>45820.166666666664</v>
      </c>
      <c r="C3894" s="1" t="s">
        <v>11</v>
      </c>
      <c r="D3894" s="1" t="s">
        <v>9</v>
      </c>
      <c r="E3894" s="1">
        <v>7</v>
      </c>
      <c r="F3894" s="1">
        <v>38.130000000000003</v>
      </c>
      <c r="G3894" s="1">
        <v>19.13</v>
      </c>
      <c r="H3894">
        <f t="shared" si="60"/>
        <v>266.91000000000003</v>
      </c>
    </row>
    <row r="3895" spans="1:8" x14ac:dyDescent="0.25">
      <c r="A3895" s="1" t="s">
        <v>3908</v>
      </c>
      <c r="B3895" s="5">
        <v>45820.208333333336</v>
      </c>
      <c r="C3895" s="1" t="s">
        <v>13</v>
      </c>
      <c r="D3895" s="1" t="s">
        <v>16</v>
      </c>
      <c r="E3895" s="1">
        <v>10</v>
      </c>
      <c r="F3895" s="1">
        <v>168.5</v>
      </c>
      <c r="G3895" s="1">
        <v>27.16</v>
      </c>
      <c r="H3895">
        <f t="shared" si="60"/>
        <v>1685</v>
      </c>
    </row>
    <row r="3896" spans="1:8" x14ac:dyDescent="0.25">
      <c r="A3896" s="1" t="s">
        <v>3909</v>
      </c>
      <c r="B3896" s="5">
        <v>45820.25</v>
      </c>
      <c r="C3896" s="1" t="s">
        <v>11</v>
      </c>
      <c r="D3896" s="1" t="s">
        <v>37</v>
      </c>
      <c r="E3896" s="1">
        <v>9</v>
      </c>
      <c r="F3896" s="1">
        <v>201.75</v>
      </c>
      <c r="G3896" s="1">
        <v>14.02</v>
      </c>
      <c r="H3896">
        <f t="shared" si="60"/>
        <v>1815.75</v>
      </c>
    </row>
    <row r="3897" spans="1:8" x14ac:dyDescent="0.25">
      <c r="A3897" s="1" t="s">
        <v>3910</v>
      </c>
      <c r="B3897" s="5">
        <v>45820.291666666664</v>
      </c>
      <c r="C3897" s="1" t="s">
        <v>23</v>
      </c>
      <c r="D3897" s="1" t="s">
        <v>9</v>
      </c>
      <c r="E3897" s="1">
        <v>4</v>
      </c>
      <c r="F3897" s="1">
        <v>373.62</v>
      </c>
      <c r="G3897" s="1">
        <v>37</v>
      </c>
      <c r="H3897">
        <f t="shared" si="60"/>
        <v>1494.48</v>
      </c>
    </row>
    <row r="3898" spans="1:8" x14ac:dyDescent="0.25">
      <c r="A3898" s="1" t="s">
        <v>3911</v>
      </c>
      <c r="B3898" s="5">
        <v>45820.333333333336</v>
      </c>
      <c r="C3898" s="1" t="s">
        <v>8</v>
      </c>
      <c r="D3898" s="1" t="s">
        <v>37</v>
      </c>
      <c r="E3898" s="1">
        <v>16</v>
      </c>
      <c r="F3898" s="1">
        <v>348.42</v>
      </c>
      <c r="G3898" s="1">
        <v>29.13</v>
      </c>
      <c r="H3898">
        <f t="shared" si="60"/>
        <v>5574.72</v>
      </c>
    </row>
    <row r="3899" spans="1:8" x14ac:dyDescent="0.25">
      <c r="A3899" s="1" t="s">
        <v>3912</v>
      </c>
      <c r="B3899" s="5">
        <v>45820.375</v>
      </c>
      <c r="C3899" s="1" t="s">
        <v>13</v>
      </c>
      <c r="D3899" s="1" t="s">
        <v>16</v>
      </c>
      <c r="E3899" s="1">
        <v>10</v>
      </c>
      <c r="F3899" s="1">
        <v>178.43</v>
      </c>
      <c r="G3899" s="1">
        <v>45.41</v>
      </c>
      <c r="H3899">
        <f t="shared" si="60"/>
        <v>1784.3000000000002</v>
      </c>
    </row>
    <row r="3900" spans="1:8" x14ac:dyDescent="0.25">
      <c r="A3900" s="1" t="s">
        <v>3913</v>
      </c>
      <c r="B3900" s="5">
        <v>45820.416666666664</v>
      </c>
      <c r="C3900" s="1" t="s">
        <v>8</v>
      </c>
      <c r="D3900" s="1" t="s">
        <v>9</v>
      </c>
      <c r="E3900" s="1">
        <v>19</v>
      </c>
      <c r="F3900" s="1">
        <v>261.24</v>
      </c>
      <c r="G3900" s="1">
        <v>41.48</v>
      </c>
      <c r="H3900">
        <f t="shared" si="60"/>
        <v>4963.5600000000004</v>
      </c>
    </row>
    <row r="3901" spans="1:8" x14ac:dyDescent="0.25">
      <c r="A3901" s="1" t="s">
        <v>3914</v>
      </c>
      <c r="B3901" s="5">
        <v>45820.458333333336</v>
      </c>
      <c r="C3901" s="1" t="s">
        <v>13</v>
      </c>
      <c r="D3901" s="1" t="s">
        <v>16</v>
      </c>
      <c r="E3901" s="1">
        <v>17</v>
      </c>
      <c r="F3901" s="1">
        <v>378.57</v>
      </c>
      <c r="G3901" s="1">
        <v>19.510000000000002</v>
      </c>
      <c r="H3901">
        <f t="shared" si="60"/>
        <v>6435.69</v>
      </c>
    </row>
    <row r="3902" spans="1:8" x14ac:dyDescent="0.25">
      <c r="A3902" s="1" t="s">
        <v>3915</v>
      </c>
      <c r="B3902" s="5">
        <v>45820.5</v>
      </c>
      <c r="C3902" s="1" t="s">
        <v>23</v>
      </c>
      <c r="D3902" s="1" t="s">
        <v>16</v>
      </c>
      <c r="E3902" s="1">
        <v>9</v>
      </c>
      <c r="F3902" s="1">
        <v>23.41</v>
      </c>
      <c r="G3902" s="1">
        <v>27.76</v>
      </c>
      <c r="H3902">
        <f t="shared" si="60"/>
        <v>210.69</v>
      </c>
    </row>
    <row r="3903" spans="1:8" x14ac:dyDescent="0.25">
      <c r="A3903" s="1" t="s">
        <v>3916</v>
      </c>
      <c r="B3903" s="5">
        <v>45820.541666666664</v>
      </c>
      <c r="C3903" s="1" t="s">
        <v>8</v>
      </c>
      <c r="D3903" s="1" t="s">
        <v>16</v>
      </c>
      <c r="E3903" s="1">
        <v>13</v>
      </c>
      <c r="F3903" s="1">
        <v>364.05</v>
      </c>
      <c r="G3903" s="1">
        <v>38.770000000000003</v>
      </c>
      <c r="H3903">
        <f t="shared" si="60"/>
        <v>4732.6500000000005</v>
      </c>
    </row>
    <row r="3904" spans="1:8" x14ac:dyDescent="0.25">
      <c r="A3904" s="1" t="s">
        <v>3917</v>
      </c>
      <c r="B3904" s="5">
        <v>45820.583333333336</v>
      </c>
      <c r="C3904" s="1" t="s">
        <v>11</v>
      </c>
      <c r="D3904" s="1" t="s">
        <v>9</v>
      </c>
      <c r="E3904" s="1">
        <v>1</v>
      </c>
      <c r="F3904" s="1">
        <v>426.93</v>
      </c>
      <c r="G3904" s="1">
        <v>13.69</v>
      </c>
      <c r="H3904">
        <f t="shared" si="60"/>
        <v>426.93</v>
      </c>
    </row>
    <row r="3905" spans="1:8" x14ac:dyDescent="0.25">
      <c r="A3905" s="1" t="s">
        <v>3918</v>
      </c>
      <c r="B3905" s="5">
        <v>45820.625</v>
      </c>
      <c r="C3905" s="1" t="s">
        <v>13</v>
      </c>
      <c r="D3905" s="1" t="s">
        <v>19</v>
      </c>
      <c r="E3905" s="1">
        <v>2</v>
      </c>
      <c r="F3905" s="1">
        <v>29.43</v>
      </c>
      <c r="G3905" s="1">
        <v>6.42</v>
      </c>
      <c r="H3905">
        <f t="shared" si="60"/>
        <v>58.86</v>
      </c>
    </row>
    <row r="3906" spans="1:8" x14ac:dyDescent="0.25">
      <c r="A3906" s="1" t="s">
        <v>3919</v>
      </c>
      <c r="B3906" s="5">
        <v>45820.666666666664</v>
      </c>
      <c r="C3906" s="1" t="s">
        <v>8</v>
      </c>
      <c r="D3906" s="1" t="s">
        <v>9</v>
      </c>
      <c r="E3906" s="1">
        <v>13</v>
      </c>
      <c r="F3906" s="1">
        <v>35.299999999999997</v>
      </c>
      <c r="G3906" s="1">
        <v>43.35</v>
      </c>
      <c r="H3906">
        <f t="shared" ref="H3906:H3969" si="61">E3906*F3906</f>
        <v>458.9</v>
      </c>
    </row>
    <row r="3907" spans="1:8" x14ac:dyDescent="0.25">
      <c r="A3907" s="1" t="s">
        <v>3920</v>
      </c>
      <c r="B3907" s="5">
        <v>45820.708333333336</v>
      </c>
      <c r="C3907" s="1" t="s">
        <v>11</v>
      </c>
      <c r="D3907" s="1" t="s">
        <v>16</v>
      </c>
      <c r="E3907" s="1">
        <v>9</v>
      </c>
      <c r="F3907" s="1">
        <v>165.19</v>
      </c>
      <c r="G3907" s="1">
        <v>11.19</v>
      </c>
      <c r="H3907">
        <f t="shared" si="61"/>
        <v>1486.71</v>
      </c>
    </row>
    <row r="3908" spans="1:8" x14ac:dyDescent="0.25">
      <c r="A3908" s="1" t="s">
        <v>3921</v>
      </c>
      <c r="B3908" s="5">
        <v>45820.75</v>
      </c>
      <c r="C3908" s="1" t="s">
        <v>8</v>
      </c>
      <c r="D3908" s="1" t="s">
        <v>9</v>
      </c>
      <c r="E3908" s="1">
        <v>7</v>
      </c>
      <c r="F3908" s="1">
        <v>53.64</v>
      </c>
      <c r="G3908" s="1">
        <v>45.02</v>
      </c>
      <c r="H3908">
        <f t="shared" si="61"/>
        <v>375.48</v>
      </c>
    </row>
    <row r="3909" spans="1:8" x14ac:dyDescent="0.25">
      <c r="A3909" s="1" t="s">
        <v>3922</v>
      </c>
      <c r="B3909" s="5">
        <v>45820.791666666664</v>
      </c>
      <c r="C3909" s="1" t="s">
        <v>8</v>
      </c>
      <c r="D3909" s="1" t="s">
        <v>16</v>
      </c>
      <c r="E3909" s="1">
        <v>16</v>
      </c>
      <c r="F3909" s="1">
        <v>223.75</v>
      </c>
      <c r="G3909" s="1">
        <v>46.11</v>
      </c>
      <c r="H3909">
        <f t="shared" si="61"/>
        <v>3580</v>
      </c>
    </row>
    <row r="3910" spans="1:8" x14ac:dyDescent="0.25">
      <c r="A3910" s="1" t="s">
        <v>3923</v>
      </c>
      <c r="B3910" s="5">
        <v>45820.833333333336</v>
      </c>
      <c r="C3910" s="1" t="s">
        <v>8</v>
      </c>
      <c r="D3910" s="1" t="s">
        <v>19</v>
      </c>
      <c r="E3910" s="1">
        <v>19</v>
      </c>
      <c r="F3910" s="1">
        <v>332.12</v>
      </c>
      <c r="G3910" s="1">
        <v>25.73</v>
      </c>
      <c r="H3910">
        <f t="shared" si="61"/>
        <v>6310.28</v>
      </c>
    </row>
    <row r="3911" spans="1:8" x14ac:dyDescent="0.25">
      <c r="A3911" s="1" t="s">
        <v>3924</v>
      </c>
      <c r="B3911" s="5">
        <v>45820.875</v>
      </c>
      <c r="C3911" s="1" t="s">
        <v>13</v>
      </c>
      <c r="D3911" s="1" t="s">
        <v>37</v>
      </c>
      <c r="E3911" s="1">
        <v>7</v>
      </c>
      <c r="F3911" s="1">
        <v>261.82</v>
      </c>
      <c r="G3911" s="1">
        <v>41.31</v>
      </c>
      <c r="H3911">
        <f t="shared" si="61"/>
        <v>1832.74</v>
      </c>
    </row>
    <row r="3912" spans="1:8" x14ac:dyDescent="0.25">
      <c r="A3912" s="1" t="s">
        <v>3925</v>
      </c>
      <c r="B3912" s="5">
        <v>45820.916666666664</v>
      </c>
      <c r="C3912" s="1" t="s">
        <v>11</v>
      </c>
      <c r="D3912" s="1" t="s">
        <v>19</v>
      </c>
      <c r="E3912" s="1">
        <v>6</v>
      </c>
      <c r="F3912" s="1">
        <v>100.85</v>
      </c>
      <c r="G3912" s="1">
        <v>21.34</v>
      </c>
      <c r="H3912">
        <f t="shared" si="61"/>
        <v>605.09999999999991</v>
      </c>
    </row>
    <row r="3913" spans="1:8" x14ac:dyDescent="0.25">
      <c r="A3913" s="1" t="s">
        <v>3926</v>
      </c>
      <c r="B3913" s="5">
        <v>45820.958333333336</v>
      </c>
      <c r="C3913" s="1" t="s">
        <v>23</v>
      </c>
      <c r="D3913" s="1" t="s">
        <v>19</v>
      </c>
      <c r="E3913" s="1">
        <v>18</v>
      </c>
      <c r="F3913" s="1">
        <v>300.02</v>
      </c>
      <c r="G3913" s="1">
        <v>43.62</v>
      </c>
      <c r="H3913">
        <f t="shared" si="61"/>
        <v>5400.36</v>
      </c>
    </row>
    <row r="3914" spans="1:8" x14ac:dyDescent="0.25">
      <c r="A3914" s="1" t="s">
        <v>3927</v>
      </c>
      <c r="B3914" s="5">
        <v>45821</v>
      </c>
      <c r="C3914" s="1" t="s">
        <v>13</v>
      </c>
      <c r="D3914" s="1" t="s">
        <v>37</v>
      </c>
      <c r="E3914" s="1">
        <v>19</v>
      </c>
      <c r="F3914" s="1">
        <v>313.07</v>
      </c>
      <c r="G3914" s="1">
        <v>42.11</v>
      </c>
      <c r="H3914">
        <f t="shared" si="61"/>
        <v>5948.33</v>
      </c>
    </row>
    <row r="3915" spans="1:8" x14ac:dyDescent="0.25">
      <c r="A3915" s="1" t="s">
        <v>3928</v>
      </c>
      <c r="B3915" s="5">
        <v>45821.041666666664</v>
      </c>
      <c r="C3915" s="1" t="s">
        <v>13</v>
      </c>
      <c r="D3915" s="1" t="s">
        <v>9</v>
      </c>
      <c r="E3915" s="1">
        <v>11</v>
      </c>
      <c r="F3915" s="1">
        <v>420.65</v>
      </c>
      <c r="G3915" s="1">
        <v>8.5299999999999994</v>
      </c>
      <c r="H3915">
        <f t="shared" si="61"/>
        <v>4627.1499999999996</v>
      </c>
    </row>
    <row r="3916" spans="1:8" x14ac:dyDescent="0.25">
      <c r="A3916" s="1" t="s">
        <v>3929</v>
      </c>
      <c r="B3916" s="5">
        <v>45821.083333333336</v>
      </c>
      <c r="C3916" s="1" t="s">
        <v>13</v>
      </c>
      <c r="D3916" s="1" t="s">
        <v>37</v>
      </c>
      <c r="E3916" s="1">
        <v>12</v>
      </c>
      <c r="F3916" s="1">
        <v>79.28</v>
      </c>
      <c r="G3916" s="1">
        <v>31.22</v>
      </c>
      <c r="H3916">
        <f t="shared" si="61"/>
        <v>951.36</v>
      </c>
    </row>
    <row r="3917" spans="1:8" x14ac:dyDescent="0.25">
      <c r="A3917" s="1" t="s">
        <v>3930</v>
      </c>
      <c r="B3917" s="5">
        <v>45821.125</v>
      </c>
      <c r="C3917" s="1" t="s">
        <v>23</v>
      </c>
      <c r="D3917" s="1" t="s">
        <v>9</v>
      </c>
      <c r="E3917" s="1">
        <v>10</v>
      </c>
      <c r="F3917" s="1">
        <v>316.32</v>
      </c>
      <c r="G3917" s="1">
        <v>33.799999999999997</v>
      </c>
      <c r="H3917">
        <f t="shared" si="61"/>
        <v>3163.2</v>
      </c>
    </row>
    <row r="3918" spans="1:8" x14ac:dyDescent="0.25">
      <c r="A3918" s="1" t="s">
        <v>3931</v>
      </c>
      <c r="B3918" s="5">
        <v>45821.166666666664</v>
      </c>
      <c r="C3918" s="1" t="s">
        <v>11</v>
      </c>
      <c r="D3918" s="1" t="s">
        <v>9</v>
      </c>
      <c r="E3918" s="1">
        <v>13</v>
      </c>
      <c r="F3918" s="1">
        <v>411.52</v>
      </c>
      <c r="G3918" s="1">
        <v>5.04</v>
      </c>
      <c r="H3918">
        <f t="shared" si="61"/>
        <v>5349.76</v>
      </c>
    </row>
    <row r="3919" spans="1:8" x14ac:dyDescent="0.25">
      <c r="A3919" s="1" t="s">
        <v>3932</v>
      </c>
      <c r="B3919" s="5">
        <v>45821.208333333336</v>
      </c>
      <c r="C3919" s="1" t="s">
        <v>11</v>
      </c>
      <c r="D3919" s="1" t="s">
        <v>16</v>
      </c>
      <c r="E3919" s="1">
        <v>12</v>
      </c>
      <c r="F3919" s="1">
        <v>233.43</v>
      </c>
      <c r="G3919" s="1">
        <v>49.1</v>
      </c>
      <c r="H3919">
        <f t="shared" si="61"/>
        <v>2801.16</v>
      </c>
    </row>
    <row r="3920" spans="1:8" x14ac:dyDescent="0.25">
      <c r="A3920" s="1" t="s">
        <v>3933</v>
      </c>
      <c r="B3920" s="5">
        <v>45821.25</v>
      </c>
      <c r="C3920" s="1" t="s">
        <v>11</v>
      </c>
      <c r="D3920" s="1" t="s">
        <v>16</v>
      </c>
      <c r="E3920" s="1">
        <v>10</v>
      </c>
      <c r="F3920" s="1">
        <v>172.7</v>
      </c>
      <c r="G3920" s="1">
        <v>23.3</v>
      </c>
      <c r="H3920">
        <f t="shared" si="61"/>
        <v>1727</v>
      </c>
    </row>
    <row r="3921" spans="1:8" x14ac:dyDescent="0.25">
      <c r="A3921" s="1" t="s">
        <v>3934</v>
      </c>
      <c r="B3921" s="5">
        <v>45821.291666666664</v>
      </c>
      <c r="C3921" s="1" t="s">
        <v>8</v>
      </c>
      <c r="D3921" s="1" t="s">
        <v>37</v>
      </c>
      <c r="E3921" s="1">
        <v>18</v>
      </c>
      <c r="F3921" s="1">
        <v>89.69</v>
      </c>
      <c r="G3921" s="1">
        <v>28.28</v>
      </c>
      <c r="H3921">
        <f t="shared" si="61"/>
        <v>1614.42</v>
      </c>
    </row>
    <row r="3922" spans="1:8" x14ac:dyDescent="0.25">
      <c r="A3922" s="1" t="s">
        <v>3935</v>
      </c>
      <c r="B3922" s="5">
        <v>45821.333333333336</v>
      </c>
      <c r="C3922" s="1" t="s">
        <v>8</v>
      </c>
      <c r="D3922" s="1" t="s">
        <v>19</v>
      </c>
      <c r="E3922" s="1">
        <v>4</v>
      </c>
      <c r="F3922" s="1">
        <v>392.12</v>
      </c>
      <c r="G3922" s="1">
        <v>13.77</v>
      </c>
      <c r="H3922">
        <f t="shared" si="61"/>
        <v>1568.48</v>
      </c>
    </row>
    <row r="3923" spans="1:8" x14ac:dyDescent="0.25">
      <c r="A3923" s="1" t="s">
        <v>3936</v>
      </c>
      <c r="B3923" s="5">
        <v>45821.375</v>
      </c>
      <c r="C3923" s="1" t="s">
        <v>8</v>
      </c>
      <c r="D3923" s="1" t="s">
        <v>37</v>
      </c>
      <c r="E3923" s="1">
        <v>5</v>
      </c>
      <c r="F3923" s="1">
        <v>186.8</v>
      </c>
      <c r="G3923" s="1">
        <v>32.49</v>
      </c>
      <c r="H3923">
        <f t="shared" si="61"/>
        <v>934</v>
      </c>
    </row>
    <row r="3924" spans="1:8" x14ac:dyDescent="0.25">
      <c r="A3924" s="1" t="s">
        <v>3937</v>
      </c>
      <c r="B3924" s="5">
        <v>45821.416666666664</v>
      </c>
      <c r="C3924" s="1" t="s">
        <v>23</v>
      </c>
      <c r="D3924" s="1" t="s">
        <v>9</v>
      </c>
      <c r="E3924" s="1">
        <v>5</v>
      </c>
      <c r="F3924" s="1">
        <v>417.36</v>
      </c>
      <c r="G3924" s="1">
        <v>41.48</v>
      </c>
      <c r="H3924">
        <f t="shared" si="61"/>
        <v>2086.8000000000002</v>
      </c>
    </row>
    <row r="3925" spans="1:8" x14ac:dyDescent="0.25">
      <c r="A3925" s="1" t="s">
        <v>3938</v>
      </c>
      <c r="B3925" s="5">
        <v>45821.458333333336</v>
      </c>
      <c r="C3925" s="1" t="s">
        <v>8</v>
      </c>
      <c r="D3925" s="1" t="s">
        <v>16</v>
      </c>
      <c r="E3925" s="1">
        <v>12</v>
      </c>
      <c r="F3925" s="1">
        <v>383.85</v>
      </c>
      <c r="G3925" s="1">
        <v>31.37</v>
      </c>
      <c r="H3925">
        <f t="shared" si="61"/>
        <v>4606.2000000000007</v>
      </c>
    </row>
    <row r="3926" spans="1:8" x14ac:dyDescent="0.25">
      <c r="A3926" s="1" t="s">
        <v>3939</v>
      </c>
      <c r="B3926" s="5">
        <v>45821.5</v>
      </c>
      <c r="C3926" s="1" t="s">
        <v>23</v>
      </c>
      <c r="D3926" s="1" t="s">
        <v>37</v>
      </c>
      <c r="E3926" s="1">
        <v>3</v>
      </c>
      <c r="F3926" s="1">
        <v>179.15</v>
      </c>
      <c r="G3926" s="1">
        <v>40.46</v>
      </c>
      <c r="H3926">
        <f t="shared" si="61"/>
        <v>537.45000000000005</v>
      </c>
    </row>
    <row r="3927" spans="1:8" x14ac:dyDescent="0.25">
      <c r="A3927" s="1" t="s">
        <v>3940</v>
      </c>
      <c r="B3927" s="5">
        <v>45821.541666666664</v>
      </c>
      <c r="C3927" s="1" t="s">
        <v>11</v>
      </c>
      <c r="D3927" s="1" t="s">
        <v>37</v>
      </c>
      <c r="E3927" s="1">
        <v>8</v>
      </c>
      <c r="F3927" s="1">
        <v>264.87</v>
      </c>
      <c r="G3927" s="1">
        <v>37.9</v>
      </c>
      <c r="H3927">
        <f t="shared" si="61"/>
        <v>2118.96</v>
      </c>
    </row>
    <row r="3928" spans="1:8" x14ac:dyDescent="0.25">
      <c r="A3928" s="1" t="s">
        <v>3941</v>
      </c>
      <c r="B3928" s="5">
        <v>45821.583333333336</v>
      </c>
      <c r="C3928" s="1" t="s">
        <v>8</v>
      </c>
      <c r="D3928" s="1" t="s">
        <v>16</v>
      </c>
      <c r="E3928" s="1">
        <v>2</v>
      </c>
      <c r="F3928" s="1">
        <v>27.31</v>
      </c>
      <c r="G3928" s="1">
        <v>15.69</v>
      </c>
      <c r="H3928">
        <f t="shared" si="61"/>
        <v>54.62</v>
      </c>
    </row>
    <row r="3929" spans="1:8" x14ac:dyDescent="0.25">
      <c r="A3929" s="1" t="s">
        <v>3942</v>
      </c>
      <c r="B3929" s="5">
        <v>45821.625</v>
      </c>
      <c r="C3929" s="1" t="s">
        <v>8</v>
      </c>
      <c r="D3929" s="1" t="s">
        <v>16</v>
      </c>
      <c r="E3929" s="1">
        <v>18</v>
      </c>
      <c r="F3929" s="1">
        <v>129.87</v>
      </c>
      <c r="G3929" s="1">
        <v>24.61</v>
      </c>
      <c r="H3929">
        <f t="shared" si="61"/>
        <v>2337.66</v>
      </c>
    </row>
    <row r="3930" spans="1:8" x14ac:dyDescent="0.25">
      <c r="A3930" s="1" t="s">
        <v>3943</v>
      </c>
      <c r="B3930" s="5">
        <v>45821.666666666664</v>
      </c>
      <c r="C3930" s="1" t="s">
        <v>13</v>
      </c>
      <c r="D3930" s="1" t="s">
        <v>16</v>
      </c>
      <c r="E3930" s="1">
        <v>9</v>
      </c>
      <c r="F3930" s="1">
        <v>324.11</v>
      </c>
      <c r="G3930" s="1">
        <v>11.69</v>
      </c>
      <c r="H3930">
        <f t="shared" si="61"/>
        <v>2916.9900000000002</v>
      </c>
    </row>
    <row r="3931" spans="1:8" x14ac:dyDescent="0.25">
      <c r="A3931" s="1" t="s">
        <v>3944</v>
      </c>
      <c r="B3931" s="5">
        <v>45821.708333333336</v>
      </c>
      <c r="C3931" s="1" t="s">
        <v>23</v>
      </c>
      <c r="D3931" s="1" t="s">
        <v>9</v>
      </c>
      <c r="E3931" s="1">
        <v>13</v>
      </c>
      <c r="F3931" s="1">
        <v>310.05</v>
      </c>
      <c r="G3931" s="1">
        <v>6.89</v>
      </c>
      <c r="H3931">
        <f t="shared" si="61"/>
        <v>4030.65</v>
      </c>
    </row>
    <row r="3932" spans="1:8" x14ac:dyDescent="0.25">
      <c r="A3932" s="1" t="s">
        <v>3945</v>
      </c>
      <c r="B3932" s="5">
        <v>45821.75</v>
      </c>
      <c r="C3932" s="1" t="s">
        <v>11</v>
      </c>
      <c r="D3932" s="1" t="s">
        <v>16</v>
      </c>
      <c r="E3932" s="1">
        <v>7</v>
      </c>
      <c r="F3932" s="1">
        <v>169.04</v>
      </c>
      <c r="G3932" s="1">
        <v>7.84</v>
      </c>
      <c r="H3932">
        <f t="shared" si="61"/>
        <v>1183.28</v>
      </c>
    </row>
    <row r="3933" spans="1:8" x14ac:dyDescent="0.25">
      <c r="A3933" s="1" t="s">
        <v>3946</v>
      </c>
      <c r="B3933" s="5">
        <v>45821.791666666664</v>
      </c>
      <c r="C3933" s="1" t="s">
        <v>13</v>
      </c>
      <c r="D3933" s="1" t="s">
        <v>19</v>
      </c>
      <c r="E3933" s="1">
        <v>10</v>
      </c>
      <c r="F3933" s="1">
        <v>366.84</v>
      </c>
      <c r="G3933" s="1">
        <v>47.41</v>
      </c>
      <c r="H3933">
        <f t="shared" si="61"/>
        <v>3668.3999999999996</v>
      </c>
    </row>
    <row r="3934" spans="1:8" x14ac:dyDescent="0.25">
      <c r="A3934" s="1" t="s">
        <v>3947</v>
      </c>
      <c r="B3934" s="5">
        <v>45821.833333333336</v>
      </c>
      <c r="C3934" s="1" t="s">
        <v>13</v>
      </c>
      <c r="D3934" s="1" t="s">
        <v>37</v>
      </c>
      <c r="E3934" s="1">
        <v>9</v>
      </c>
      <c r="F3934" s="1">
        <v>117.97</v>
      </c>
      <c r="G3934" s="1">
        <v>49.3</v>
      </c>
      <c r="H3934">
        <f t="shared" si="61"/>
        <v>1061.73</v>
      </c>
    </row>
    <row r="3935" spans="1:8" x14ac:dyDescent="0.25">
      <c r="A3935" s="1" t="s">
        <v>3948</v>
      </c>
      <c r="B3935" s="5">
        <v>45821.875</v>
      </c>
      <c r="C3935" s="1" t="s">
        <v>11</v>
      </c>
      <c r="D3935" s="1" t="s">
        <v>16</v>
      </c>
      <c r="E3935" s="1">
        <v>15</v>
      </c>
      <c r="F3935" s="1">
        <v>215.92</v>
      </c>
      <c r="G3935" s="1">
        <v>9.27</v>
      </c>
      <c r="H3935">
        <f t="shared" si="61"/>
        <v>3238.7999999999997</v>
      </c>
    </row>
    <row r="3936" spans="1:8" x14ac:dyDescent="0.25">
      <c r="A3936" s="1" t="s">
        <v>3949</v>
      </c>
      <c r="B3936" s="5">
        <v>45821.916666666664</v>
      </c>
      <c r="C3936" s="1" t="s">
        <v>13</v>
      </c>
      <c r="D3936" s="1" t="s">
        <v>16</v>
      </c>
      <c r="E3936" s="1">
        <v>5</v>
      </c>
      <c r="F3936" s="1">
        <v>220.81</v>
      </c>
      <c r="G3936" s="1">
        <v>20.079999999999998</v>
      </c>
      <c r="H3936">
        <f t="shared" si="61"/>
        <v>1104.05</v>
      </c>
    </row>
    <row r="3937" spans="1:8" x14ac:dyDescent="0.25">
      <c r="A3937" s="1" t="s">
        <v>3950</v>
      </c>
      <c r="B3937" s="5">
        <v>45821.958333333336</v>
      </c>
      <c r="C3937" s="1" t="s">
        <v>23</v>
      </c>
      <c r="D3937" s="1" t="s">
        <v>9</v>
      </c>
      <c r="E3937" s="1">
        <v>12</v>
      </c>
      <c r="F3937" s="1">
        <v>163.58000000000001</v>
      </c>
      <c r="G3937" s="1">
        <v>10.15</v>
      </c>
      <c r="H3937">
        <f t="shared" si="61"/>
        <v>1962.96</v>
      </c>
    </row>
    <row r="3938" spans="1:8" x14ac:dyDescent="0.25">
      <c r="A3938" s="1" t="s">
        <v>3951</v>
      </c>
      <c r="B3938" s="5">
        <v>45822</v>
      </c>
      <c r="C3938" s="1" t="s">
        <v>23</v>
      </c>
      <c r="D3938" s="1" t="s">
        <v>9</v>
      </c>
      <c r="E3938" s="1">
        <v>1</v>
      </c>
      <c r="F3938" s="1">
        <v>430.3</v>
      </c>
      <c r="G3938" s="1">
        <v>42.54</v>
      </c>
      <c r="H3938">
        <f t="shared" si="61"/>
        <v>430.3</v>
      </c>
    </row>
    <row r="3939" spans="1:8" x14ac:dyDescent="0.25">
      <c r="A3939" s="1" t="s">
        <v>3952</v>
      </c>
      <c r="B3939" s="5">
        <v>45822.041666666664</v>
      </c>
      <c r="C3939" s="1" t="s">
        <v>8</v>
      </c>
      <c r="D3939" s="1" t="s">
        <v>37</v>
      </c>
      <c r="E3939" s="1">
        <v>12</v>
      </c>
      <c r="F3939" s="1">
        <v>318.20999999999998</v>
      </c>
      <c r="G3939" s="1">
        <v>27.33</v>
      </c>
      <c r="H3939">
        <f t="shared" si="61"/>
        <v>3818.5199999999995</v>
      </c>
    </row>
    <row r="3940" spans="1:8" x14ac:dyDescent="0.25">
      <c r="A3940" s="1" t="s">
        <v>3953</v>
      </c>
      <c r="B3940" s="5">
        <v>45822.083333333336</v>
      </c>
      <c r="C3940" s="1" t="s">
        <v>13</v>
      </c>
      <c r="D3940" s="1" t="s">
        <v>19</v>
      </c>
      <c r="E3940" s="1">
        <v>6</v>
      </c>
      <c r="F3940" s="1">
        <v>249.78</v>
      </c>
      <c r="G3940" s="1">
        <v>32.96</v>
      </c>
      <c r="H3940">
        <f t="shared" si="61"/>
        <v>1498.68</v>
      </c>
    </row>
    <row r="3941" spans="1:8" x14ac:dyDescent="0.25">
      <c r="A3941" s="1" t="s">
        <v>3954</v>
      </c>
      <c r="B3941" s="5">
        <v>45822.125</v>
      </c>
      <c r="C3941" s="1" t="s">
        <v>8</v>
      </c>
      <c r="D3941" s="1" t="s">
        <v>37</v>
      </c>
      <c r="E3941" s="1">
        <v>19</v>
      </c>
      <c r="F3941" s="1">
        <v>237.32</v>
      </c>
      <c r="G3941" s="1">
        <v>29.3</v>
      </c>
      <c r="H3941">
        <f t="shared" si="61"/>
        <v>4509.08</v>
      </c>
    </row>
    <row r="3942" spans="1:8" x14ac:dyDescent="0.25">
      <c r="A3942" s="1" t="s">
        <v>3955</v>
      </c>
      <c r="B3942" s="5">
        <v>45822.166666666664</v>
      </c>
      <c r="C3942" s="1" t="s">
        <v>13</v>
      </c>
      <c r="D3942" s="1" t="s">
        <v>16</v>
      </c>
      <c r="E3942" s="1">
        <v>19</v>
      </c>
      <c r="F3942" s="1">
        <v>84.71</v>
      </c>
      <c r="G3942" s="1">
        <v>36.96</v>
      </c>
      <c r="H3942">
        <f t="shared" si="61"/>
        <v>1609.4899999999998</v>
      </c>
    </row>
    <row r="3943" spans="1:8" x14ac:dyDescent="0.25">
      <c r="A3943" s="1" t="s">
        <v>3956</v>
      </c>
      <c r="B3943" s="5">
        <v>45822.208333333336</v>
      </c>
      <c r="C3943" s="1" t="s">
        <v>23</v>
      </c>
      <c r="D3943" s="1" t="s">
        <v>19</v>
      </c>
      <c r="E3943" s="1">
        <v>16</v>
      </c>
      <c r="F3943" s="1">
        <v>177.22</v>
      </c>
      <c r="G3943" s="1">
        <v>19.36</v>
      </c>
      <c r="H3943">
        <f t="shared" si="61"/>
        <v>2835.52</v>
      </c>
    </row>
    <row r="3944" spans="1:8" x14ac:dyDescent="0.25">
      <c r="A3944" s="1" t="s">
        <v>3957</v>
      </c>
      <c r="B3944" s="5">
        <v>45822.25</v>
      </c>
      <c r="C3944" s="1" t="s">
        <v>23</v>
      </c>
      <c r="D3944" s="1" t="s">
        <v>19</v>
      </c>
      <c r="E3944" s="1">
        <v>19</v>
      </c>
      <c r="F3944" s="1">
        <v>307.82</v>
      </c>
      <c r="G3944" s="1">
        <v>11.19</v>
      </c>
      <c r="H3944">
        <f t="shared" si="61"/>
        <v>5848.58</v>
      </c>
    </row>
    <row r="3945" spans="1:8" x14ac:dyDescent="0.25">
      <c r="A3945" s="1" t="s">
        <v>3958</v>
      </c>
      <c r="B3945" s="5">
        <v>45822.291666666664</v>
      </c>
      <c r="C3945" s="1" t="s">
        <v>23</v>
      </c>
      <c r="D3945" s="1" t="s">
        <v>19</v>
      </c>
      <c r="E3945" s="1">
        <v>3</v>
      </c>
      <c r="F3945" s="1">
        <v>417.23</v>
      </c>
      <c r="G3945" s="1">
        <v>5.79</v>
      </c>
      <c r="H3945">
        <f t="shared" si="61"/>
        <v>1251.69</v>
      </c>
    </row>
    <row r="3946" spans="1:8" x14ac:dyDescent="0.25">
      <c r="A3946" s="1" t="s">
        <v>3959</v>
      </c>
      <c r="B3946" s="5">
        <v>45822.333333333336</v>
      </c>
      <c r="C3946" s="1" t="s">
        <v>13</v>
      </c>
      <c r="D3946" s="1" t="s">
        <v>19</v>
      </c>
      <c r="E3946" s="1">
        <v>10</v>
      </c>
      <c r="F3946" s="1">
        <v>370.25</v>
      </c>
      <c r="G3946" s="1">
        <v>25.06</v>
      </c>
      <c r="H3946">
        <f t="shared" si="61"/>
        <v>3702.5</v>
      </c>
    </row>
    <row r="3947" spans="1:8" x14ac:dyDescent="0.25">
      <c r="A3947" s="1" t="s">
        <v>3960</v>
      </c>
      <c r="B3947" s="5">
        <v>45822.375</v>
      </c>
      <c r="C3947" s="1" t="s">
        <v>23</v>
      </c>
      <c r="D3947" s="1" t="s">
        <v>37</v>
      </c>
      <c r="E3947" s="1">
        <v>18</v>
      </c>
      <c r="F3947" s="1">
        <v>146.02000000000001</v>
      </c>
      <c r="G3947" s="1">
        <v>45.85</v>
      </c>
      <c r="H3947">
        <f t="shared" si="61"/>
        <v>2628.36</v>
      </c>
    </row>
    <row r="3948" spans="1:8" x14ac:dyDescent="0.25">
      <c r="A3948" s="1" t="s">
        <v>3961</v>
      </c>
      <c r="B3948" s="5">
        <v>45822.416666666664</v>
      </c>
      <c r="C3948" s="1" t="s">
        <v>13</v>
      </c>
      <c r="D3948" s="1" t="s">
        <v>9</v>
      </c>
      <c r="E3948" s="1">
        <v>13</v>
      </c>
      <c r="F3948" s="1">
        <v>204.05</v>
      </c>
      <c r="G3948" s="1">
        <v>18.739999999999998</v>
      </c>
      <c r="H3948">
        <f t="shared" si="61"/>
        <v>2652.65</v>
      </c>
    </row>
    <row r="3949" spans="1:8" x14ac:dyDescent="0.25">
      <c r="A3949" s="1" t="s">
        <v>3962</v>
      </c>
      <c r="B3949" s="5">
        <v>45822.458333333336</v>
      </c>
      <c r="C3949" s="1" t="s">
        <v>8</v>
      </c>
      <c r="D3949" s="1" t="s">
        <v>9</v>
      </c>
      <c r="E3949" s="1">
        <v>18</v>
      </c>
      <c r="F3949" s="1">
        <v>51.53</v>
      </c>
      <c r="G3949" s="1">
        <v>13.82</v>
      </c>
      <c r="H3949">
        <f t="shared" si="61"/>
        <v>927.54</v>
      </c>
    </row>
    <row r="3950" spans="1:8" x14ac:dyDescent="0.25">
      <c r="A3950" s="1" t="s">
        <v>3963</v>
      </c>
      <c r="B3950" s="5">
        <v>45822.5</v>
      </c>
      <c r="C3950" s="1" t="s">
        <v>13</v>
      </c>
      <c r="D3950" s="1" t="s">
        <v>16</v>
      </c>
      <c r="E3950" s="1">
        <v>3</v>
      </c>
      <c r="F3950" s="1">
        <v>59.89</v>
      </c>
      <c r="G3950" s="1">
        <v>46.67</v>
      </c>
      <c r="H3950">
        <f t="shared" si="61"/>
        <v>179.67000000000002</v>
      </c>
    </row>
    <row r="3951" spans="1:8" x14ac:dyDescent="0.25">
      <c r="A3951" s="1" t="s">
        <v>3964</v>
      </c>
      <c r="B3951" s="5">
        <v>45822.541666666664</v>
      </c>
      <c r="C3951" s="1" t="s">
        <v>8</v>
      </c>
      <c r="D3951" s="1" t="s">
        <v>9</v>
      </c>
      <c r="E3951" s="1">
        <v>3</v>
      </c>
      <c r="F3951" s="1">
        <v>219.82</v>
      </c>
      <c r="G3951" s="1">
        <v>9.75</v>
      </c>
      <c r="H3951">
        <f t="shared" si="61"/>
        <v>659.46</v>
      </c>
    </row>
    <row r="3952" spans="1:8" x14ac:dyDescent="0.25">
      <c r="A3952" s="1" t="s">
        <v>3965</v>
      </c>
      <c r="B3952" s="5">
        <v>45822.583333333336</v>
      </c>
      <c r="C3952" s="1" t="s">
        <v>13</v>
      </c>
      <c r="D3952" s="1" t="s">
        <v>9</v>
      </c>
      <c r="E3952" s="1">
        <v>12</v>
      </c>
      <c r="F3952" s="1">
        <v>245.88</v>
      </c>
      <c r="G3952" s="1">
        <v>7.33</v>
      </c>
      <c r="H3952">
        <f t="shared" si="61"/>
        <v>2950.56</v>
      </c>
    </row>
    <row r="3953" spans="1:8" x14ac:dyDescent="0.25">
      <c r="A3953" s="1" t="s">
        <v>3966</v>
      </c>
      <c r="B3953" s="5">
        <v>45822.625</v>
      </c>
      <c r="C3953" s="1" t="s">
        <v>8</v>
      </c>
      <c r="D3953" s="1" t="s">
        <v>9</v>
      </c>
      <c r="E3953" s="1">
        <v>7</v>
      </c>
      <c r="F3953" s="1">
        <v>130.22</v>
      </c>
      <c r="G3953" s="1">
        <v>44.57</v>
      </c>
      <c r="H3953">
        <f t="shared" si="61"/>
        <v>911.54</v>
      </c>
    </row>
    <row r="3954" spans="1:8" x14ac:dyDescent="0.25">
      <c r="A3954" s="1" t="s">
        <v>3967</v>
      </c>
      <c r="B3954" s="5">
        <v>45822.666666666664</v>
      </c>
      <c r="C3954" s="1" t="s">
        <v>23</v>
      </c>
      <c r="D3954" s="1" t="s">
        <v>9</v>
      </c>
      <c r="E3954" s="1">
        <v>8</v>
      </c>
      <c r="F3954" s="1">
        <v>294.79000000000002</v>
      </c>
      <c r="G3954" s="1">
        <v>36.54</v>
      </c>
      <c r="H3954">
        <f t="shared" si="61"/>
        <v>2358.3200000000002</v>
      </c>
    </row>
    <row r="3955" spans="1:8" x14ac:dyDescent="0.25">
      <c r="A3955" s="1" t="s">
        <v>3968</v>
      </c>
      <c r="B3955" s="5">
        <v>45822.708333333336</v>
      </c>
      <c r="C3955" s="1" t="s">
        <v>8</v>
      </c>
      <c r="D3955" s="1" t="s">
        <v>16</v>
      </c>
      <c r="E3955" s="1">
        <v>9</v>
      </c>
      <c r="F3955" s="1">
        <v>321.12</v>
      </c>
      <c r="G3955" s="1">
        <v>23.99</v>
      </c>
      <c r="H3955">
        <f t="shared" si="61"/>
        <v>2890.08</v>
      </c>
    </row>
    <row r="3956" spans="1:8" x14ac:dyDescent="0.25">
      <c r="A3956" s="1" t="s">
        <v>3969</v>
      </c>
      <c r="B3956" s="5">
        <v>45822.75</v>
      </c>
      <c r="C3956" s="1" t="s">
        <v>23</v>
      </c>
      <c r="D3956" s="1" t="s">
        <v>37</v>
      </c>
      <c r="E3956" s="1">
        <v>14</v>
      </c>
      <c r="F3956" s="1">
        <v>145.47</v>
      </c>
      <c r="G3956" s="1">
        <v>38.86</v>
      </c>
      <c r="H3956">
        <f t="shared" si="61"/>
        <v>2036.58</v>
      </c>
    </row>
    <row r="3957" spans="1:8" x14ac:dyDescent="0.25">
      <c r="A3957" s="1" t="s">
        <v>3970</v>
      </c>
      <c r="B3957" s="5">
        <v>45822.791666666664</v>
      </c>
      <c r="C3957" s="1" t="s">
        <v>23</v>
      </c>
      <c r="D3957" s="1" t="s">
        <v>19</v>
      </c>
      <c r="E3957" s="1">
        <v>5</v>
      </c>
      <c r="F3957" s="1">
        <v>345.04</v>
      </c>
      <c r="G3957" s="1">
        <v>38.36</v>
      </c>
      <c r="H3957">
        <f t="shared" si="61"/>
        <v>1725.2</v>
      </c>
    </row>
    <row r="3958" spans="1:8" x14ac:dyDescent="0.25">
      <c r="A3958" s="1" t="s">
        <v>3971</v>
      </c>
      <c r="B3958" s="5">
        <v>45822.833333333336</v>
      </c>
      <c r="C3958" s="1" t="s">
        <v>8</v>
      </c>
      <c r="D3958" s="1" t="s">
        <v>9</v>
      </c>
      <c r="E3958" s="1">
        <v>19</v>
      </c>
      <c r="F3958" s="1">
        <v>104.84</v>
      </c>
      <c r="G3958" s="1">
        <v>6.8</v>
      </c>
      <c r="H3958">
        <f t="shared" si="61"/>
        <v>1991.96</v>
      </c>
    </row>
    <row r="3959" spans="1:8" x14ac:dyDescent="0.25">
      <c r="A3959" s="1" t="s">
        <v>3972</v>
      </c>
      <c r="B3959" s="5">
        <v>45822.875</v>
      </c>
      <c r="C3959" s="1" t="s">
        <v>13</v>
      </c>
      <c r="D3959" s="1" t="s">
        <v>37</v>
      </c>
      <c r="E3959" s="1">
        <v>16</v>
      </c>
      <c r="F3959" s="1">
        <v>251.98</v>
      </c>
      <c r="G3959" s="1">
        <v>35.43</v>
      </c>
      <c r="H3959">
        <f t="shared" si="61"/>
        <v>4031.68</v>
      </c>
    </row>
    <row r="3960" spans="1:8" x14ac:dyDescent="0.25">
      <c r="A3960" s="1" t="s">
        <v>3973</v>
      </c>
      <c r="B3960" s="5">
        <v>45822.916666666664</v>
      </c>
      <c r="C3960" s="1" t="s">
        <v>13</v>
      </c>
      <c r="D3960" s="1" t="s">
        <v>9</v>
      </c>
      <c r="E3960" s="1">
        <v>12</v>
      </c>
      <c r="F3960" s="1">
        <v>364.96</v>
      </c>
      <c r="G3960" s="1">
        <v>33.840000000000003</v>
      </c>
      <c r="H3960">
        <f t="shared" si="61"/>
        <v>4379.5199999999995</v>
      </c>
    </row>
    <row r="3961" spans="1:8" x14ac:dyDescent="0.25">
      <c r="A3961" s="1" t="s">
        <v>3974</v>
      </c>
      <c r="B3961" s="5">
        <v>45822.958333333336</v>
      </c>
      <c r="C3961" s="1" t="s">
        <v>11</v>
      </c>
      <c r="D3961" s="1" t="s">
        <v>9</v>
      </c>
      <c r="E3961" s="1">
        <v>4</v>
      </c>
      <c r="F3961" s="1">
        <v>248.83</v>
      </c>
      <c r="G3961" s="1">
        <v>48.37</v>
      </c>
      <c r="H3961">
        <f t="shared" si="61"/>
        <v>995.32</v>
      </c>
    </row>
    <row r="3962" spans="1:8" x14ac:dyDescent="0.25">
      <c r="A3962" s="1" t="s">
        <v>3975</v>
      </c>
      <c r="B3962" s="5">
        <v>45823</v>
      </c>
      <c r="C3962" s="1" t="s">
        <v>13</v>
      </c>
      <c r="D3962" s="1" t="s">
        <v>19</v>
      </c>
      <c r="E3962" s="1">
        <v>8</v>
      </c>
      <c r="F3962" s="1">
        <v>410.01</v>
      </c>
      <c r="G3962" s="1">
        <v>48.5</v>
      </c>
      <c r="H3962">
        <f t="shared" si="61"/>
        <v>3280.08</v>
      </c>
    </row>
    <row r="3963" spans="1:8" x14ac:dyDescent="0.25">
      <c r="A3963" s="1" t="s">
        <v>3976</v>
      </c>
      <c r="B3963" s="5">
        <v>45823.041666666664</v>
      </c>
      <c r="C3963" s="1" t="s">
        <v>11</v>
      </c>
      <c r="D3963" s="1" t="s">
        <v>19</v>
      </c>
      <c r="E3963" s="1">
        <v>7</v>
      </c>
      <c r="F3963" s="1">
        <v>40.92</v>
      </c>
      <c r="G3963" s="1">
        <v>22</v>
      </c>
      <c r="H3963">
        <f t="shared" si="61"/>
        <v>286.44</v>
      </c>
    </row>
    <row r="3964" spans="1:8" x14ac:dyDescent="0.25">
      <c r="A3964" s="1" t="s">
        <v>3977</v>
      </c>
      <c r="B3964" s="5">
        <v>45823.083333333336</v>
      </c>
      <c r="C3964" s="1" t="s">
        <v>13</v>
      </c>
      <c r="D3964" s="1" t="s">
        <v>19</v>
      </c>
      <c r="E3964" s="1">
        <v>15</v>
      </c>
      <c r="F3964" s="1">
        <v>271.12</v>
      </c>
      <c r="G3964" s="1">
        <v>31.54</v>
      </c>
      <c r="H3964">
        <f t="shared" si="61"/>
        <v>4066.8</v>
      </c>
    </row>
    <row r="3965" spans="1:8" x14ac:dyDescent="0.25">
      <c r="A3965" s="1" t="s">
        <v>3978</v>
      </c>
      <c r="B3965" s="5">
        <v>45823.125</v>
      </c>
      <c r="C3965" s="1" t="s">
        <v>13</v>
      </c>
      <c r="D3965" s="1" t="s">
        <v>9</v>
      </c>
      <c r="E3965" s="1">
        <v>6</v>
      </c>
      <c r="F3965" s="1">
        <v>259.58</v>
      </c>
      <c r="G3965" s="1">
        <v>11.36</v>
      </c>
      <c r="H3965">
        <f t="shared" si="61"/>
        <v>1557.48</v>
      </c>
    </row>
    <row r="3966" spans="1:8" x14ac:dyDescent="0.25">
      <c r="A3966" s="1" t="s">
        <v>3979</v>
      </c>
      <c r="B3966" s="5">
        <v>45823.166666666664</v>
      </c>
      <c r="C3966" s="1" t="s">
        <v>23</v>
      </c>
      <c r="D3966" s="1" t="s">
        <v>9</v>
      </c>
      <c r="E3966" s="1">
        <v>5</v>
      </c>
      <c r="F3966" s="1">
        <v>302.42</v>
      </c>
      <c r="G3966" s="1">
        <v>7.99</v>
      </c>
      <c r="H3966">
        <f t="shared" si="61"/>
        <v>1512.1000000000001</v>
      </c>
    </row>
    <row r="3967" spans="1:8" x14ac:dyDescent="0.25">
      <c r="A3967" s="1" t="s">
        <v>3980</v>
      </c>
      <c r="B3967" s="5">
        <v>45823.208333333336</v>
      </c>
      <c r="C3967" s="1" t="s">
        <v>11</v>
      </c>
      <c r="D3967" s="1" t="s">
        <v>9</v>
      </c>
      <c r="E3967" s="1">
        <v>14</v>
      </c>
      <c r="F3967" s="1">
        <v>377.62</v>
      </c>
      <c r="G3967" s="1">
        <v>24.48</v>
      </c>
      <c r="H3967">
        <f t="shared" si="61"/>
        <v>5286.68</v>
      </c>
    </row>
    <row r="3968" spans="1:8" x14ac:dyDescent="0.25">
      <c r="A3968" s="1" t="s">
        <v>3981</v>
      </c>
      <c r="B3968" s="5">
        <v>45823.25</v>
      </c>
      <c r="C3968" s="1" t="s">
        <v>13</v>
      </c>
      <c r="D3968" s="1" t="s">
        <v>19</v>
      </c>
      <c r="E3968" s="1">
        <v>13</v>
      </c>
      <c r="F3968" s="1">
        <v>330.88</v>
      </c>
      <c r="G3968" s="1">
        <v>36.04</v>
      </c>
      <c r="H3968">
        <f t="shared" si="61"/>
        <v>4301.4399999999996</v>
      </c>
    </row>
    <row r="3969" spans="1:8" x14ac:dyDescent="0.25">
      <c r="A3969" s="1" t="s">
        <v>3982</v>
      </c>
      <c r="B3969" s="5">
        <v>45823.291666666664</v>
      </c>
      <c r="C3969" s="1" t="s">
        <v>11</v>
      </c>
      <c r="D3969" s="1" t="s">
        <v>16</v>
      </c>
      <c r="E3969" s="1">
        <v>10</v>
      </c>
      <c r="F3969" s="1">
        <v>358.88</v>
      </c>
      <c r="G3969" s="1">
        <v>30.55</v>
      </c>
      <c r="H3969">
        <f t="shared" si="61"/>
        <v>3588.8</v>
      </c>
    </row>
    <row r="3970" spans="1:8" x14ac:dyDescent="0.25">
      <c r="A3970" s="1" t="s">
        <v>3983</v>
      </c>
      <c r="B3970" s="5">
        <v>45823.333333333336</v>
      </c>
      <c r="C3970" s="1" t="s">
        <v>23</v>
      </c>
      <c r="D3970" s="1" t="s">
        <v>37</v>
      </c>
      <c r="E3970" s="1">
        <v>18</v>
      </c>
      <c r="F3970" s="1">
        <v>140.99</v>
      </c>
      <c r="G3970" s="1">
        <v>24.33</v>
      </c>
      <c r="H3970">
        <f t="shared" ref="H3970:H4033" si="62">E3970*F3970</f>
        <v>2537.8200000000002</v>
      </c>
    </row>
    <row r="3971" spans="1:8" x14ac:dyDescent="0.25">
      <c r="A3971" s="1" t="s">
        <v>3984</v>
      </c>
      <c r="B3971" s="5">
        <v>45823.375</v>
      </c>
      <c r="C3971" s="1" t="s">
        <v>23</v>
      </c>
      <c r="D3971" s="1" t="s">
        <v>16</v>
      </c>
      <c r="E3971" s="1">
        <v>4</v>
      </c>
      <c r="F3971" s="1">
        <v>183.87</v>
      </c>
      <c r="G3971" s="1">
        <v>41.82</v>
      </c>
      <c r="H3971">
        <f t="shared" si="62"/>
        <v>735.48</v>
      </c>
    </row>
    <row r="3972" spans="1:8" x14ac:dyDescent="0.25">
      <c r="A3972" s="1" t="s">
        <v>3985</v>
      </c>
      <c r="B3972" s="5">
        <v>45823.416666666664</v>
      </c>
      <c r="C3972" s="1" t="s">
        <v>11</v>
      </c>
      <c r="D3972" s="1" t="s">
        <v>9</v>
      </c>
      <c r="E3972" s="1">
        <v>8</v>
      </c>
      <c r="F3972" s="1">
        <v>287.83</v>
      </c>
      <c r="G3972" s="1">
        <v>40.75</v>
      </c>
      <c r="H3972">
        <f t="shared" si="62"/>
        <v>2302.64</v>
      </c>
    </row>
    <row r="3973" spans="1:8" x14ac:dyDescent="0.25">
      <c r="A3973" s="1" t="s">
        <v>3986</v>
      </c>
      <c r="B3973" s="5">
        <v>45823.458333333336</v>
      </c>
      <c r="C3973" s="1" t="s">
        <v>23</v>
      </c>
      <c r="D3973" s="1" t="s">
        <v>9</v>
      </c>
      <c r="E3973" s="1">
        <v>11</v>
      </c>
      <c r="F3973" s="1">
        <v>255.98</v>
      </c>
      <c r="G3973" s="1">
        <v>37.94</v>
      </c>
      <c r="H3973">
        <f t="shared" si="62"/>
        <v>2815.7799999999997</v>
      </c>
    </row>
    <row r="3974" spans="1:8" x14ac:dyDescent="0.25">
      <c r="A3974" s="1" t="s">
        <v>3987</v>
      </c>
      <c r="B3974" s="5">
        <v>45823.5</v>
      </c>
      <c r="C3974" s="1" t="s">
        <v>8</v>
      </c>
      <c r="D3974" s="1" t="s">
        <v>16</v>
      </c>
      <c r="E3974" s="1">
        <v>17</v>
      </c>
      <c r="F3974" s="1">
        <v>433.1</v>
      </c>
      <c r="G3974" s="1">
        <v>8.4700000000000006</v>
      </c>
      <c r="H3974">
        <f t="shared" si="62"/>
        <v>7362.7000000000007</v>
      </c>
    </row>
    <row r="3975" spans="1:8" x14ac:dyDescent="0.25">
      <c r="A3975" s="1" t="s">
        <v>3988</v>
      </c>
      <c r="B3975" s="5">
        <v>45823.541666666664</v>
      </c>
      <c r="C3975" s="1" t="s">
        <v>8</v>
      </c>
      <c r="D3975" s="1" t="s">
        <v>9</v>
      </c>
      <c r="E3975" s="1">
        <v>18</v>
      </c>
      <c r="F3975" s="1">
        <v>96.68</v>
      </c>
      <c r="G3975" s="1">
        <v>40.840000000000003</v>
      </c>
      <c r="H3975">
        <f t="shared" si="62"/>
        <v>1740.2400000000002</v>
      </c>
    </row>
    <row r="3976" spans="1:8" x14ac:dyDescent="0.25">
      <c r="A3976" s="1" t="s">
        <v>3989</v>
      </c>
      <c r="B3976" s="5">
        <v>45823.583333333336</v>
      </c>
      <c r="C3976" s="1" t="s">
        <v>23</v>
      </c>
      <c r="D3976" s="1" t="s">
        <v>37</v>
      </c>
      <c r="E3976" s="1">
        <v>11</v>
      </c>
      <c r="F3976" s="1">
        <v>168.13</v>
      </c>
      <c r="G3976" s="1">
        <v>46.37</v>
      </c>
      <c r="H3976">
        <f t="shared" si="62"/>
        <v>1849.4299999999998</v>
      </c>
    </row>
    <row r="3977" spans="1:8" x14ac:dyDescent="0.25">
      <c r="A3977" s="1" t="s">
        <v>3990</v>
      </c>
      <c r="B3977" s="5">
        <v>45823.625</v>
      </c>
      <c r="C3977" s="1" t="s">
        <v>8</v>
      </c>
      <c r="D3977" s="1" t="s">
        <v>9</v>
      </c>
      <c r="E3977" s="1">
        <v>16</v>
      </c>
      <c r="F3977" s="1">
        <v>264.36</v>
      </c>
      <c r="G3977" s="1">
        <v>7.67</v>
      </c>
      <c r="H3977">
        <f t="shared" si="62"/>
        <v>4229.76</v>
      </c>
    </row>
    <row r="3978" spans="1:8" x14ac:dyDescent="0.25">
      <c r="A3978" s="1" t="s">
        <v>3991</v>
      </c>
      <c r="B3978" s="5">
        <v>45823.666666666664</v>
      </c>
      <c r="C3978" s="1" t="s">
        <v>13</v>
      </c>
      <c r="D3978" s="1" t="s">
        <v>37</v>
      </c>
      <c r="E3978" s="1">
        <v>12</v>
      </c>
      <c r="F3978" s="1">
        <v>392.63</v>
      </c>
      <c r="G3978" s="1">
        <v>23.08</v>
      </c>
      <c r="H3978">
        <f t="shared" si="62"/>
        <v>4711.5599999999995</v>
      </c>
    </row>
    <row r="3979" spans="1:8" x14ac:dyDescent="0.25">
      <c r="A3979" s="1" t="s">
        <v>3992</v>
      </c>
      <c r="B3979" s="5">
        <v>45823.708333333336</v>
      </c>
      <c r="C3979" s="1" t="s">
        <v>11</v>
      </c>
      <c r="D3979" s="1" t="s">
        <v>16</v>
      </c>
      <c r="E3979" s="1">
        <v>13</v>
      </c>
      <c r="F3979" s="1">
        <v>419.3</v>
      </c>
      <c r="G3979" s="1">
        <v>49.48</v>
      </c>
      <c r="H3979">
        <f t="shared" si="62"/>
        <v>5450.9000000000005</v>
      </c>
    </row>
    <row r="3980" spans="1:8" x14ac:dyDescent="0.25">
      <c r="A3980" s="1" t="s">
        <v>3993</v>
      </c>
      <c r="B3980" s="5">
        <v>45823.75</v>
      </c>
      <c r="C3980" s="1" t="s">
        <v>13</v>
      </c>
      <c r="D3980" s="1" t="s">
        <v>16</v>
      </c>
      <c r="E3980" s="1">
        <v>16</v>
      </c>
      <c r="F3980" s="1">
        <v>161.51</v>
      </c>
      <c r="G3980" s="1">
        <v>31.97</v>
      </c>
      <c r="H3980">
        <f t="shared" si="62"/>
        <v>2584.16</v>
      </c>
    </row>
    <row r="3981" spans="1:8" x14ac:dyDescent="0.25">
      <c r="A3981" s="1" t="s">
        <v>3994</v>
      </c>
      <c r="B3981" s="5">
        <v>45823.791666666664</v>
      </c>
      <c r="C3981" s="1" t="s">
        <v>11</v>
      </c>
      <c r="D3981" s="1" t="s">
        <v>9</v>
      </c>
      <c r="E3981" s="1">
        <v>1</v>
      </c>
      <c r="F3981" s="1">
        <v>44.66</v>
      </c>
      <c r="G3981" s="1">
        <v>28.11</v>
      </c>
      <c r="H3981">
        <f t="shared" si="62"/>
        <v>44.66</v>
      </c>
    </row>
    <row r="3982" spans="1:8" x14ac:dyDescent="0.25">
      <c r="A3982" s="1" t="s">
        <v>3995</v>
      </c>
      <c r="B3982" s="5">
        <v>45823.833333333336</v>
      </c>
      <c r="C3982" s="1" t="s">
        <v>23</v>
      </c>
      <c r="D3982" s="1" t="s">
        <v>37</v>
      </c>
      <c r="E3982" s="1">
        <v>16</v>
      </c>
      <c r="F3982" s="1">
        <v>198.69</v>
      </c>
      <c r="G3982" s="1">
        <v>12.99</v>
      </c>
      <c r="H3982">
        <f t="shared" si="62"/>
        <v>3179.04</v>
      </c>
    </row>
    <row r="3983" spans="1:8" x14ac:dyDescent="0.25">
      <c r="A3983" s="1" t="s">
        <v>3996</v>
      </c>
      <c r="B3983" s="5">
        <v>45823.875</v>
      </c>
      <c r="C3983" s="1" t="s">
        <v>13</v>
      </c>
      <c r="D3983" s="1" t="s">
        <v>9</v>
      </c>
      <c r="E3983" s="1">
        <v>15</v>
      </c>
      <c r="F3983" s="1">
        <v>186.84</v>
      </c>
      <c r="G3983" s="1">
        <v>30.45</v>
      </c>
      <c r="H3983">
        <f t="shared" si="62"/>
        <v>2802.6</v>
      </c>
    </row>
    <row r="3984" spans="1:8" x14ac:dyDescent="0.25">
      <c r="A3984" s="1" t="s">
        <v>3997</v>
      </c>
      <c r="B3984" s="5">
        <v>45823.916666666664</v>
      </c>
      <c r="C3984" s="1" t="s">
        <v>23</v>
      </c>
      <c r="D3984" s="1" t="s">
        <v>19</v>
      </c>
      <c r="E3984" s="1">
        <v>6</v>
      </c>
      <c r="F3984" s="1">
        <v>444.13</v>
      </c>
      <c r="G3984" s="1">
        <v>24.76</v>
      </c>
      <c r="H3984">
        <f t="shared" si="62"/>
        <v>2664.7799999999997</v>
      </c>
    </row>
    <row r="3985" spans="1:8" x14ac:dyDescent="0.25">
      <c r="A3985" s="1" t="s">
        <v>3998</v>
      </c>
      <c r="B3985" s="5">
        <v>45823.958333333336</v>
      </c>
      <c r="C3985" s="1" t="s">
        <v>23</v>
      </c>
      <c r="D3985" s="1" t="s">
        <v>19</v>
      </c>
      <c r="E3985" s="1">
        <v>12</v>
      </c>
      <c r="F3985" s="1">
        <v>202.8</v>
      </c>
      <c r="G3985" s="1">
        <v>10.73</v>
      </c>
      <c r="H3985">
        <f t="shared" si="62"/>
        <v>2433.6000000000004</v>
      </c>
    </row>
    <row r="3986" spans="1:8" x14ac:dyDescent="0.25">
      <c r="A3986" s="1" t="s">
        <v>3999</v>
      </c>
      <c r="B3986" s="5">
        <v>45824</v>
      </c>
      <c r="C3986" s="1" t="s">
        <v>11</v>
      </c>
      <c r="D3986" s="1" t="s">
        <v>19</v>
      </c>
      <c r="E3986" s="1">
        <v>8</v>
      </c>
      <c r="F3986" s="1">
        <v>148.34</v>
      </c>
      <c r="G3986" s="1">
        <v>25.89</v>
      </c>
      <c r="H3986">
        <f t="shared" si="62"/>
        <v>1186.72</v>
      </c>
    </row>
    <row r="3987" spans="1:8" x14ac:dyDescent="0.25">
      <c r="A3987" s="1" t="s">
        <v>4000</v>
      </c>
      <c r="B3987" s="5">
        <v>45824.041666666664</v>
      </c>
      <c r="C3987" s="1" t="s">
        <v>11</v>
      </c>
      <c r="D3987" s="1" t="s">
        <v>19</v>
      </c>
      <c r="E3987" s="1">
        <v>7</v>
      </c>
      <c r="F3987" s="1">
        <v>174.26</v>
      </c>
      <c r="G3987" s="1">
        <v>12.4</v>
      </c>
      <c r="H3987">
        <f t="shared" si="62"/>
        <v>1219.82</v>
      </c>
    </row>
    <row r="3988" spans="1:8" x14ac:dyDescent="0.25">
      <c r="A3988" s="1" t="s">
        <v>4001</v>
      </c>
      <c r="B3988" s="5">
        <v>45824.083333333336</v>
      </c>
      <c r="C3988" s="1" t="s">
        <v>11</v>
      </c>
      <c r="D3988" s="1" t="s">
        <v>9</v>
      </c>
      <c r="E3988" s="1">
        <v>2</v>
      </c>
      <c r="F3988" s="1">
        <v>187.96</v>
      </c>
      <c r="G3988" s="1">
        <v>37.880000000000003</v>
      </c>
      <c r="H3988">
        <f t="shared" si="62"/>
        <v>375.92</v>
      </c>
    </row>
    <row r="3989" spans="1:8" x14ac:dyDescent="0.25">
      <c r="A3989" s="1" t="s">
        <v>4002</v>
      </c>
      <c r="B3989" s="5">
        <v>45824.125</v>
      </c>
      <c r="C3989" s="1" t="s">
        <v>13</v>
      </c>
      <c r="D3989" s="1" t="s">
        <v>19</v>
      </c>
      <c r="E3989" s="1">
        <v>12</v>
      </c>
      <c r="F3989" s="1">
        <v>372.46</v>
      </c>
      <c r="G3989" s="1">
        <v>48.81</v>
      </c>
      <c r="H3989">
        <f t="shared" si="62"/>
        <v>4469.5199999999995</v>
      </c>
    </row>
    <row r="3990" spans="1:8" x14ac:dyDescent="0.25">
      <c r="A3990" s="1" t="s">
        <v>4003</v>
      </c>
      <c r="B3990" s="5">
        <v>45824.166666666664</v>
      </c>
      <c r="C3990" s="1" t="s">
        <v>8</v>
      </c>
      <c r="D3990" s="1" t="s">
        <v>37</v>
      </c>
      <c r="E3990" s="1">
        <v>14</v>
      </c>
      <c r="F3990" s="1">
        <v>50.7</v>
      </c>
      <c r="G3990" s="1">
        <v>26.13</v>
      </c>
      <c r="H3990">
        <f t="shared" si="62"/>
        <v>709.80000000000007</v>
      </c>
    </row>
    <row r="3991" spans="1:8" x14ac:dyDescent="0.25">
      <c r="A3991" s="1" t="s">
        <v>4004</v>
      </c>
      <c r="B3991" s="5">
        <v>45824.208333333336</v>
      </c>
      <c r="C3991" s="1" t="s">
        <v>11</v>
      </c>
      <c r="D3991" s="1" t="s">
        <v>16</v>
      </c>
      <c r="E3991" s="1">
        <v>16</v>
      </c>
      <c r="F3991" s="1">
        <v>153.02000000000001</v>
      </c>
      <c r="G3991" s="1">
        <v>33.46</v>
      </c>
      <c r="H3991">
        <f t="shared" si="62"/>
        <v>2448.3200000000002</v>
      </c>
    </row>
    <row r="3992" spans="1:8" x14ac:dyDescent="0.25">
      <c r="A3992" s="1" t="s">
        <v>4005</v>
      </c>
      <c r="B3992" s="5">
        <v>45824.25</v>
      </c>
      <c r="C3992" s="1" t="s">
        <v>11</v>
      </c>
      <c r="D3992" s="1" t="s">
        <v>16</v>
      </c>
      <c r="E3992" s="1">
        <v>11</v>
      </c>
      <c r="F3992" s="1">
        <v>435.37</v>
      </c>
      <c r="G3992" s="1">
        <v>24.39</v>
      </c>
      <c r="H3992">
        <f t="shared" si="62"/>
        <v>4789.07</v>
      </c>
    </row>
    <row r="3993" spans="1:8" x14ac:dyDescent="0.25">
      <c r="A3993" s="1" t="s">
        <v>4006</v>
      </c>
      <c r="B3993" s="5">
        <v>45824.291666666664</v>
      </c>
      <c r="C3993" s="1" t="s">
        <v>13</v>
      </c>
      <c r="D3993" s="1" t="s">
        <v>19</v>
      </c>
      <c r="E3993" s="1">
        <v>9</v>
      </c>
      <c r="F3993" s="1">
        <v>82.02</v>
      </c>
      <c r="G3993" s="1">
        <v>11.23</v>
      </c>
      <c r="H3993">
        <f t="shared" si="62"/>
        <v>738.18</v>
      </c>
    </row>
    <row r="3994" spans="1:8" x14ac:dyDescent="0.25">
      <c r="A3994" s="1" t="s">
        <v>4007</v>
      </c>
      <c r="B3994" s="5">
        <v>45824.333333333336</v>
      </c>
      <c r="C3994" s="1" t="s">
        <v>11</v>
      </c>
      <c r="D3994" s="1" t="s">
        <v>19</v>
      </c>
      <c r="E3994" s="1">
        <v>10</v>
      </c>
      <c r="F3994" s="1">
        <v>338.16</v>
      </c>
      <c r="G3994" s="1">
        <v>48.67</v>
      </c>
      <c r="H3994">
        <f t="shared" si="62"/>
        <v>3381.6000000000004</v>
      </c>
    </row>
    <row r="3995" spans="1:8" x14ac:dyDescent="0.25">
      <c r="A3995" s="1" t="s">
        <v>4008</v>
      </c>
      <c r="B3995" s="5">
        <v>45824.375</v>
      </c>
      <c r="C3995" s="1" t="s">
        <v>13</v>
      </c>
      <c r="D3995" s="1" t="s">
        <v>19</v>
      </c>
      <c r="E3995" s="1">
        <v>17</v>
      </c>
      <c r="F3995" s="1">
        <v>170.35</v>
      </c>
      <c r="G3995" s="1">
        <v>10.83</v>
      </c>
      <c r="H3995">
        <f t="shared" si="62"/>
        <v>2895.95</v>
      </c>
    </row>
    <row r="3996" spans="1:8" x14ac:dyDescent="0.25">
      <c r="A3996" s="1" t="s">
        <v>4009</v>
      </c>
      <c r="B3996" s="5">
        <v>45824.416666666664</v>
      </c>
      <c r="C3996" s="1" t="s">
        <v>23</v>
      </c>
      <c r="D3996" s="1" t="s">
        <v>9</v>
      </c>
      <c r="E3996" s="1">
        <v>12</v>
      </c>
      <c r="F3996" s="1">
        <v>268.29000000000002</v>
      </c>
      <c r="G3996" s="1">
        <v>10.02</v>
      </c>
      <c r="H3996">
        <f t="shared" si="62"/>
        <v>3219.4800000000005</v>
      </c>
    </row>
    <row r="3997" spans="1:8" x14ac:dyDescent="0.25">
      <c r="A3997" s="1" t="s">
        <v>4010</v>
      </c>
      <c r="B3997" s="5">
        <v>45824.458333333336</v>
      </c>
      <c r="C3997" s="1" t="s">
        <v>11</v>
      </c>
      <c r="D3997" s="1" t="s">
        <v>16</v>
      </c>
      <c r="E3997" s="1">
        <v>6</v>
      </c>
      <c r="F3997" s="1">
        <v>58.75</v>
      </c>
      <c r="G3997" s="1">
        <v>25.66</v>
      </c>
      <c r="H3997">
        <f t="shared" si="62"/>
        <v>352.5</v>
      </c>
    </row>
    <row r="3998" spans="1:8" x14ac:dyDescent="0.25">
      <c r="A3998" s="1" t="s">
        <v>4011</v>
      </c>
      <c r="B3998" s="5">
        <v>45824.5</v>
      </c>
      <c r="C3998" s="1" t="s">
        <v>11</v>
      </c>
      <c r="D3998" s="1" t="s">
        <v>19</v>
      </c>
      <c r="E3998" s="1">
        <v>19</v>
      </c>
      <c r="F3998" s="1">
        <v>148.63999999999999</v>
      </c>
      <c r="G3998" s="1">
        <v>34.65</v>
      </c>
      <c r="H3998">
        <f t="shared" si="62"/>
        <v>2824.16</v>
      </c>
    </row>
    <row r="3999" spans="1:8" x14ac:dyDescent="0.25">
      <c r="A3999" s="1" t="s">
        <v>4012</v>
      </c>
      <c r="B3999" s="5">
        <v>45824.541666666664</v>
      </c>
      <c r="C3999" s="1" t="s">
        <v>23</v>
      </c>
      <c r="D3999" s="1" t="s">
        <v>37</v>
      </c>
      <c r="E3999" s="1">
        <v>11</v>
      </c>
      <c r="F3999" s="1">
        <v>233.13</v>
      </c>
      <c r="G3999" s="1">
        <v>20.97</v>
      </c>
      <c r="H3999">
        <f t="shared" si="62"/>
        <v>2564.4299999999998</v>
      </c>
    </row>
    <row r="4000" spans="1:8" x14ac:dyDescent="0.25">
      <c r="A4000" s="1" t="s">
        <v>4013</v>
      </c>
      <c r="B4000" s="5">
        <v>45824.583333333336</v>
      </c>
      <c r="C4000" s="1" t="s">
        <v>23</v>
      </c>
      <c r="D4000" s="1" t="s">
        <v>19</v>
      </c>
      <c r="E4000" s="1">
        <v>9</v>
      </c>
      <c r="F4000" s="1">
        <v>116.17</v>
      </c>
      <c r="G4000" s="1">
        <v>13.66</v>
      </c>
      <c r="H4000">
        <f t="shared" si="62"/>
        <v>1045.53</v>
      </c>
    </row>
    <row r="4001" spans="1:8" x14ac:dyDescent="0.25">
      <c r="A4001" s="1" t="s">
        <v>4014</v>
      </c>
      <c r="B4001" s="5">
        <v>45824.625</v>
      </c>
      <c r="C4001" s="1" t="s">
        <v>23</v>
      </c>
      <c r="D4001" s="1" t="s">
        <v>16</v>
      </c>
      <c r="E4001" s="1">
        <v>6</v>
      </c>
      <c r="F4001" s="1">
        <v>250.94</v>
      </c>
      <c r="G4001" s="1">
        <v>41.85</v>
      </c>
      <c r="H4001">
        <f t="shared" si="62"/>
        <v>1505.6399999999999</v>
      </c>
    </row>
    <row r="4002" spans="1:8" x14ac:dyDescent="0.25">
      <c r="A4002" s="1" t="s">
        <v>4015</v>
      </c>
      <c r="B4002" s="5">
        <v>45824.666666666664</v>
      </c>
      <c r="C4002" s="1" t="s">
        <v>11</v>
      </c>
      <c r="D4002" s="1" t="s">
        <v>19</v>
      </c>
      <c r="E4002" s="1">
        <v>16</v>
      </c>
      <c r="F4002" s="1">
        <v>110.99</v>
      </c>
      <c r="G4002" s="1">
        <v>21.34</v>
      </c>
      <c r="H4002">
        <f t="shared" si="62"/>
        <v>1775.84</v>
      </c>
    </row>
    <row r="4003" spans="1:8" x14ac:dyDescent="0.25">
      <c r="A4003" s="1" t="s">
        <v>4016</v>
      </c>
      <c r="B4003" s="5">
        <v>45824.708333333336</v>
      </c>
      <c r="C4003" s="1" t="s">
        <v>8</v>
      </c>
      <c r="D4003" s="1" t="s">
        <v>16</v>
      </c>
      <c r="E4003" s="1">
        <v>16</v>
      </c>
      <c r="F4003" s="1">
        <v>297.97000000000003</v>
      </c>
      <c r="G4003" s="1">
        <v>13.74</v>
      </c>
      <c r="H4003">
        <f t="shared" si="62"/>
        <v>4767.5200000000004</v>
      </c>
    </row>
    <row r="4004" spans="1:8" x14ac:dyDescent="0.25">
      <c r="A4004" s="1" t="s">
        <v>4017</v>
      </c>
      <c r="B4004" s="5">
        <v>45824.75</v>
      </c>
      <c r="C4004" s="1" t="s">
        <v>8</v>
      </c>
      <c r="D4004" s="1" t="s">
        <v>19</v>
      </c>
      <c r="E4004" s="1">
        <v>6</v>
      </c>
      <c r="F4004" s="1">
        <v>408.44</v>
      </c>
      <c r="G4004" s="1">
        <v>21.43</v>
      </c>
      <c r="H4004">
        <f t="shared" si="62"/>
        <v>2450.64</v>
      </c>
    </row>
    <row r="4005" spans="1:8" x14ac:dyDescent="0.25">
      <c r="A4005" s="1" t="s">
        <v>4018</v>
      </c>
      <c r="B4005" s="5">
        <v>45824.791666666664</v>
      </c>
      <c r="C4005" s="1" t="s">
        <v>8</v>
      </c>
      <c r="D4005" s="1" t="s">
        <v>37</v>
      </c>
      <c r="E4005" s="1">
        <v>5</v>
      </c>
      <c r="F4005" s="1">
        <v>52.64</v>
      </c>
      <c r="G4005" s="1">
        <v>14.65</v>
      </c>
      <c r="H4005">
        <f t="shared" si="62"/>
        <v>263.2</v>
      </c>
    </row>
    <row r="4006" spans="1:8" x14ac:dyDescent="0.25">
      <c r="A4006" s="1" t="s">
        <v>4019</v>
      </c>
      <c r="B4006" s="5">
        <v>45824.833333333336</v>
      </c>
      <c r="C4006" s="1" t="s">
        <v>11</v>
      </c>
      <c r="D4006" s="1" t="s">
        <v>19</v>
      </c>
      <c r="E4006" s="1">
        <v>4</v>
      </c>
      <c r="F4006" s="1">
        <v>109.62</v>
      </c>
      <c r="G4006" s="1">
        <v>28.38</v>
      </c>
      <c r="H4006">
        <f t="shared" si="62"/>
        <v>438.48</v>
      </c>
    </row>
    <row r="4007" spans="1:8" x14ac:dyDescent="0.25">
      <c r="A4007" s="1" t="s">
        <v>4020</v>
      </c>
      <c r="B4007" s="5">
        <v>45824.875</v>
      </c>
      <c r="C4007" s="1" t="s">
        <v>23</v>
      </c>
      <c r="D4007" s="1" t="s">
        <v>37</v>
      </c>
      <c r="E4007" s="1">
        <v>2</v>
      </c>
      <c r="F4007" s="1">
        <v>382.4</v>
      </c>
      <c r="G4007" s="1">
        <v>35.07</v>
      </c>
      <c r="H4007">
        <f t="shared" si="62"/>
        <v>764.8</v>
      </c>
    </row>
    <row r="4008" spans="1:8" x14ac:dyDescent="0.25">
      <c r="A4008" s="1" t="s">
        <v>4021</v>
      </c>
      <c r="B4008" s="5">
        <v>45824.916666666664</v>
      </c>
      <c r="C4008" s="1" t="s">
        <v>11</v>
      </c>
      <c r="D4008" s="1" t="s">
        <v>37</v>
      </c>
      <c r="E4008" s="1">
        <v>6</v>
      </c>
      <c r="F4008" s="1">
        <v>289.91000000000003</v>
      </c>
      <c r="G4008" s="1">
        <v>40.98</v>
      </c>
      <c r="H4008">
        <f t="shared" si="62"/>
        <v>1739.46</v>
      </c>
    </row>
    <row r="4009" spans="1:8" x14ac:dyDescent="0.25">
      <c r="A4009" s="1" t="s">
        <v>4022</v>
      </c>
      <c r="B4009" s="5">
        <v>45824.958333333336</v>
      </c>
      <c r="C4009" s="1" t="s">
        <v>23</v>
      </c>
      <c r="D4009" s="1" t="s">
        <v>19</v>
      </c>
      <c r="E4009" s="1">
        <v>9</v>
      </c>
      <c r="F4009" s="1">
        <v>49.7</v>
      </c>
      <c r="G4009" s="1">
        <v>15.24</v>
      </c>
      <c r="H4009">
        <f t="shared" si="62"/>
        <v>447.3</v>
      </c>
    </row>
    <row r="4010" spans="1:8" x14ac:dyDescent="0.25">
      <c r="A4010" s="1" t="s">
        <v>4023</v>
      </c>
      <c r="B4010" s="5">
        <v>45825</v>
      </c>
      <c r="C4010" s="1" t="s">
        <v>11</v>
      </c>
      <c r="D4010" s="1" t="s">
        <v>37</v>
      </c>
      <c r="E4010" s="1">
        <v>17</v>
      </c>
      <c r="F4010" s="1">
        <v>226.82</v>
      </c>
      <c r="G4010" s="1">
        <v>12.51</v>
      </c>
      <c r="H4010">
        <f t="shared" si="62"/>
        <v>3855.94</v>
      </c>
    </row>
    <row r="4011" spans="1:8" x14ac:dyDescent="0.25">
      <c r="A4011" s="1" t="s">
        <v>4024</v>
      </c>
      <c r="B4011" s="5">
        <v>45825.041666666664</v>
      </c>
      <c r="C4011" s="1" t="s">
        <v>11</v>
      </c>
      <c r="D4011" s="1" t="s">
        <v>9</v>
      </c>
      <c r="E4011" s="1">
        <v>14</v>
      </c>
      <c r="F4011" s="1">
        <v>106.64</v>
      </c>
      <c r="G4011" s="1">
        <v>5.88</v>
      </c>
      <c r="H4011">
        <f t="shared" si="62"/>
        <v>1492.96</v>
      </c>
    </row>
    <row r="4012" spans="1:8" x14ac:dyDescent="0.25">
      <c r="A4012" s="1" t="s">
        <v>4025</v>
      </c>
      <c r="B4012" s="5">
        <v>45825.083333333336</v>
      </c>
      <c r="C4012" s="1" t="s">
        <v>23</v>
      </c>
      <c r="D4012" s="1" t="s">
        <v>19</v>
      </c>
      <c r="E4012" s="1">
        <v>7</v>
      </c>
      <c r="F4012" s="1">
        <v>102.01</v>
      </c>
      <c r="G4012" s="1">
        <v>15.26</v>
      </c>
      <c r="H4012">
        <f t="shared" si="62"/>
        <v>714.07</v>
      </c>
    </row>
    <row r="4013" spans="1:8" x14ac:dyDescent="0.25">
      <c r="A4013" s="1" t="s">
        <v>4026</v>
      </c>
      <c r="B4013" s="5">
        <v>45825.125</v>
      </c>
      <c r="C4013" s="1" t="s">
        <v>8</v>
      </c>
      <c r="D4013" s="1" t="s">
        <v>19</v>
      </c>
      <c r="E4013" s="1">
        <v>19</v>
      </c>
      <c r="F4013" s="1">
        <v>424.21</v>
      </c>
      <c r="G4013" s="1">
        <v>6.08</v>
      </c>
      <c r="H4013">
        <f t="shared" si="62"/>
        <v>8059.99</v>
      </c>
    </row>
    <row r="4014" spans="1:8" x14ac:dyDescent="0.25">
      <c r="A4014" s="1" t="s">
        <v>4027</v>
      </c>
      <c r="B4014" s="5">
        <v>45825.166666666664</v>
      </c>
      <c r="C4014" s="1" t="s">
        <v>23</v>
      </c>
      <c r="D4014" s="1" t="s">
        <v>37</v>
      </c>
      <c r="E4014" s="1">
        <v>1</v>
      </c>
      <c r="F4014" s="1">
        <v>346.39</v>
      </c>
      <c r="G4014" s="1">
        <v>20.55</v>
      </c>
      <c r="H4014">
        <f t="shared" si="62"/>
        <v>346.39</v>
      </c>
    </row>
    <row r="4015" spans="1:8" x14ac:dyDescent="0.25">
      <c r="A4015" s="1" t="s">
        <v>4028</v>
      </c>
      <c r="B4015" s="5">
        <v>45825.208333333336</v>
      </c>
      <c r="C4015" s="1" t="s">
        <v>13</v>
      </c>
      <c r="D4015" s="1" t="s">
        <v>37</v>
      </c>
      <c r="E4015" s="1">
        <v>15</v>
      </c>
      <c r="F4015" s="1">
        <v>318.01</v>
      </c>
      <c r="G4015" s="1">
        <v>11.56</v>
      </c>
      <c r="H4015">
        <f t="shared" si="62"/>
        <v>4770.1499999999996</v>
      </c>
    </row>
    <row r="4016" spans="1:8" x14ac:dyDescent="0.25">
      <c r="A4016" s="1" t="s">
        <v>4029</v>
      </c>
      <c r="B4016" s="5">
        <v>45825.25</v>
      </c>
      <c r="C4016" s="1" t="s">
        <v>13</v>
      </c>
      <c r="D4016" s="1" t="s">
        <v>19</v>
      </c>
      <c r="E4016" s="1">
        <v>18</v>
      </c>
      <c r="F4016" s="1">
        <v>119.31</v>
      </c>
      <c r="G4016" s="1">
        <v>31.1</v>
      </c>
      <c r="H4016">
        <f t="shared" si="62"/>
        <v>2147.58</v>
      </c>
    </row>
    <row r="4017" spans="1:8" x14ac:dyDescent="0.25">
      <c r="A4017" s="1" t="s">
        <v>4030</v>
      </c>
      <c r="B4017" s="5">
        <v>45825.291666666664</v>
      </c>
      <c r="C4017" s="1" t="s">
        <v>23</v>
      </c>
      <c r="D4017" s="1" t="s">
        <v>9</v>
      </c>
      <c r="E4017" s="1">
        <v>3</v>
      </c>
      <c r="F4017" s="1">
        <v>67.02</v>
      </c>
      <c r="G4017" s="1">
        <v>22.27</v>
      </c>
      <c r="H4017">
        <f t="shared" si="62"/>
        <v>201.06</v>
      </c>
    </row>
    <row r="4018" spans="1:8" x14ac:dyDescent="0.25">
      <c r="A4018" s="1" t="s">
        <v>4031</v>
      </c>
      <c r="B4018" s="5">
        <v>45825.333333333336</v>
      </c>
      <c r="C4018" s="1" t="s">
        <v>11</v>
      </c>
      <c r="D4018" s="1" t="s">
        <v>37</v>
      </c>
      <c r="E4018" s="1">
        <v>18</v>
      </c>
      <c r="F4018" s="1">
        <v>393.88</v>
      </c>
      <c r="G4018" s="1">
        <v>9.2100000000000009</v>
      </c>
      <c r="H4018">
        <f t="shared" si="62"/>
        <v>7089.84</v>
      </c>
    </row>
    <row r="4019" spans="1:8" x14ac:dyDescent="0.25">
      <c r="A4019" s="1" t="s">
        <v>4032</v>
      </c>
      <c r="B4019" s="5">
        <v>45825.375</v>
      </c>
      <c r="C4019" s="1" t="s">
        <v>13</v>
      </c>
      <c r="D4019" s="1" t="s">
        <v>37</v>
      </c>
      <c r="E4019" s="1">
        <v>2</v>
      </c>
      <c r="F4019" s="1">
        <v>18.05</v>
      </c>
      <c r="G4019" s="1">
        <v>22.99</v>
      </c>
      <c r="H4019">
        <f t="shared" si="62"/>
        <v>36.1</v>
      </c>
    </row>
    <row r="4020" spans="1:8" x14ac:dyDescent="0.25">
      <c r="A4020" s="1" t="s">
        <v>4033</v>
      </c>
      <c r="B4020" s="5">
        <v>45825.416666666664</v>
      </c>
      <c r="C4020" s="1" t="s">
        <v>13</v>
      </c>
      <c r="D4020" s="1" t="s">
        <v>16</v>
      </c>
      <c r="E4020" s="1">
        <v>10</v>
      </c>
      <c r="F4020" s="1">
        <v>184.13</v>
      </c>
      <c r="G4020" s="1">
        <v>14.42</v>
      </c>
      <c r="H4020">
        <f t="shared" si="62"/>
        <v>1841.3</v>
      </c>
    </row>
    <row r="4021" spans="1:8" x14ac:dyDescent="0.25">
      <c r="A4021" s="1" t="s">
        <v>4034</v>
      </c>
      <c r="B4021" s="5">
        <v>45825.458333333336</v>
      </c>
      <c r="C4021" s="1" t="s">
        <v>11</v>
      </c>
      <c r="D4021" s="1" t="s">
        <v>9</v>
      </c>
      <c r="E4021" s="1">
        <v>11</v>
      </c>
      <c r="F4021" s="1">
        <v>136.12</v>
      </c>
      <c r="G4021" s="1">
        <v>35.61</v>
      </c>
      <c r="H4021">
        <f t="shared" si="62"/>
        <v>1497.3200000000002</v>
      </c>
    </row>
    <row r="4022" spans="1:8" x14ac:dyDescent="0.25">
      <c r="A4022" s="1" t="s">
        <v>4035</v>
      </c>
      <c r="B4022" s="5">
        <v>45825.5</v>
      </c>
      <c r="C4022" s="1" t="s">
        <v>11</v>
      </c>
      <c r="D4022" s="1" t="s">
        <v>9</v>
      </c>
      <c r="E4022" s="1">
        <v>3</v>
      </c>
      <c r="F4022" s="1">
        <v>263.33</v>
      </c>
      <c r="G4022" s="1">
        <v>21.4</v>
      </c>
      <c r="H4022">
        <f t="shared" si="62"/>
        <v>789.99</v>
      </c>
    </row>
    <row r="4023" spans="1:8" x14ac:dyDescent="0.25">
      <c r="A4023" s="1" t="s">
        <v>4036</v>
      </c>
      <c r="B4023" s="5">
        <v>45825.541666666664</v>
      </c>
      <c r="C4023" s="1" t="s">
        <v>8</v>
      </c>
      <c r="D4023" s="1" t="s">
        <v>19</v>
      </c>
      <c r="E4023" s="1">
        <v>7</v>
      </c>
      <c r="F4023" s="1">
        <v>124.35</v>
      </c>
      <c r="G4023" s="1">
        <v>11.62</v>
      </c>
      <c r="H4023">
        <f t="shared" si="62"/>
        <v>870.44999999999993</v>
      </c>
    </row>
    <row r="4024" spans="1:8" x14ac:dyDescent="0.25">
      <c r="A4024" s="1" t="s">
        <v>4037</v>
      </c>
      <c r="B4024" s="5">
        <v>45825.583333333336</v>
      </c>
      <c r="C4024" s="1" t="s">
        <v>11</v>
      </c>
      <c r="D4024" s="1" t="s">
        <v>9</v>
      </c>
      <c r="E4024" s="1">
        <v>8</v>
      </c>
      <c r="F4024" s="1">
        <v>150.72</v>
      </c>
      <c r="G4024" s="1">
        <v>20.73</v>
      </c>
      <c r="H4024">
        <f t="shared" si="62"/>
        <v>1205.76</v>
      </c>
    </row>
    <row r="4025" spans="1:8" x14ac:dyDescent="0.25">
      <c r="A4025" s="1" t="s">
        <v>4038</v>
      </c>
      <c r="B4025" s="5">
        <v>45825.625</v>
      </c>
      <c r="C4025" s="1" t="s">
        <v>23</v>
      </c>
      <c r="D4025" s="1" t="s">
        <v>19</v>
      </c>
      <c r="E4025" s="1">
        <v>19</v>
      </c>
      <c r="F4025" s="1">
        <v>384.84</v>
      </c>
      <c r="G4025" s="1">
        <v>15.1</v>
      </c>
      <c r="H4025">
        <f t="shared" si="62"/>
        <v>7311.9599999999991</v>
      </c>
    </row>
    <row r="4026" spans="1:8" x14ac:dyDescent="0.25">
      <c r="A4026" s="1" t="s">
        <v>4039</v>
      </c>
      <c r="B4026" s="5">
        <v>45825.666666666664</v>
      </c>
      <c r="C4026" s="1" t="s">
        <v>23</v>
      </c>
      <c r="D4026" s="1" t="s">
        <v>16</v>
      </c>
      <c r="E4026" s="1">
        <v>18</v>
      </c>
      <c r="F4026" s="1">
        <v>277.58999999999997</v>
      </c>
      <c r="G4026" s="1">
        <v>40.81</v>
      </c>
      <c r="H4026">
        <f t="shared" si="62"/>
        <v>4996.62</v>
      </c>
    </row>
    <row r="4027" spans="1:8" x14ac:dyDescent="0.25">
      <c r="A4027" s="1" t="s">
        <v>4040</v>
      </c>
      <c r="B4027" s="5">
        <v>45825.708333333336</v>
      </c>
      <c r="C4027" s="1" t="s">
        <v>8</v>
      </c>
      <c r="D4027" s="1" t="s">
        <v>9</v>
      </c>
      <c r="E4027" s="1">
        <v>13</v>
      </c>
      <c r="F4027" s="1">
        <v>78.8</v>
      </c>
      <c r="G4027" s="1">
        <v>49.25</v>
      </c>
      <c r="H4027">
        <f t="shared" si="62"/>
        <v>1024.3999999999999</v>
      </c>
    </row>
    <row r="4028" spans="1:8" x14ac:dyDescent="0.25">
      <c r="A4028" s="1" t="s">
        <v>4041</v>
      </c>
      <c r="B4028" s="5">
        <v>45825.75</v>
      </c>
      <c r="C4028" s="1" t="s">
        <v>13</v>
      </c>
      <c r="D4028" s="1" t="s">
        <v>37</v>
      </c>
      <c r="E4028" s="1">
        <v>13</v>
      </c>
      <c r="F4028" s="1">
        <v>331.15</v>
      </c>
      <c r="G4028" s="1">
        <v>6.15</v>
      </c>
      <c r="H4028">
        <f t="shared" si="62"/>
        <v>4304.95</v>
      </c>
    </row>
    <row r="4029" spans="1:8" x14ac:dyDescent="0.25">
      <c r="A4029" s="1" t="s">
        <v>4042</v>
      </c>
      <c r="B4029" s="5">
        <v>45825.791666666664</v>
      </c>
      <c r="C4029" s="1" t="s">
        <v>13</v>
      </c>
      <c r="D4029" s="1" t="s">
        <v>16</v>
      </c>
      <c r="E4029" s="1">
        <v>19</v>
      </c>
      <c r="F4029" s="1">
        <v>105.64</v>
      </c>
      <c r="G4029" s="1">
        <v>36.049999999999997</v>
      </c>
      <c r="H4029">
        <f t="shared" si="62"/>
        <v>2007.16</v>
      </c>
    </row>
    <row r="4030" spans="1:8" x14ac:dyDescent="0.25">
      <c r="A4030" s="1" t="s">
        <v>4043</v>
      </c>
      <c r="B4030" s="5">
        <v>45825.833333333336</v>
      </c>
      <c r="C4030" s="1" t="s">
        <v>11</v>
      </c>
      <c r="D4030" s="1" t="s">
        <v>19</v>
      </c>
      <c r="E4030" s="1">
        <v>12</v>
      </c>
      <c r="F4030" s="1">
        <v>203.64</v>
      </c>
      <c r="G4030" s="1">
        <v>16.88</v>
      </c>
      <c r="H4030">
        <f t="shared" si="62"/>
        <v>2443.6799999999998</v>
      </c>
    </row>
    <row r="4031" spans="1:8" x14ac:dyDescent="0.25">
      <c r="A4031" s="1" t="s">
        <v>4044</v>
      </c>
      <c r="B4031" s="5">
        <v>45825.875</v>
      </c>
      <c r="C4031" s="1" t="s">
        <v>23</v>
      </c>
      <c r="D4031" s="1" t="s">
        <v>16</v>
      </c>
      <c r="E4031" s="1">
        <v>17</v>
      </c>
      <c r="F4031" s="1">
        <v>296.45</v>
      </c>
      <c r="G4031" s="1">
        <v>7.99</v>
      </c>
      <c r="H4031">
        <f t="shared" si="62"/>
        <v>5039.6499999999996</v>
      </c>
    </row>
    <row r="4032" spans="1:8" x14ac:dyDescent="0.25">
      <c r="A4032" s="1" t="s">
        <v>4045</v>
      </c>
      <c r="B4032" s="5">
        <v>45825.916666666664</v>
      </c>
      <c r="C4032" s="1" t="s">
        <v>13</v>
      </c>
      <c r="D4032" s="1" t="s">
        <v>19</v>
      </c>
      <c r="E4032" s="1">
        <v>12</v>
      </c>
      <c r="F4032" s="1">
        <v>133.65</v>
      </c>
      <c r="G4032" s="1">
        <v>5.65</v>
      </c>
      <c r="H4032">
        <f t="shared" si="62"/>
        <v>1603.8000000000002</v>
      </c>
    </row>
    <row r="4033" spans="1:8" x14ac:dyDescent="0.25">
      <c r="A4033" s="1" t="s">
        <v>4046</v>
      </c>
      <c r="B4033" s="5">
        <v>45825.958333333336</v>
      </c>
      <c r="C4033" s="1" t="s">
        <v>8</v>
      </c>
      <c r="D4033" s="1" t="s">
        <v>16</v>
      </c>
      <c r="E4033" s="1">
        <v>13</v>
      </c>
      <c r="F4033" s="1">
        <v>182.39</v>
      </c>
      <c r="G4033" s="1">
        <v>44.65</v>
      </c>
      <c r="H4033">
        <f t="shared" si="62"/>
        <v>2371.0699999999997</v>
      </c>
    </row>
    <row r="4034" spans="1:8" x14ac:dyDescent="0.25">
      <c r="A4034" s="1" t="s">
        <v>4047</v>
      </c>
      <c r="B4034" s="5">
        <v>45826</v>
      </c>
      <c r="C4034" s="1" t="s">
        <v>8</v>
      </c>
      <c r="D4034" s="1" t="s">
        <v>19</v>
      </c>
      <c r="E4034" s="1">
        <v>12</v>
      </c>
      <c r="F4034" s="1">
        <v>334.49</v>
      </c>
      <c r="G4034" s="1">
        <v>20.91</v>
      </c>
      <c r="H4034">
        <f t="shared" ref="H4034:H4097" si="63">E4034*F4034</f>
        <v>4013.88</v>
      </c>
    </row>
    <row r="4035" spans="1:8" x14ac:dyDescent="0.25">
      <c r="A4035" s="1" t="s">
        <v>4048</v>
      </c>
      <c r="B4035" s="5">
        <v>45826.041666666664</v>
      </c>
      <c r="C4035" s="1" t="s">
        <v>23</v>
      </c>
      <c r="D4035" s="1" t="s">
        <v>9</v>
      </c>
      <c r="E4035" s="1">
        <v>19</v>
      </c>
      <c r="F4035" s="1">
        <v>423.02</v>
      </c>
      <c r="G4035" s="1">
        <v>49.75</v>
      </c>
      <c r="H4035">
        <f t="shared" si="63"/>
        <v>8037.3799999999992</v>
      </c>
    </row>
    <row r="4036" spans="1:8" x14ac:dyDescent="0.25">
      <c r="A4036" s="1" t="s">
        <v>4049</v>
      </c>
      <c r="B4036" s="5">
        <v>45826.083333333336</v>
      </c>
      <c r="C4036" s="1" t="s">
        <v>8</v>
      </c>
      <c r="D4036" s="1" t="s">
        <v>37</v>
      </c>
      <c r="E4036" s="1">
        <v>14</v>
      </c>
      <c r="F4036" s="1">
        <v>245.46</v>
      </c>
      <c r="G4036" s="1">
        <v>24.91</v>
      </c>
      <c r="H4036">
        <f t="shared" si="63"/>
        <v>3436.44</v>
      </c>
    </row>
    <row r="4037" spans="1:8" x14ac:dyDescent="0.25">
      <c r="A4037" s="1" t="s">
        <v>4050</v>
      </c>
      <c r="B4037" s="5">
        <v>45826.125</v>
      </c>
      <c r="C4037" s="1" t="s">
        <v>8</v>
      </c>
      <c r="D4037" s="1" t="s">
        <v>19</v>
      </c>
      <c r="E4037" s="1">
        <v>7</v>
      </c>
      <c r="F4037" s="1">
        <v>19.829999999999998</v>
      </c>
      <c r="G4037" s="1">
        <v>13.44</v>
      </c>
      <c r="H4037">
        <f t="shared" si="63"/>
        <v>138.81</v>
      </c>
    </row>
    <row r="4038" spans="1:8" x14ac:dyDescent="0.25">
      <c r="A4038" s="1" t="s">
        <v>4051</v>
      </c>
      <c r="B4038" s="5">
        <v>45826.166666666664</v>
      </c>
      <c r="C4038" s="1" t="s">
        <v>23</v>
      </c>
      <c r="D4038" s="1" t="s">
        <v>16</v>
      </c>
      <c r="E4038" s="1">
        <v>13</v>
      </c>
      <c r="F4038" s="1">
        <v>162.56</v>
      </c>
      <c r="G4038" s="1">
        <v>39.97</v>
      </c>
      <c r="H4038">
        <f t="shared" si="63"/>
        <v>2113.2800000000002</v>
      </c>
    </row>
    <row r="4039" spans="1:8" x14ac:dyDescent="0.25">
      <c r="A4039" s="1" t="s">
        <v>4052</v>
      </c>
      <c r="B4039" s="5">
        <v>45826.208333333336</v>
      </c>
      <c r="C4039" s="1" t="s">
        <v>11</v>
      </c>
      <c r="D4039" s="1" t="s">
        <v>19</v>
      </c>
      <c r="E4039" s="1">
        <v>6</v>
      </c>
      <c r="F4039" s="1">
        <v>188.71</v>
      </c>
      <c r="G4039" s="1">
        <v>46.69</v>
      </c>
      <c r="H4039">
        <f t="shared" si="63"/>
        <v>1132.26</v>
      </c>
    </row>
    <row r="4040" spans="1:8" x14ac:dyDescent="0.25">
      <c r="A4040" s="1" t="s">
        <v>4053</v>
      </c>
      <c r="B4040" s="5">
        <v>45826.25</v>
      </c>
      <c r="C4040" s="1" t="s">
        <v>11</v>
      </c>
      <c r="D4040" s="1" t="s">
        <v>19</v>
      </c>
      <c r="E4040" s="1">
        <v>19</v>
      </c>
      <c r="F4040" s="1">
        <v>162.87</v>
      </c>
      <c r="G4040" s="1">
        <v>41.7</v>
      </c>
      <c r="H4040">
        <f t="shared" si="63"/>
        <v>3094.53</v>
      </c>
    </row>
    <row r="4041" spans="1:8" x14ac:dyDescent="0.25">
      <c r="A4041" s="1" t="s">
        <v>4054</v>
      </c>
      <c r="B4041" s="5">
        <v>45826.291666666664</v>
      </c>
      <c r="C4041" s="1" t="s">
        <v>8</v>
      </c>
      <c r="D4041" s="1" t="s">
        <v>19</v>
      </c>
      <c r="E4041" s="1">
        <v>19</v>
      </c>
      <c r="F4041" s="1">
        <v>205.06</v>
      </c>
      <c r="G4041" s="1">
        <v>38.53</v>
      </c>
      <c r="H4041">
        <f t="shared" si="63"/>
        <v>3896.14</v>
      </c>
    </row>
    <row r="4042" spans="1:8" x14ac:dyDescent="0.25">
      <c r="A4042" s="1" t="s">
        <v>4055</v>
      </c>
      <c r="B4042" s="5">
        <v>45826.333333333336</v>
      </c>
      <c r="C4042" s="1" t="s">
        <v>11</v>
      </c>
      <c r="D4042" s="1" t="s">
        <v>16</v>
      </c>
      <c r="E4042" s="1">
        <v>4</v>
      </c>
      <c r="F4042" s="1">
        <v>290.39</v>
      </c>
      <c r="G4042" s="1">
        <v>20.059999999999999</v>
      </c>
      <c r="H4042">
        <f t="shared" si="63"/>
        <v>1161.56</v>
      </c>
    </row>
    <row r="4043" spans="1:8" x14ac:dyDescent="0.25">
      <c r="A4043" s="1" t="s">
        <v>4056</v>
      </c>
      <c r="B4043" s="5">
        <v>45826.375</v>
      </c>
      <c r="C4043" s="1" t="s">
        <v>11</v>
      </c>
      <c r="D4043" s="1" t="s">
        <v>37</v>
      </c>
      <c r="E4043" s="1">
        <v>19</v>
      </c>
      <c r="F4043" s="1">
        <v>68.13</v>
      </c>
      <c r="G4043" s="1">
        <v>7.9</v>
      </c>
      <c r="H4043">
        <f t="shared" si="63"/>
        <v>1294.4699999999998</v>
      </c>
    </row>
    <row r="4044" spans="1:8" x14ac:dyDescent="0.25">
      <c r="A4044" s="1" t="s">
        <v>4057</v>
      </c>
      <c r="B4044" s="5">
        <v>45826.416666666664</v>
      </c>
      <c r="C4044" s="1" t="s">
        <v>8</v>
      </c>
      <c r="D4044" s="1" t="s">
        <v>9</v>
      </c>
      <c r="E4044" s="1">
        <v>9</v>
      </c>
      <c r="F4044" s="1">
        <v>133.96</v>
      </c>
      <c r="G4044" s="1">
        <v>14.06</v>
      </c>
      <c r="H4044">
        <f t="shared" si="63"/>
        <v>1205.6400000000001</v>
      </c>
    </row>
    <row r="4045" spans="1:8" x14ac:dyDescent="0.25">
      <c r="A4045" s="1" t="s">
        <v>4058</v>
      </c>
      <c r="B4045" s="5">
        <v>45826.458333333336</v>
      </c>
      <c r="C4045" s="1" t="s">
        <v>11</v>
      </c>
      <c r="D4045" s="1" t="s">
        <v>37</v>
      </c>
      <c r="E4045" s="1">
        <v>16</v>
      </c>
      <c r="F4045" s="1">
        <v>236.07</v>
      </c>
      <c r="G4045" s="1">
        <v>25.11</v>
      </c>
      <c r="H4045">
        <f t="shared" si="63"/>
        <v>3777.12</v>
      </c>
    </row>
    <row r="4046" spans="1:8" x14ac:dyDescent="0.25">
      <c r="A4046" s="1" t="s">
        <v>4059</v>
      </c>
      <c r="B4046" s="5">
        <v>45826.5</v>
      </c>
      <c r="C4046" s="1" t="s">
        <v>8</v>
      </c>
      <c r="D4046" s="1" t="s">
        <v>19</v>
      </c>
      <c r="E4046" s="1">
        <v>4</v>
      </c>
      <c r="F4046" s="1">
        <v>152.62</v>
      </c>
      <c r="G4046" s="1">
        <v>48.03</v>
      </c>
      <c r="H4046">
        <f t="shared" si="63"/>
        <v>610.48</v>
      </c>
    </row>
    <row r="4047" spans="1:8" x14ac:dyDescent="0.25">
      <c r="A4047" s="1" t="s">
        <v>4060</v>
      </c>
      <c r="B4047" s="5">
        <v>45826.541666666664</v>
      </c>
      <c r="C4047" s="1" t="s">
        <v>13</v>
      </c>
      <c r="D4047" s="1" t="s">
        <v>16</v>
      </c>
      <c r="E4047" s="1">
        <v>6</v>
      </c>
      <c r="F4047" s="1">
        <v>446.13</v>
      </c>
      <c r="G4047" s="1">
        <v>37.53</v>
      </c>
      <c r="H4047">
        <f t="shared" si="63"/>
        <v>2676.7799999999997</v>
      </c>
    </row>
    <row r="4048" spans="1:8" x14ac:dyDescent="0.25">
      <c r="A4048" s="1" t="s">
        <v>4061</v>
      </c>
      <c r="B4048" s="5">
        <v>45826.583333333336</v>
      </c>
      <c r="C4048" s="1" t="s">
        <v>23</v>
      </c>
      <c r="D4048" s="1" t="s">
        <v>37</v>
      </c>
      <c r="E4048" s="1">
        <v>8</v>
      </c>
      <c r="F4048" s="1">
        <v>202.96</v>
      </c>
      <c r="G4048" s="1">
        <v>42.27</v>
      </c>
      <c r="H4048">
        <f t="shared" si="63"/>
        <v>1623.68</v>
      </c>
    </row>
    <row r="4049" spans="1:8" x14ac:dyDescent="0.25">
      <c r="A4049" s="1" t="s">
        <v>4062</v>
      </c>
      <c r="B4049" s="5">
        <v>45826.625</v>
      </c>
      <c r="C4049" s="1" t="s">
        <v>23</v>
      </c>
      <c r="D4049" s="1" t="s">
        <v>19</v>
      </c>
      <c r="E4049" s="1">
        <v>16</v>
      </c>
      <c r="F4049" s="1">
        <v>393.43</v>
      </c>
      <c r="G4049" s="1">
        <v>17.48</v>
      </c>
      <c r="H4049">
        <f t="shared" si="63"/>
        <v>6294.88</v>
      </c>
    </row>
    <row r="4050" spans="1:8" x14ac:dyDescent="0.25">
      <c r="A4050" s="1" t="s">
        <v>4063</v>
      </c>
      <c r="B4050" s="5">
        <v>45826.666666666664</v>
      </c>
      <c r="C4050" s="1" t="s">
        <v>11</v>
      </c>
      <c r="D4050" s="1" t="s">
        <v>9</v>
      </c>
      <c r="E4050" s="1">
        <v>5</v>
      </c>
      <c r="F4050" s="1">
        <v>405.03</v>
      </c>
      <c r="G4050" s="1">
        <v>35.770000000000003</v>
      </c>
      <c r="H4050">
        <f t="shared" si="63"/>
        <v>2025.1499999999999</v>
      </c>
    </row>
    <row r="4051" spans="1:8" x14ac:dyDescent="0.25">
      <c r="A4051" s="1" t="s">
        <v>4064</v>
      </c>
      <c r="B4051" s="5">
        <v>45826.708333333336</v>
      </c>
      <c r="C4051" s="1" t="s">
        <v>11</v>
      </c>
      <c r="D4051" s="1" t="s">
        <v>9</v>
      </c>
      <c r="E4051" s="1">
        <v>10</v>
      </c>
      <c r="F4051" s="1">
        <v>378.75</v>
      </c>
      <c r="G4051" s="1">
        <v>43.81</v>
      </c>
      <c r="H4051">
        <f t="shared" si="63"/>
        <v>3787.5</v>
      </c>
    </row>
    <row r="4052" spans="1:8" x14ac:dyDescent="0.25">
      <c r="A4052" s="1" t="s">
        <v>4065</v>
      </c>
      <c r="B4052" s="5">
        <v>45826.75</v>
      </c>
      <c r="C4052" s="1" t="s">
        <v>11</v>
      </c>
      <c r="D4052" s="1" t="s">
        <v>9</v>
      </c>
      <c r="E4052" s="1">
        <v>13</v>
      </c>
      <c r="F4052" s="1">
        <v>35.880000000000003</v>
      </c>
      <c r="G4052" s="1">
        <v>26.57</v>
      </c>
      <c r="H4052">
        <f t="shared" si="63"/>
        <v>466.44000000000005</v>
      </c>
    </row>
    <row r="4053" spans="1:8" x14ac:dyDescent="0.25">
      <c r="A4053" s="1" t="s">
        <v>4066</v>
      </c>
      <c r="B4053" s="5">
        <v>45826.791666666664</v>
      </c>
      <c r="C4053" s="1" t="s">
        <v>23</v>
      </c>
      <c r="D4053" s="1" t="s">
        <v>19</v>
      </c>
      <c r="E4053" s="1">
        <v>14</v>
      </c>
      <c r="F4053" s="1">
        <v>427.3</v>
      </c>
      <c r="G4053" s="1">
        <v>24.35</v>
      </c>
      <c r="H4053">
        <f t="shared" si="63"/>
        <v>5982.2</v>
      </c>
    </row>
    <row r="4054" spans="1:8" x14ac:dyDescent="0.25">
      <c r="A4054" s="1" t="s">
        <v>4067</v>
      </c>
      <c r="B4054" s="5">
        <v>45826.833333333336</v>
      </c>
      <c r="C4054" s="1" t="s">
        <v>13</v>
      </c>
      <c r="D4054" s="1" t="s">
        <v>16</v>
      </c>
      <c r="E4054" s="1">
        <v>7</v>
      </c>
      <c r="F4054" s="1">
        <v>71.44</v>
      </c>
      <c r="G4054" s="1">
        <v>37.369999999999997</v>
      </c>
      <c r="H4054">
        <f t="shared" si="63"/>
        <v>500.08</v>
      </c>
    </row>
    <row r="4055" spans="1:8" x14ac:dyDescent="0.25">
      <c r="A4055" s="1" t="s">
        <v>4068</v>
      </c>
      <c r="B4055" s="5">
        <v>45826.875</v>
      </c>
      <c r="C4055" s="1" t="s">
        <v>13</v>
      </c>
      <c r="D4055" s="1" t="s">
        <v>37</v>
      </c>
      <c r="E4055" s="1">
        <v>6</v>
      </c>
      <c r="F4055" s="1">
        <v>30.45</v>
      </c>
      <c r="G4055" s="1">
        <v>30.2</v>
      </c>
      <c r="H4055">
        <f t="shared" si="63"/>
        <v>182.7</v>
      </c>
    </row>
    <row r="4056" spans="1:8" x14ac:dyDescent="0.25">
      <c r="A4056" s="1" t="s">
        <v>4069</v>
      </c>
      <c r="B4056" s="5">
        <v>45826.916666666664</v>
      </c>
      <c r="C4056" s="1" t="s">
        <v>23</v>
      </c>
      <c r="D4056" s="1" t="s">
        <v>9</v>
      </c>
      <c r="E4056" s="1">
        <v>7</v>
      </c>
      <c r="F4056" s="1">
        <v>195.54</v>
      </c>
      <c r="G4056" s="1">
        <v>49.69</v>
      </c>
      <c r="H4056">
        <f t="shared" si="63"/>
        <v>1368.78</v>
      </c>
    </row>
    <row r="4057" spans="1:8" x14ac:dyDescent="0.25">
      <c r="A4057" s="1" t="s">
        <v>4070</v>
      </c>
      <c r="B4057" s="5">
        <v>45826.958333333336</v>
      </c>
      <c r="C4057" s="1" t="s">
        <v>13</v>
      </c>
      <c r="D4057" s="1" t="s">
        <v>19</v>
      </c>
      <c r="E4057" s="1">
        <v>5</v>
      </c>
      <c r="F4057" s="1">
        <v>100.07</v>
      </c>
      <c r="G4057" s="1">
        <v>24.13</v>
      </c>
      <c r="H4057">
        <f t="shared" si="63"/>
        <v>500.34999999999997</v>
      </c>
    </row>
    <row r="4058" spans="1:8" x14ac:dyDescent="0.25">
      <c r="A4058" s="1" t="s">
        <v>4071</v>
      </c>
      <c r="B4058" s="5">
        <v>45827</v>
      </c>
      <c r="C4058" s="1" t="s">
        <v>23</v>
      </c>
      <c r="D4058" s="1" t="s">
        <v>19</v>
      </c>
      <c r="E4058" s="1">
        <v>18</v>
      </c>
      <c r="F4058" s="1">
        <v>95.53</v>
      </c>
      <c r="G4058" s="1">
        <v>12.92</v>
      </c>
      <c r="H4058">
        <f t="shared" si="63"/>
        <v>1719.54</v>
      </c>
    </row>
    <row r="4059" spans="1:8" x14ac:dyDescent="0.25">
      <c r="A4059" s="1" t="s">
        <v>4072</v>
      </c>
      <c r="B4059" s="5">
        <v>45827.041666666664</v>
      </c>
      <c r="C4059" s="1" t="s">
        <v>13</v>
      </c>
      <c r="D4059" s="1" t="s">
        <v>37</v>
      </c>
      <c r="E4059" s="1">
        <v>12</v>
      </c>
      <c r="F4059" s="1">
        <v>140.56</v>
      </c>
      <c r="G4059" s="1">
        <v>26.24</v>
      </c>
      <c r="H4059">
        <f t="shared" si="63"/>
        <v>1686.72</v>
      </c>
    </row>
    <row r="4060" spans="1:8" x14ac:dyDescent="0.25">
      <c r="A4060" s="1" t="s">
        <v>4073</v>
      </c>
      <c r="B4060" s="5">
        <v>45827.083333333336</v>
      </c>
      <c r="C4060" s="1" t="s">
        <v>8</v>
      </c>
      <c r="D4060" s="1" t="s">
        <v>9</v>
      </c>
      <c r="E4060" s="1">
        <v>6</v>
      </c>
      <c r="F4060" s="1">
        <v>123.43</v>
      </c>
      <c r="G4060" s="1">
        <v>15.58</v>
      </c>
      <c r="H4060">
        <f t="shared" si="63"/>
        <v>740.58</v>
      </c>
    </row>
    <row r="4061" spans="1:8" x14ac:dyDescent="0.25">
      <c r="A4061" s="1" t="s">
        <v>4074</v>
      </c>
      <c r="B4061" s="5">
        <v>45827.125</v>
      </c>
      <c r="C4061" s="1" t="s">
        <v>8</v>
      </c>
      <c r="D4061" s="1" t="s">
        <v>19</v>
      </c>
      <c r="E4061" s="1">
        <v>1</v>
      </c>
      <c r="F4061" s="1">
        <v>313.04000000000002</v>
      </c>
      <c r="G4061" s="1">
        <v>30.26</v>
      </c>
      <c r="H4061">
        <f t="shared" si="63"/>
        <v>313.04000000000002</v>
      </c>
    </row>
    <row r="4062" spans="1:8" x14ac:dyDescent="0.25">
      <c r="A4062" s="1" t="s">
        <v>4075</v>
      </c>
      <c r="B4062" s="5">
        <v>45827.166666666664</v>
      </c>
      <c r="C4062" s="1" t="s">
        <v>23</v>
      </c>
      <c r="D4062" s="1" t="s">
        <v>37</v>
      </c>
      <c r="E4062" s="1">
        <v>4</v>
      </c>
      <c r="F4062" s="1">
        <v>96.65</v>
      </c>
      <c r="G4062" s="1">
        <v>10.66</v>
      </c>
      <c r="H4062">
        <f t="shared" si="63"/>
        <v>386.6</v>
      </c>
    </row>
    <row r="4063" spans="1:8" x14ac:dyDescent="0.25">
      <c r="A4063" s="1" t="s">
        <v>4076</v>
      </c>
      <c r="B4063" s="5">
        <v>45827.208333333336</v>
      </c>
      <c r="C4063" s="1" t="s">
        <v>13</v>
      </c>
      <c r="D4063" s="1" t="s">
        <v>16</v>
      </c>
      <c r="E4063" s="1">
        <v>19</v>
      </c>
      <c r="F4063" s="1">
        <v>251.48</v>
      </c>
      <c r="G4063" s="1">
        <v>47.75</v>
      </c>
      <c r="H4063">
        <f t="shared" si="63"/>
        <v>4778.12</v>
      </c>
    </row>
    <row r="4064" spans="1:8" x14ac:dyDescent="0.25">
      <c r="A4064" s="1" t="s">
        <v>4077</v>
      </c>
      <c r="B4064" s="5">
        <v>45827.25</v>
      </c>
      <c r="C4064" s="1" t="s">
        <v>11</v>
      </c>
      <c r="D4064" s="1" t="s">
        <v>16</v>
      </c>
      <c r="E4064" s="1">
        <v>12</v>
      </c>
      <c r="F4064" s="1">
        <v>444.1</v>
      </c>
      <c r="G4064" s="1">
        <v>43.69</v>
      </c>
      <c r="H4064">
        <f t="shared" si="63"/>
        <v>5329.2000000000007</v>
      </c>
    </row>
    <row r="4065" spans="1:8" x14ac:dyDescent="0.25">
      <c r="A4065" s="1" t="s">
        <v>4078</v>
      </c>
      <c r="B4065" s="5">
        <v>45827.291666666664</v>
      </c>
      <c r="C4065" s="1" t="s">
        <v>13</v>
      </c>
      <c r="D4065" s="1" t="s">
        <v>16</v>
      </c>
      <c r="E4065" s="1">
        <v>15</v>
      </c>
      <c r="F4065" s="1">
        <v>203.37</v>
      </c>
      <c r="G4065" s="1">
        <v>12</v>
      </c>
      <c r="H4065">
        <f t="shared" si="63"/>
        <v>3050.55</v>
      </c>
    </row>
    <row r="4066" spans="1:8" x14ac:dyDescent="0.25">
      <c r="A4066" s="1" t="s">
        <v>4079</v>
      </c>
      <c r="B4066" s="5">
        <v>45827.333333333336</v>
      </c>
      <c r="C4066" s="1" t="s">
        <v>8</v>
      </c>
      <c r="D4066" s="1" t="s">
        <v>9</v>
      </c>
      <c r="E4066" s="1">
        <v>3</v>
      </c>
      <c r="F4066" s="1">
        <v>294.39</v>
      </c>
      <c r="G4066" s="1">
        <v>12.76</v>
      </c>
      <c r="H4066">
        <f t="shared" si="63"/>
        <v>883.17</v>
      </c>
    </row>
    <row r="4067" spans="1:8" x14ac:dyDescent="0.25">
      <c r="A4067" s="1" t="s">
        <v>4080</v>
      </c>
      <c r="B4067" s="5">
        <v>45827.375</v>
      </c>
      <c r="C4067" s="1" t="s">
        <v>8</v>
      </c>
      <c r="D4067" s="1" t="s">
        <v>37</v>
      </c>
      <c r="E4067" s="1">
        <v>8</v>
      </c>
      <c r="F4067" s="1">
        <v>436.69</v>
      </c>
      <c r="G4067" s="1">
        <v>28.06</v>
      </c>
      <c r="H4067">
        <f t="shared" si="63"/>
        <v>3493.52</v>
      </c>
    </row>
    <row r="4068" spans="1:8" x14ac:dyDescent="0.25">
      <c r="A4068" s="1" t="s">
        <v>4081</v>
      </c>
      <c r="B4068" s="5">
        <v>45827.416666666664</v>
      </c>
      <c r="C4068" s="1" t="s">
        <v>13</v>
      </c>
      <c r="D4068" s="1" t="s">
        <v>37</v>
      </c>
      <c r="E4068" s="1">
        <v>11</v>
      </c>
      <c r="F4068" s="1">
        <v>75.3</v>
      </c>
      <c r="G4068" s="1">
        <v>39.78</v>
      </c>
      <c r="H4068">
        <f t="shared" si="63"/>
        <v>828.3</v>
      </c>
    </row>
    <row r="4069" spans="1:8" x14ac:dyDescent="0.25">
      <c r="A4069" s="1" t="s">
        <v>4082</v>
      </c>
      <c r="B4069" s="5">
        <v>45827.458333333336</v>
      </c>
      <c r="C4069" s="1" t="s">
        <v>13</v>
      </c>
      <c r="D4069" s="1" t="s">
        <v>19</v>
      </c>
      <c r="E4069" s="1">
        <v>16</v>
      </c>
      <c r="F4069" s="1">
        <v>197.38</v>
      </c>
      <c r="G4069" s="1">
        <v>14.86</v>
      </c>
      <c r="H4069">
        <f t="shared" si="63"/>
        <v>3158.08</v>
      </c>
    </row>
    <row r="4070" spans="1:8" x14ac:dyDescent="0.25">
      <c r="A4070" s="1" t="s">
        <v>4083</v>
      </c>
      <c r="B4070" s="5">
        <v>45827.5</v>
      </c>
      <c r="C4070" s="1" t="s">
        <v>11</v>
      </c>
      <c r="D4070" s="1" t="s">
        <v>19</v>
      </c>
      <c r="E4070" s="1">
        <v>9</v>
      </c>
      <c r="F4070" s="1">
        <v>384.91</v>
      </c>
      <c r="G4070" s="1">
        <v>7.74</v>
      </c>
      <c r="H4070">
        <f t="shared" si="63"/>
        <v>3464.19</v>
      </c>
    </row>
    <row r="4071" spans="1:8" x14ac:dyDescent="0.25">
      <c r="A4071" s="1" t="s">
        <v>4084</v>
      </c>
      <c r="B4071" s="5">
        <v>45827.541666666664</v>
      </c>
      <c r="C4071" s="1" t="s">
        <v>11</v>
      </c>
      <c r="D4071" s="1" t="s">
        <v>19</v>
      </c>
      <c r="E4071" s="1">
        <v>3</v>
      </c>
      <c r="F4071" s="1">
        <v>420.59</v>
      </c>
      <c r="G4071" s="1">
        <v>29.55</v>
      </c>
      <c r="H4071">
        <f t="shared" si="63"/>
        <v>1261.77</v>
      </c>
    </row>
    <row r="4072" spans="1:8" x14ac:dyDescent="0.25">
      <c r="A4072" s="1" t="s">
        <v>4085</v>
      </c>
      <c r="B4072" s="5">
        <v>45827.583333333336</v>
      </c>
      <c r="C4072" s="1" t="s">
        <v>13</v>
      </c>
      <c r="D4072" s="1" t="s">
        <v>37</v>
      </c>
      <c r="E4072" s="1">
        <v>5</v>
      </c>
      <c r="F4072" s="1">
        <v>276.74</v>
      </c>
      <c r="G4072" s="1">
        <v>36.119999999999997</v>
      </c>
      <c r="H4072">
        <f t="shared" si="63"/>
        <v>1383.7</v>
      </c>
    </row>
    <row r="4073" spans="1:8" x14ac:dyDescent="0.25">
      <c r="A4073" s="1" t="s">
        <v>4086</v>
      </c>
      <c r="B4073" s="5">
        <v>45827.625</v>
      </c>
      <c r="C4073" s="1" t="s">
        <v>13</v>
      </c>
      <c r="D4073" s="1" t="s">
        <v>19</v>
      </c>
      <c r="E4073" s="1">
        <v>14</v>
      </c>
      <c r="F4073" s="1">
        <v>77.819999999999993</v>
      </c>
      <c r="G4073" s="1">
        <v>16</v>
      </c>
      <c r="H4073">
        <f t="shared" si="63"/>
        <v>1089.48</v>
      </c>
    </row>
    <row r="4074" spans="1:8" x14ac:dyDescent="0.25">
      <c r="A4074" s="1" t="s">
        <v>4087</v>
      </c>
      <c r="B4074" s="5">
        <v>45827.666666666664</v>
      </c>
      <c r="C4074" s="1" t="s">
        <v>13</v>
      </c>
      <c r="D4074" s="1" t="s">
        <v>37</v>
      </c>
      <c r="E4074" s="1">
        <v>15</v>
      </c>
      <c r="F4074" s="1">
        <v>407.19</v>
      </c>
      <c r="G4074" s="1">
        <v>38.29</v>
      </c>
      <c r="H4074">
        <f t="shared" si="63"/>
        <v>6107.85</v>
      </c>
    </row>
    <row r="4075" spans="1:8" x14ac:dyDescent="0.25">
      <c r="A4075" s="1" t="s">
        <v>4088</v>
      </c>
      <c r="B4075" s="5">
        <v>45827.708333333336</v>
      </c>
      <c r="C4075" s="1" t="s">
        <v>13</v>
      </c>
      <c r="D4075" s="1" t="s">
        <v>37</v>
      </c>
      <c r="E4075" s="1">
        <v>6</v>
      </c>
      <c r="F4075" s="1">
        <v>91.3</v>
      </c>
      <c r="G4075" s="1">
        <v>47.78</v>
      </c>
      <c r="H4075">
        <f t="shared" si="63"/>
        <v>547.79999999999995</v>
      </c>
    </row>
    <row r="4076" spans="1:8" x14ac:dyDescent="0.25">
      <c r="A4076" s="1" t="s">
        <v>4089</v>
      </c>
      <c r="B4076" s="5">
        <v>45827.75</v>
      </c>
      <c r="C4076" s="1" t="s">
        <v>23</v>
      </c>
      <c r="D4076" s="1" t="s">
        <v>16</v>
      </c>
      <c r="E4076" s="1">
        <v>4</v>
      </c>
      <c r="F4076" s="1">
        <v>168.83</v>
      </c>
      <c r="G4076" s="1">
        <v>11.17</v>
      </c>
      <c r="H4076">
        <f t="shared" si="63"/>
        <v>675.32</v>
      </c>
    </row>
    <row r="4077" spans="1:8" x14ac:dyDescent="0.25">
      <c r="A4077" s="1" t="s">
        <v>4090</v>
      </c>
      <c r="B4077" s="5">
        <v>45827.791666666664</v>
      </c>
      <c r="C4077" s="1" t="s">
        <v>13</v>
      </c>
      <c r="D4077" s="1" t="s">
        <v>19</v>
      </c>
      <c r="E4077" s="1">
        <v>8</v>
      </c>
      <c r="F4077" s="1">
        <v>178.66</v>
      </c>
      <c r="G4077" s="1">
        <v>28</v>
      </c>
      <c r="H4077">
        <f t="shared" si="63"/>
        <v>1429.28</v>
      </c>
    </row>
    <row r="4078" spans="1:8" x14ac:dyDescent="0.25">
      <c r="A4078" s="1" t="s">
        <v>4091</v>
      </c>
      <c r="B4078" s="5">
        <v>45827.833333333336</v>
      </c>
      <c r="C4078" s="1" t="s">
        <v>11</v>
      </c>
      <c r="D4078" s="1" t="s">
        <v>16</v>
      </c>
      <c r="E4078" s="1">
        <v>19</v>
      </c>
      <c r="F4078" s="1">
        <v>209.85</v>
      </c>
      <c r="G4078" s="1">
        <v>7.56</v>
      </c>
      <c r="H4078">
        <f t="shared" si="63"/>
        <v>3987.15</v>
      </c>
    </row>
    <row r="4079" spans="1:8" x14ac:dyDescent="0.25">
      <c r="A4079" s="1" t="s">
        <v>4092</v>
      </c>
      <c r="B4079" s="5">
        <v>45827.875</v>
      </c>
      <c r="C4079" s="1" t="s">
        <v>8</v>
      </c>
      <c r="D4079" s="1" t="s">
        <v>9</v>
      </c>
      <c r="E4079" s="1">
        <v>5</v>
      </c>
      <c r="F4079" s="1">
        <v>358.83</v>
      </c>
      <c r="G4079" s="1">
        <v>14.3</v>
      </c>
      <c r="H4079">
        <f t="shared" si="63"/>
        <v>1794.1499999999999</v>
      </c>
    </row>
    <row r="4080" spans="1:8" x14ac:dyDescent="0.25">
      <c r="A4080" s="1" t="s">
        <v>4093</v>
      </c>
      <c r="B4080" s="5">
        <v>45827.916666666664</v>
      </c>
      <c r="C4080" s="1" t="s">
        <v>23</v>
      </c>
      <c r="D4080" s="1" t="s">
        <v>9</v>
      </c>
      <c r="E4080" s="1">
        <v>13</v>
      </c>
      <c r="F4080" s="1">
        <v>364.03</v>
      </c>
      <c r="G4080" s="1">
        <v>9.0399999999999991</v>
      </c>
      <c r="H4080">
        <f t="shared" si="63"/>
        <v>4732.3899999999994</v>
      </c>
    </row>
    <row r="4081" spans="1:8" x14ac:dyDescent="0.25">
      <c r="A4081" s="1" t="s">
        <v>4094</v>
      </c>
      <c r="B4081" s="5">
        <v>45827.958333333336</v>
      </c>
      <c r="C4081" s="1" t="s">
        <v>13</v>
      </c>
      <c r="D4081" s="1" t="s">
        <v>9</v>
      </c>
      <c r="E4081" s="1">
        <v>16</v>
      </c>
      <c r="F4081" s="1">
        <v>328.19</v>
      </c>
      <c r="G4081" s="1">
        <v>23.18</v>
      </c>
      <c r="H4081">
        <f t="shared" si="63"/>
        <v>5251.04</v>
      </c>
    </row>
    <row r="4082" spans="1:8" x14ac:dyDescent="0.25">
      <c r="A4082" s="1" t="s">
        <v>4095</v>
      </c>
      <c r="B4082" s="5">
        <v>45828</v>
      </c>
      <c r="C4082" s="1" t="s">
        <v>8</v>
      </c>
      <c r="D4082" s="1" t="s">
        <v>37</v>
      </c>
      <c r="E4082" s="1">
        <v>1</v>
      </c>
      <c r="F4082" s="1">
        <v>25.11</v>
      </c>
      <c r="G4082" s="1">
        <v>41.94</v>
      </c>
      <c r="H4082">
        <f t="shared" si="63"/>
        <v>25.11</v>
      </c>
    </row>
    <row r="4083" spans="1:8" x14ac:dyDescent="0.25">
      <c r="A4083" s="1" t="s">
        <v>4096</v>
      </c>
      <c r="B4083" s="5">
        <v>45828.041666666664</v>
      </c>
      <c r="C4083" s="1" t="s">
        <v>23</v>
      </c>
      <c r="D4083" s="1" t="s">
        <v>37</v>
      </c>
      <c r="E4083" s="1">
        <v>13</v>
      </c>
      <c r="F4083" s="1">
        <v>260.93</v>
      </c>
      <c r="G4083" s="1">
        <v>30.97</v>
      </c>
      <c r="H4083">
        <f t="shared" si="63"/>
        <v>3392.09</v>
      </c>
    </row>
    <row r="4084" spans="1:8" x14ac:dyDescent="0.25">
      <c r="A4084" s="1" t="s">
        <v>4097</v>
      </c>
      <c r="B4084" s="5">
        <v>45828.083333333336</v>
      </c>
      <c r="C4084" s="1" t="s">
        <v>8</v>
      </c>
      <c r="D4084" s="1" t="s">
        <v>37</v>
      </c>
      <c r="E4084" s="1">
        <v>11</v>
      </c>
      <c r="F4084" s="1">
        <v>340.29</v>
      </c>
      <c r="G4084" s="1">
        <v>15.02</v>
      </c>
      <c r="H4084">
        <f t="shared" si="63"/>
        <v>3743.19</v>
      </c>
    </row>
    <row r="4085" spans="1:8" x14ac:dyDescent="0.25">
      <c r="A4085" s="1" t="s">
        <v>4098</v>
      </c>
      <c r="B4085" s="5">
        <v>45828.125</v>
      </c>
      <c r="C4085" s="1" t="s">
        <v>13</v>
      </c>
      <c r="D4085" s="1" t="s">
        <v>19</v>
      </c>
      <c r="E4085" s="1">
        <v>8</v>
      </c>
      <c r="F4085" s="1">
        <v>208.69</v>
      </c>
      <c r="G4085" s="1">
        <v>6.8</v>
      </c>
      <c r="H4085">
        <f t="shared" si="63"/>
        <v>1669.52</v>
      </c>
    </row>
    <row r="4086" spans="1:8" x14ac:dyDescent="0.25">
      <c r="A4086" s="1" t="s">
        <v>4099</v>
      </c>
      <c r="B4086" s="5">
        <v>45828.166666666664</v>
      </c>
      <c r="C4086" s="1" t="s">
        <v>13</v>
      </c>
      <c r="D4086" s="1" t="s">
        <v>16</v>
      </c>
      <c r="E4086" s="1">
        <v>8</v>
      </c>
      <c r="F4086" s="1">
        <v>426.07</v>
      </c>
      <c r="G4086" s="1">
        <v>29.9</v>
      </c>
      <c r="H4086">
        <f t="shared" si="63"/>
        <v>3408.56</v>
      </c>
    </row>
    <row r="4087" spans="1:8" x14ac:dyDescent="0.25">
      <c r="A4087" s="1" t="s">
        <v>4100</v>
      </c>
      <c r="B4087" s="5">
        <v>45828.208333333336</v>
      </c>
      <c r="C4087" s="1" t="s">
        <v>11</v>
      </c>
      <c r="D4087" s="1" t="s">
        <v>37</v>
      </c>
      <c r="E4087" s="1">
        <v>14</v>
      </c>
      <c r="F4087" s="1">
        <v>373.45</v>
      </c>
      <c r="G4087" s="1">
        <v>10.98</v>
      </c>
      <c r="H4087">
        <f t="shared" si="63"/>
        <v>5228.3</v>
      </c>
    </row>
    <row r="4088" spans="1:8" x14ac:dyDescent="0.25">
      <c r="A4088" s="1" t="s">
        <v>4101</v>
      </c>
      <c r="B4088" s="5">
        <v>45828.25</v>
      </c>
      <c r="C4088" s="1" t="s">
        <v>13</v>
      </c>
      <c r="D4088" s="1" t="s">
        <v>16</v>
      </c>
      <c r="E4088" s="1">
        <v>13</v>
      </c>
      <c r="F4088" s="1">
        <v>292.77999999999997</v>
      </c>
      <c r="G4088" s="1">
        <v>20.420000000000002</v>
      </c>
      <c r="H4088">
        <f t="shared" si="63"/>
        <v>3806.1399999999994</v>
      </c>
    </row>
    <row r="4089" spans="1:8" x14ac:dyDescent="0.25">
      <c r="A4089" s="1" t="s">
        <v>4102</v>
      </c>
      <c r="B4089" s="5">
        <v>45828.291666666664</v>
      </c>
      <c r="C4089" s="1" t="s">
        <v>13</v>
      </c>
      <c r="D4089" s="1" t="s">
        <v>16</v>
      </c>
      <c r="E4089" s="1">
        <v>3</v>
      </c>
      <c r="F4089" s="1">
        <v>42.62</v>
      </c>
      <c r="G4089" s="1">
        <v>27.96</v>
      </c>
      <c r="H4089">
        <f t="shared" si="63"/>
        <v>127.85999999999999</v>
      </c>
    </row>
    <row r="4090" spans="1:8" x14ac:dyDescent="0.25">
      <c r="A4090" s="1" t="s">
        <v>4103</v>
      </c>
      <c r="B4090" s="5">
        <v>45828.333333333336</v>
      </c>
      <c r="C4090" s="1" t="s">
        <v>23</v>
      </c>
      <c r="D4090" s="1" t="s">
        <v>16</v>
      </c>
      <c r="E4090" s="1">
        <v>4</v>
      </c>
      <c r="F4090" s="1">
        <v>298.94</v>
      </c>
      <c r="G4090" s="1">
        <v>45.67</v>
      </c>
      <c r="H4090">
        <f t="shared" si="63"/>
        <v>1195.76</v>
      </c>
    </row>
    <row r="4091" spans="1:8" x14ac:dyDescent="0.25">
      <c r="A4091" s="1" t="s">
        <v>4104</v>
      </c>
      <c r="B4091" s="5">
        <v>45828.375</v>
      </c>
      <c r="C4091" s="1" t="s">
        <v>11</v>
      </c>
      <c r="D4091" s="1" t="s">
        <v>19</v>
      </c>
      <c r="E4091" s="1">
        <v>15</v>
      </c>
      <c r="F4091" s="1">
        <v>411.58</v>
      </c>
      <c r="G4091" s="1">
        <v>8.68</v>
      </c>
      <c r="H4091">
        <f t="shared" si="63"/>
        <v>6173.7</v>
      </c>
    </row>
    <row r="4092" spans="1:8" x14ac:dyDescent="0.25">
      <c r="A4092" s="1" t="s">
        <v>4105</v>
      </c>
      <c r="B4092" s="5">
        <v>45828.416666666664</v>
      </c>
      <c r="C4092" s="1" t="s">
        <v>23</v>
      </c>
      <c r="D4092" s="1" t="s">
        <v>19</v>
      </c>
      <c r="E4092" s="1">
        <v>15</v>
      </c>
      <c r="F4092" s="1">
        <v>180.37</v>
      </c>
      <c r="G4092" s="1">
        <v>35.090000000000003</v>
      </c>
      <c r="H4092">
        <f t="shared" si="63"/>
        <v>2705.55</v>
      </c>
    </row>
    <row r="4093" spans="1:8" x14ac:dyDescent="0.25">
      <c r="A4093" s="1" t="s">
        <v>4106</v>
      </c>
      <c r="B4093" s="5">
        <v>45828.458333333336</v>
      </c>
      <c r="C4093" s="1" t="s">
        <v>8</v>
      </c>
      <c r="D4093" s="1" t="s">
        <v>9</v>
      </c>
      <c r="E4093" s="1">
        <v>13</v>
      </c>
      <c r="F4093" s="1">
        <v>379.67</v>
      </c>
      <c r="G4093" s="1">
        <v>5.63</v>
      </c>
      <c r="H4093">
        <f t="shared" si="63"/>
        <v>4935.71</v>
      </c>
    </row>
    <row r="4094" spans="1:8" x14ac:dyDescent="0.25">
      <c r="A4094" s="1" t="s">
        <v>4107</v>
      </c>
      <c r="B4094" s="5">
        <v>45828.5</v>
      </c>
      <c r="C4094" s="1" t="s">
        <v>13</v>
      </c>
      <c r="D4094" s="1" t="s">
        <v>9</v>
      </c>
      <c r="E4094" s="1">
        <v>9</v>
      </c>
      <c r="F4094" s="1">
        <v>151.57</v>
      </c>
      <c r="G4094" s="1">
        <v>33.35</v>
      </c>
      <c r="H4094">
        <f t="shared" si="63"/>
        <v>1364.1299999999999</v>
      </c>
    </row>
    <row r="4095" spans="1:8" x14ac:dyDescent="0.25">
      <c r="A4095" s="1" t="s">
        <v>4108</v>
      </c>
      <c r="B4095" s="5">
        <v>45828.541666666664</v>
      </c>
      <c r="C4095" s="1" t="s">
        <v>8</v>
      </c>
      <c r="D4095" s="1" t="s">
        <v>16</v>
      </c>
      <c r="E4095" s="1">
        <v>10</v>
      </c>
      <c r="F4095" s="1">
        <v>263.20999999999998</v>
      </c>
      <c r="G4095" s="1">
        <v>29.82</v>
      </c>
      <c r="H4095">
        <f t="shared" si="63"/>
        <v>2632.1</v>
      </c>
    </row>
    <row r="4096" spans="1:8" x14ac:dyDescent="0.25">
      <c r="A4096" s="1" t="s">
        <v>4109</v>
      </c>
      <c r="B4096" s="5">
        <v>45828.583333333336</v>
      </c>
      <c r="C4096" s="1" t="s">
        <v>23</v>
      </c>
      <c r="D4096" s="1" t="s">
        <v>9</v>
      </c>
      <c r="E4096" s="1">
        <v>12</v>
      </c>
      <c r="F4096" s="1">
        <v>297.24</v>
      </c>
      <c r="G4096" s="1">
        <v>41.53</v>
      </c>
      <c r="H4096">
        <f t="shared" si="63"/>
        <v>3566.88</v>
      </c>
    </row>
    <row r="4097" spans="1:8" x14ac:dyDescent="0.25">
      <c r="A4097" s="1" t="s">
        <v>4110</v>
      </c>
      <c r="B4097" s="5">
        <v>45828.625</v>
      </c>
      <c r="C4097" s="1" t="s">
        <v>13</v>
      </c>
      <c r="D4097" s="1" t="s">
        <v>16</v>
      </c>
      <c r="E4097" s="1">
        <v>14</v>
      </c>
      <c r="F4097" s="1">
        <v>310.08999999999997</v>
      </c>
      <c r="G4097" s="1">
        <v>28.92</v>
      </c>
      <c r="H4097">
        <f t="shared" si="63"/>
        <v>4341.2599999999993</v>
      </c>
    </row>
    <row r="4098" spans="1:8" x14ac:dyDescent="0.25">
      <c r="A4098" s="1" t="s">
        <v>4111</v>
      </c>
      <c r="B4098" s="5">
        <v>45828.666666666664</v>
      </c>
      <c r="C4098" s="1" t="s">
        <v>13</v>
      </c>
      <c r="D4098" s="1" t="s">
        <v>19</v>
      </c>
      <c r="E4098" s="1">
        <v>1</v>
      </c>
      <c r="F4098" s="1">
        <v>398.97</v>
      </c>
      <c r="G4098" s="1">
        <v>20.87</v>
      </c>
      <c r="H4098">
        <f t="shared" ref="H4098:H4161" si="64">E4098*F4098</f>
        <v>398.97</v>
      </c>
    </row>
    <row r="4099" spans="1:8" x14ac:dyDescent="0.25">
      <c r="A4099" s="1" t="s">
        <v>4112</v>
      </c>
      <c r="B4099" s="5">
        <v>45828.708333333336</v>
      </c>
      <c r="C4099" s="1" t="s">
        <v>23</v>
      </c>
      <c r="D4099" s="1" t="s">
        <v>19</v>
      </c>
      <c r="E4099" s="1">
        <v>14</v>
      </c>
      <c r="F4099" s="1">
        <v>117.44</v>
      </c>
      <c r="G4099" s="1">
        <v>15.92</v>
      </c>
      <c r="H4099">
        <f t="shared" si="64"/>
        <v>1644.1599999999999</v>
      </c>
    </row>
    <row r="4100" spans="1:8" x14ac:dyDescent="0.25">
      <c r="A4100" s="1" t="s">
        <v>4113</v>
      </c>
      <c r="B4100" s="5">
        <v>45828.75</v>
      </c>
      <c r="C4100" s="1" t="s">
        <v>23</v>
      </c>
      <c r="D4100" s="1" t="s">
        <v>19</v>
      </c>
      <c r="E4100" s="1">
        <v>14</v>
      </c>
      <c r="F4100" s="1">
        <v>129.5</v>
      </c>
      <c r="G4100" s="1">
        <v>8.84</v>
      </c>
      <c r="H4100">
        <f t="shared" si="64"/>
        <v>1813</v>
      </c>
    </row>
    <row r="4101" spans="1:8" x14ac:dyDescent="0.25">
      <c r="A4101" s="1" t="s">
        <v>4114</v>
      </c>
      <c r="B4101" s="5">
        <v>45828.791666666664</v>
      </c>
      <c r="C4101" s="1" t="s">
        <v>23</v>
      </c>
      <c r="D4101" s="1" t="s">
        <v>37</v>
      </c>
      <c r="E4101" s="1">
        <v>8</v>
      </c>
      <c r="F4101" s="1">
        <v>321.41000000000003</v>
      </c>
      <c r="G4101" s="1">
        <v>29.06</v>
      </c>
      <c r="H4101">
        <f t="shared" si="64"/>
        <v>2571.2800000000002</v>
      </c>
    </row>
    <row r="4102" spans="1:8" x14ac:dyDescent="0.25">
      <c r="A4102" s="1" t="s">
        <v>4115</v>
      </c>
      <c r="B4102" s="5">
        <v>45828.833333333336</v>
      </c>
      <c r="C4102" s="1" t="s">
        <v>23</v>
      </c>
      <c r="D4102" s="1" t="s">
        <v>16</v>
      </c>
      <c r="E4102" s="1">
        <v>16</v>
      </c>
      <c r="F4102" s="1">
        <v>92.49</v>
      </c>
      <c r="G4102" s="1">
        <v>44.97</v>
      </c>
      <c r="H4102">
        <f t="shared" si="64"/>
        <v>1479.84</v>
      </c>
    </row>
    <row r="4103" spans="1:8" x14ac:dyDescent="0.25">
      <c r="A4103" s="1" t="s">
        <v>4116</v>
      </c>
      <c r="B4103" s="5">
        <v>45828.875</v>
      </c>
      <c r="C4103" s="1" t="s">
        <v>23</v>
      </c>
      <c r="D4103" s="1" t="s">
        <v>19</v>
      </c>
      <c r="E4103" s="1">
        <v>14</v>
      </c>
      <c r="F4103" s="1">
        <v>217.23</v>
      </c>
      <c r="G4103" s="1">
        <v>28.16</v>
      </c>
      <c r="H4103">
        <f t="shared" si="64"/>
        <v>3041.22</v>
      </c>
    </row>
    <row r="4104" spans="1:8" x14ac:dyDescent="0.25">
      <c r="A4104" s="1" t="s">
        <v>4117</v>
      </c>
      <c r="B4104" s="5">
        <v>45828.916666666664</v>
      </c>
      <c r="C4104" s="1" t="s">
        <v>13</v>
      </c>
      <c r="D4104" s="1" t="s">
        <v>16</v>
      </c>
      <c r="E4104" s="1">
        <v>1</v>
      </c>
      <c r="F4104" s="1">
        <v>24.2</v>
      </c>
      <c r="G4104" s="1">
        <v>38.26</v>
      </c>
      <c r="H4104">
        <f t="shared" si="64"/>
        <v>24.2</v>
      </c>
    </row>
    <row r="4105" spans="1:8" x14ac:dyDescent="0.25">
      <c r="A4105" s="1" t="s">
        <v>4118</v>
      </c>
      <c r="B4105" s="5">
        <v>45828.958333333336</v>
      </c>
      <c r="C4105" s="1" t="s">
        <v>23</v>
      </c>
      <c r="D4105" s="1" t="s">
        <v>9</v>
      </c>
      <c r="E4105" s="1">
        <v>16</v>
      </c>
      <c r="F4105" s="1">
        <v>76.760000000000005</v>
      </c>
      <c r="G4105" s="1">
        <v>18.43</v>
      </c>
      <c r="H4105">
        <f t="shared" si="64"/>
        <v>1228.1600000000001</v>
      </c>
    </row>
    <row r="4106" spans="1:8" x14ac:dyDescent="0.25">
      <c r="A4106" s="1" t="s">
        <v>4119</v>
      </c>
      <c r="B4106" s="5">
        <v>45829</v>
      </c>
      <c r="C4106" s="1" t="s">
        <v>13</v>
      </c>
      <c r="D4106" s="1" t="s">
        <v>9</v>
      </c>
      <c r="E4106" s="1">
        <v>18</v>
      </c>
      <c r="F4106" s="1">
        <v>310.45999999999998</v>
      </c>
      <c r="G4106" s="1">
        <v>25.17</v>
      </c>
      <c r="H4106">
        <f t="shared" si="64"/>
        <v>5588.28</v>
      </c>
    </row>
    <row r="4107" spans="1:8" x14ac:dyDescent="0.25">
      <c r="A4107" s="1" t="s">
        <v>4120</v>
      </c>
      <c r="B4107" s="5">
        <v>45829.041666666664</v>
      </c>
      <c r="C4107" s="1" t="s">
        <v>13</v>
      </c>
      <c r="D4107" s="1" t="s">
        <v>19</v>
      </c>
      <c r="E4107" s="1">
        <v>7</v>
      </c>
      <c r="F4107" s="1">
        <v>340.27</v>
      </c>
      <c r="G4107" s="1">
        <v>19.61</v>
      </c>
      <c r="H4107">
        <f t="shared" si="64"/>
        <v>2381.89</v>
      </c>
    </row>
    <row r="4108" spans="1:8" x14ac:dyDescent="0.25">
      <c r="A4108" s="1" t="s">
        <v>4121</v>
      </c>
      <c r="B4108" s="5">
        <v>45829.083333333336</v>
      </c>
      <c r="C4108" s="1" t="s">
        <v>23</v>
      </c>
      <c r="D4108" s="1" t="s">
        <v>16</v>
      </c>
      <c r="E4108" s="1">
        <v>15</v>
      </c>
      <c r="F4108" s="1">
        <v>65.61</v>
      </c>
      <c r="G4108" s="1">
        <v>9.92</v>
      </c>
      <c r="H4108">
        <f t="shared" si="64"/>
        <v>984.15</v>
      </c>
    </row>
    <row r="4109" spans="1:8" x14ac:dyDescent="0.25">
      <c r="A4109" s="1" t="s">
        <v>4122</v>
      </c>
      <c r="B4109" s="5">
        <v>45829.125</v>
      </c>
      <c r="C4109" s="1" t="s">
        <v>23</v>
      </c>
      <c r="D4109" s="1" t="s">
        <v>19</v>
      </c>
      <c r="E4109" s="1">
        <v>17</v>
      </c>
      <c r="F4109" s="1">
        <v>114.44</v>
      </c>
      <c r="G4109" s="1">
        <v>23.76</v>
      </c>
      <c r="H4109">
        <f t="shared" si="64"/>
        <v>1945.48</v>
      </c>
    </row>
    <row r="4110" spans="1:8" x14ac:dyDescent="0.25">
      <c r="A4110" s="1" t="s">
        <v>4123</v>
      </c>
      <c r="B4110" s="5">
        <v>45829.166666666664</v>
      </c>
      <c r="C4110" s="1" t="s">
        <v>11</v>
      </c>
      <c r="D4110" s="1" t="s">
        <v>9</v>
      </c>
      <c r="E4110" s="1">
        <v>19</v>
      </c>
      <c r="F4110" s="1">
        <v>58.47</v>
      </c>
      <c r="G4110" s="1">
        <v>39.39</v>
      </c>
      <c r="H4110">
        <f t="shared" si="64"/>
        <v>1110.93</v>
      </c>
    </row>
    <row r="4111" spans="1:8" x14ac:dyDescent="0.25">
      <c r="A4111" s="1" t="s">
        <v>4124</v>
      </c>
      <c r="B4111" s="5">
        <v>45829.208333333336</v>
      </c>
      <c r="C4111" s="1" t="s">
        <v>13</v>
      </c>
      <c r="D4111" s="1" t="s">
        <v>19</v>
      </c>
      <c r="E4111" s="1">
        <v>13</v>
      </c>
      <c r="F4111" s="1">
        <v>203.82</v>
      </c>
      <c r="G4111" s="1">
        <v>22.77</v>
      </c>
      <c r="H4111">
        <f t="shared" si="64"/>
        <v>2649.66</v>
      </c>
    </row>
    <row r="4112" spans="1:8" x14ac:dyDescent="0.25">
      <c r="A4112" s="1" t="s">
        <v>4125</v>
      </c>
      <c r="B4112" s="5">
        <v>45829.25</v>
      </c>
      <c r="C4112" s="1" t="s">
        <v>23</v>
      </c>
      <c r="D4112" s="1" t="s">
        <v>16</v>
      </c>
      <c r="E4112" s="1">
        <v>9</v>
      </c>
      <c r="F4112" s="1">
        <v>70.3</v>
      </c>
      <c r="G4112" s="1">
        <v>34.26</v>
      </c>
      <c r="H4112">
        <f t="shared" si="64"/>
        <v>632.69999999999993</v>
      </c>
    </row>
    <row r="4113" spans="1:8" x14ac:dyDescent="0.25">
      <c r="A4113" s="1" t="s">
        <v>4126</v>
      </c>
      <c r="B4113" s="5">
        <v>45829.291666666664</v>
      </c>
      <c r="C4113" s="1" t="s">
        <v>23</v>
      </c>
      <c r="D4113" s="1" t="s">
        <v>9</v>
      </c>
      <c r="E4113" s="1">
        <v>15</v>
      </c>
      <c r="F4113" s="1">
        <v>205.51</v>
      </c>
      <c r="G4113" s="1">
        <v>39.14</v>
      </c>
      <c r="H4113">
        <f t="shared" si="64"/>
        <v>3082.6499999999996</v>
      </c>
    </row>
    <row r="4114" spans="1:8" x14ac:dyDescent="0.25">
      <c r="A4114" s="1" t="s">
        <v>4127</v>
      </c>
      <c r="B4114" s="5">
        <v>45829.333333333336</v>
      </c>
      <c r="C4114" s="1" t="s">
        <v>23</v>
      </c>
      <c r="D4114" s="1" t="s">
        <v>37</v>
      </c>
      <c r="E4114" s="1">
        <v>3</v>
      </c>
      <c r="F4114" s="1">
        <v>333.6</v>
      </c>
      <c r="G4114" s="1">
        <v>19.52</v>
      </c>
      <c r="H4114">
        <f t="shared" si="64"/>
        <v>1000.8000000000001</v>
      </c>
    </row>
    <row r="4115" spans="1:8" x14ac:dyDescent="0.25">
      <c r="A4115" s="1" t="s">
        <v>4128</v>
      </c>
      <c r="B4115" s="5">
        <v>45829.375</v>
      </c>
      <c r="C4115" s="1" t="s">
        <v>11</v>
      </c>
      <c r="D4115" s="1" t="s">
        <v>9</v>
      </c>
      <c r="E4115" s="1">
        <v>1</v>
      </c>
      <c r="F4115" s="1">
        <v>312.43</v>
      </c>
      <c r="G4115" s="1">
        <v>40.89</v>
      </c>
      <c r="H4115">
        <f t="shared" si="64"/>
        <v>312.43</v>
      </c>
    </row>
    <row r="4116" spans="1:8" x14ac:dyDescent="0.25">
      <c r="A4116" s="1" t="s">
        <v>4129</v>
      </c>
      <c r="B4116" s="5">
        <v>45829.416666666664</v>
      </c>
      <c r="C4116" s="1" t="s">
        <v>11</v>
      </c>
      <c r="D4116" s="1" t="s">
        <v>37</v>
      </c>
      <c r="E4116" s="1">
        <v>16</v>
      </c>
      <c r="F4116" s="1">
        <v>137.36000000000001</v>
      </c>
      <c r="G4116" s="1">
        <v>20.25</v>
      </c>
      <c r="H4116">
        <f t="shared" si="64"/>
        <v>2197.7600000000002</v>
      </c>
    </row>
    <row r="4117" spans="1:8" x14ac:dyDescent="0.25">
      <c r="A4117" s="1" t="s">
        <v>4130</v>
      </c>
      <c r="B4117" s="5">
        <v>45829.458333333336</v>
      </c>
      <c r="C4117" s="1" t="s">
        <v>8</v>
      </c>
      <c r="D4117" s="1" t="s">
        <v>19</v>
      </c>
      <c r="E4117" s="1">
        <v>8</v>
      </c>
      <c r="F4117" s="1">
        <v>308.25</v>
      </c>
      <c r="G4117" s="1">
        <v>16.52</v>
      </c>
      <c r="H4117">
        <f t="shared" si="64"/>
        <v>2466</v>
      </c>
    </row>
    <row r="4118" spans="1:8" x14ac:dyDescent="0.25">
      <c r="A4118" s="1" t="s">
        <v>4131</v>
      </c>
      <c r="B4118" s="5">
        <v>45829.5</v>
      </c>
      <c r="C4118" s="1" t="s">
        <v>13</v>
      </c>
      <c r="D4118" s="1" t="s">
        <v>19</v>
      </c>
      <c r="E4118" s="1">
        <v>13</v>
      </c>
      <c r="F4118" s="1">
        <v>418.59</v>
      </c>
      <c r="G4118" s="1">
        <v>15.01</v>
      </c>
      <c r="H4118">
        <f t="shared" si="64"/>
        <v>5441.67</v>
      </c>
    </row>
    <row r="4119" spans="1:8" x14ac:dyDescent="0.25">
      <c r="A4119" s="1" t="s">
        <v>4132</v>
      </c>
      <c r="B4119" s="5">
        <v>45829.541666666664</v>
      </c>
      <c r="C4119" s="1" t="s">
        <v>8</v>
      </c>
      <c r="D4119" s="1" t="s">
        <v>16</v>
      </c>
      <c r="E4119" s="1">
        <v>8</v>
      </c>
      <c r="F4119" s="1">
        <v>166.5</v>
      </c>
      <c r="G4119" s="1">
        <v>14</v>
      </c>
      <c r="H4119">
        <f t="shared" si="64"/>
        <v>1332</v>
      </c>
    </row>
    <row r="4120" spans="1:8" x14ac:dyDescent="0.25">
      <c r="A4120" s="1" t="s">
        <v>4133</v>
      </c>
      <c r="B4120" s="5">
        <v>45829.583333333336</v>
      </c>
      <c r="C4120" s="1" t="s">
        <v>23</v>
      </c>
      <c r="D4120" s="1" t="s">
        <v>37</v>
      </c>
      <c r="E4120" s="1">
        <v>17</v>
      </c>
      <c r="F4120" s="1">
        <v>158.5</v>
      </c>
      <c r="G4120" s="1">
        <v>38.17</v>
      </c>
      <c r="H4120">
        <f t="shared" si="64"/>
        <v>2694.5</v>
      </c>
    </row>
    <row r="4121" spans="1:8" x14ac:dyDescent="0.25">
      <c r="A4121" s="1" t="s">
        <v>4134</v>
      </c>
      <c r="B4121" s="5">
        <v>45829.625</v>
      </c>
      <c r="C4121" s="1" t="s">
        <v>11</v>
      </c>
      <c r="D4121" s="1" t="s">
        <v>19</v>
      </c>
      <c r="E4121" s="1">
        <v>14</v>
      </c>
      <c r="F4121" s="1">
        <v>263.79000000000002</v>
      </c>
      <c r="G4121" s="1">
        <v>44.94</v>
      </c>
      <c r="H4121">
        <f t="shared" si="64"/>
        <v>3693.0600000000004</v>
      </c>
    </row>
    <row r="4122" spans="1:8" x14ac:dyDescent="0.25">
      <c r="A4122" s="1" t="s">
        <v>4135</v>
      </c>
      <c r="B4122" s="5">
        <v>45829.666666666664</v>
      </c>
      <c r="C4122" s="1" t="s">
        <v>11</v>
      </c>
      <c r="D4122" s="1" t="s">
        <v>37</v>
      </c>
      <c r="E4122" s="1">
        <v>7</v>
      </c>
      <c r="F4122" s="1">
        <v>122.17</v>
      </c>
      <c r="G4122" s="1">
        <v>15.38</v>
      </c>
      <c r="H4122">
        <f t="shared" si="64"/>
        <v>855.19</v>
      </c>
    </row>
    <row r="4123" spans="1:8" x14ac:dyDescent="0.25">
      <c r="A4123" s="1" t="s">
        <v>4136</v>
      </c>
      <c r="B4123" s="5">
        <v>45829.708333333336</v>
      </c>
      <c r="C4123" s="1" t="s">
        <v>8</v>
      </c>
      <c r="D4123" s="1" t="s">
        <v>19</v>
      </c>
      <c r="E4123" s="1">
        <v>15</v>
      </c>
      <c r="F4123" s="1">
        <v>298.61</v>
      </c>
      <c r="G4123" s="1">
        <v>8.84</v>
      </c>
      <c r="H4123">
        <f t="shared" si="64"/>
        <v>4479.1500000000005</v>
      </c>
    </row>
    <row r="4124" spans="1:8" x14ac:dyDescent="0.25">
      <c r="A4124" s="1" t="s">
        <v>4137</v>
      </c>
      <c r="B4124" s="5">
        <v>45829.75</v>
      </c>
      <c r="C4124" s="1" t="s">
        <v>11</v>
      </c>
      <c r="D4124" s="1" t="s">
        <v>9</v>
      </c>
      <c r="E4124" s="1">
        <v>16</v>
      </c>
      <c r="F4124" s="1">
        <v>377.12</v>
      </c>
      <c r="G4124" s="1">
        <v>19.12</v>
      </c>
      <c r="H4124">
        <f t="shared" si="64"/>
        <v>6033.92</v>
      </c>
    </row>
    <row r="4125" spans="1:8" x14ac:dyDescent="0.25">
      <c r="A4125" s="1" t="s">
        <v>4138</v>
      </c>
      <c r="B4125" s="5">
        <v>45829.791666666664</v>
      </c>
      <c r="C4125" s="1" t="s">
        <v>23</v>
      </c>
      <c r="D4125" s="1" t="s">
        <v>19</v>
      </c>
      <c r="E4125" s="1">
        <v>19</v>
      </c>
      <c r="F4125" s="1">
        <v>215.07</v>
      </c>
      <c r="G4125" s="1">
        <v>34.6</v>
      </c>
      <c r="H4125">
        <f t="shared" si="64"/>
        <v>4086.33</v>
      </c>
    </row>
    <row r="4126" spans="1:8" x14ac:dyDescent="0.25">
      <c r="A4126" s="1" t="s">
        <v>4139</v>
      </c>
      <c r="B4126" s="5">
        <v>45829.833333333336</v>
      </c>
      <c r="C4126" s="1" t="s">
        <v>11</v>
      </c>
      <c r="D4126" s="1" t="s">
        <v>16</v>
      </c>
      <c r="E4126" s="1">
        <v>6</v>
      </c>
      <c r="F4126" s="1">
        <v>310.75</v>
      </c>
      <c r="G4126" s="1">
        <v>21.58</v>
      </c>
      <c r="H4126">
        <f t="shared" si="64"/>
        <v>1864.5</v>
      </c>
    </row>
    <row r="4127" spans="1:8" x14ac:dyDescent="0.25">
      <c r="A4127" s="1" t="s">
        <v>4140</v>
      </c>
      <c r="B4127" s="5">
        <v>45829.875</v>
      </c>
      <c r="C4127" s="1" t="s">
        <v>8</v>
      </c>
      <c r="D4127" s="1" t="s">
        <v>9</v>
      </c>
      <c r="E4127" s="1">
        <v>1</v>
      </c>
      <c r="F4127" s="1">
        <v>298.74</v>
      </c>
      <c r="G4127" s="1">
        <v>29.71</v>
      </c>
      <c r="H4127">
        <f t="shared" si="64"/>
        <v>298.74</v>
      </c>
    </row>
    <row r="4128" spans="1:8" x14ac:dyDescent="0.25">
      <c r="A4128" s="1" t="s">
        <v>4141</v>
      </c>
      <c r="B4128" s="5">
        <v>45829.916666666664</v>
      </c>
      <c r="C4128" s="1" t="s">
        <v>23</v>
      </c>
      <c r="D4128" s="1" t="s">
        <v>16</v>
      </c>
      <c r="E4128" s="1">
        <v>12</v>
      </c>
      <c r="F4128" s="1">
        <v>32.299999999999997</v>
      </c>
      <c r="G4128" s="1">
        <v>38.49</v>
      </c>
      <c r="H4128">
        <f t="shared" si="64"/>
        <v>387.59999999999997</v>
      </c>
    </row>
    <row r="4129" spans="1:8" x14ac:dyDescent="0.25">
      <c r="A4129" s="1" t="s">
        <v>4142</v>
      </c>
      <c r="B4129" s="5">
        <v>45829.958333333336</v>
      </c>
      <c r="C4129" s="1" t="s">
        <v>8</v>
      </c>
      <c r="D4129" s="1" t="s">
        <v>9</v>
      </c>
      <c r="E4129" s="1">
        <v>18</v>
      </c>
      <c r="F4129" s="1">
        <v>95.19</v>
      </c>
      <c r="G4129" s="1">
        <v>23.38</v>
      </c>
      <c r="H4129">
        <f t="shared" si="64"/>
        <v>1713.42</v>
      </c>
    </row>
    <row r="4130" spans="1:8" x14ac:dyDescent="0.25">
      <c r="A4130" s="1" t="s">
        <v>4143</v>
      </c>
      <c r="B4130" s="5">
        <v>45830</v>
      </c>
      <c r="C4130" s="1" t="s">
        <v>11</v>
      </c>
      <c r="D4130" s="1" t="s">
        <v>37</v>
      </c>
      <c r="E4130" s="1">
        <v>16</v>
      </c>
      <c r="F4130" s="1">
        <v>403.74</v>
      </c>
      <c r="G4130" s="1">
        <v>49.99</v>
      </c>
      <c r="H4130">
        <f t="shared" si="64"/>
        <v>6459.84</v>
      </c>
    </row>
    <row r="4131" spans="1:8" x14ac:dyDescent="0.25">
      <c r="A4131" s="1" t="s">
        <v>4144</v>
      </c>
      <c r="B4131" s="5">
        <v>45830.041666666664</v>
      </c>
      <c r="C4131" s="1" t="s">
        <v>8</v>
      </c>
      <c r="D4131" s="1" t="s">
        <v>16</v>
      </c>
      <c r="E4131" s="1">
        <v>12</v>
      </c>
      <c r="F4131" s="1">
        <v>423.45</v>
      </c>
      <c r="G4131" s="1">
        <v>18.41</v>
      </c>
      <c r="H4131">
        <f t="shared" si="64"/>
        <v>5081.3999999999996</v>
      </c>
    </row>
    <row r="4132" spans="1:8" x14ac:dyDescent="0.25">
      <c r="A4132" s="1" t="s">
        <v>4145</v>
      </c>
      <c r="B4132" s="5">
        <v>45830.083333333336</v>
      </c>
      <c r="C4132" s="1" t="s">
        <v>8</v>
      </c>
      <c r="D4132" s="1" t="s">
        <v>19</v>
      </c>
      <c r="E4132" s="1">
        <v>13</v>
      </c>
      <c r="F4132" s="1">
        <v>354.6</v>
      </c>
      <c r="G4132" s="1">
        <v>49.02</v>
      </c>
      <c r="H4132">
        <f t="shared" si="64"/>
        <v>4609.8</v>
      </c>
    </row>
    <row r="4133" spans="1:8" x14ac:dyDescent="0.25">
      <c r="A4133" s="1" t="s">
        <v>4146</v>
      </c>
      <c r="B4133" s="5">
        <v>45830.125</v>
      </c>
      <c r="C4133" s="1" t="s">
        <v>13</v>
      </c>
      <c r="D4133" s="1" t="s">
        <v>37</v>
      </c>
      <c r="E4133" s="1">
        <v>8</v>
      </c>
      <c r="F4133" s="1">
        <v>415.78</v>
      </c>
      <c r="G4133" s="1">
        <v>14.14</v>
      </c>
      <c r="H4133">
        <f t="shared" si="64"/>
        <v>3326.24</v>
      </c>
    </row>
    <row r="4134" spans="1:8" x14ac:dyDescent="0.25">
      <c r="A4134" s="1" t="s">
        <v>4147</v>
      </c>
      <c r="B4134" s="5">
        <v>45830.166666666664</v>
      </c>
      <c r="C4134" s="1" t="s">
        <v>11</v>
      </c>
      <c r="D4134" s="1" t="s">
        <v>19</v>
      </c>
      <c r="E4134" s="1">
        <v>1</v>
      </c>
      <c r="F4134" s="1">
        <v>148.52000000000001</v>
      </c>
      <c r="G4134" s="1">
        <v>9.99</v>
      </c>
      <c r="H4134">
        <f t="shared" si="64"/>
        <v>148.52000000000001</v>
      </c>
    </row>
    <row r="4135" spans="1:8" x14ac:dyDescent="0.25">
      <c r="A4135" s="1" t="s">
        <v>4148</v>
      </c>
      <c r="B4135" s="5">
        <v>45830.208333333336</v>
      </c>
      <c r="C4135" s="1" t="s">
        <v>11</v>
      </c>
      <c r="D4135" s="1" t="s">
        <v>9</v>
      </c>
      <c r="E4135" s="1">
        <v>7</v>
      </c>
      <c r="F4135" s="1">
        <v>123.13</v>
      </c>
      <c r="G4135" s="1">
        <v>38.79</v>
      </c>
      <c r="H4135">
        <f t="shared" si="64"/>
        <v>861.91</v>
      </c>
    </row>
    <row r="4136" spans="1:8" x14ac:dyDescent="0.25">
      <c r="A4136" s="1" t="s">
        <v>4149</v>
      </c>
      <c r="B4136" s="5">
        <v>45830.25</v>
      </c>
      <c r="C4136" s="1" t="s">
        <v>8</v>
      </c>
      <c r="D4136" s="1" t="s">
        <v>9</v>
      </c>
      <c r="E4136" s="1">
        <v>15</v>
      </c>
      <c r="F4136" s="1">
        <v>182.48</v>
      </c>
      <c r="G4136" s="1">
        <v>36.6</v>
      </c>
      <c r="H4136">
        <f t="shared" si="64"/>
        <v>2737.2</v>
      </c>
    </row>
    <row r="4137" spans="1:8" x14ac:dyDescent="0.25">
      <c r="A4137" s="1" t="s">
        <v>4150</v>
      </c>
      <c r="B4137" s="5">
        <v>45830.291666666664</v>
      </c>
      <c r="C4137" s="1" t="s">
        <v>13</v>
      </c>
      <c r="D4137" s="1" t="s">
        <v>19</v>
      </c>
      <c r="E4137" s="1">
        <v>13</v>
      </c>
      <c r="F4137" s="1">
        <v>39.549999999999997</v>
      </c>
      <c r="G4137" s="1">
        <v>41.5</v>
      </c>
      <c r="H4137">
        <f t="shared" si="64"/>
        <v>514.15</v>
      </c>
    </row>
    <row r="4138" spans="1:8" x14ac:dyDescent="0.25">
      <c r="A4138" s="1" t="s">
        <v>4151</v>
      </c>
      <c r="B4138" s="5">
        <v>45830.333333333336</v>
      </c>
      <c r="C4138" s="1" t="s">
        <v>11</v>
      </c>
      <c r="D4138" s="1" t="s">
        <v>19</v>
      </c>
      <c r="E4138" s="1">
        <v>13</v>
      </c>
      <c r="F4138" s="1">
        <v>367.39</v>
      </c>
      <c r="G4138" s="1">
        <v>20.46</v>
      </c>
      <c r="H4138">
        <f t="shared" si="64"/>
        <v>4776.07</v>
      </c>
    </row>
    <row r="4139" spans="1:8" x14ac:dyDescent="0.25">
      <c r="A4139" s="1" t="s">
        <v>4152</v>
      </c>
      <c r="B4139" s="5">
        <v>45830.375</v>
      </c>
      <c r="C4139" s="1" t="s">
        <v>23</v>
      </c>
      <c r="D4139" s="1" t="s">
        <v>37</v>
      </c>
      <c r="E4139" s="1">
        <v>9</v>
      </c>
      <c r="F4139" s="1">
        <v>443.12</v>
      </c>
      <c r="G4139" s="1">
        <v>46.89</v>
      </c>
      <c r="H4139">
        <f t="shared" si="64"/>
        <v>3988.08</v>
      </c>
    </row>
    <row r="4140" spans="1:8" x14ac:dyDescent="0.25">
      <c r="A4140" s="1" t="s">
        <v>4153</v>
      </c>
      <c r="B4140" s="5">
        <v>45830.416666666664</v>
      </c>
      <c r="C4140" s="1" t="s">
        <v>8</v>
      </c>
      <c r="D4140" s="1" t="s">
        <v>19</v>
      </c>
      <c r="E4140" s="1">
        <v>15</v>
      </c>
      <c r="F4140" s="1">
        <v>373.54</v>
      </c>
      <c r="G4140" s="1">
        <v>10.38</v>
      </c>
      <c r="H4140">
        <f t="shared" si="64"/>
        <v>5603.1</v>
      </c>
    </row>
    <row r="4141" spans="1:8" x14ac:dyDescent="0.25">
      <c r="A4141" s="1" t="s">
        <v>4154</v>
      </c>
      <c r="B4141" s="5">
        <v>45830.458333333336</v>
      </c>
      <c r="C4141" s="1" t="s">
        <v>11</v>
      </c>
      <c r="D4141" s="1" t="s">
        <v>16</v>
      </c>
      <c r="E4141" s="1">
        <v>4</v>
      </c>
      <c r="F4141" s="1">
        <v>256.64</v>
      </c>
      <c r="G4141" s="1">
        <v>6.36</v>
      </c>
      <c r="H4141">
        <f t="shared" si="64"/>
        <v>1026.56</v>
      </c>
    </row>
    <row r="4142" spans="1:8" x14ac:dyDescent="0.25">
      <c r="A4142" s="1" t="s">
        <v>4155</v>
      </c>
      <c r="B4142" s="5">
        <v>45830.5</v>
      </c>
      <c r="C4142" s="1" t="s">
        <v>23</v>
      </c>
      <c r="D4142" s="1" t="s">
        <v>16</v>
      </c>
      <c r="E4142" s="1">
        <v>13</v>
      </c>
      <c r="F4142" s="1">
        <v>143.80000000000001</v>
      </c>
      <c r="G4142" s="1">
        <v>18.53</v>
      </c>
      <c r="H4142">
        <f t="shared" si="64"/>
        <v>1869.4</v>
      </c>
    </row>
    <row r="4143" spans="1:8" x14ac:dyDescent="0.25">
      <c r="A4143" s="1" t="s">
        <v>4156</v>
      </c>
      <c r="B4143" s="5">
        <v>45830.541666666664</v>
      </c>
      <c r="C4143" s="1" t="s">
        <v>11</v>
      </c>
      <c r="D4143" s="1" t="s">
        <v>19</v>
      </c>
      <c r="E4143" s="1">
        <v>12</v>
      </c>
      <c r="F4143" s="1">
        <v>101.4</v>
      </c>
      <c r="G4143" s="1">
        <v>40.880000000000003</v>
      </c>
      <c r="H4143">
        <f t="shared" si="64"/>
        <v>1216.8000000000002</v>
      </c>
    </row>
    <row r="4144" spans="1:8" x14ac:dyDescent="0.25">
      <c r="A4144" s="1" t="s">
        <v>4157</v>
      </c>
      <c r="B4144" s="5">
        <v>45830.583333333336</v>
      </c>
      <c r="C4144" s="1" t="s">
        <v>23</v>
      </c>
      <c r="D4144" s="1" t="s">
        <v>16</v>
      </c>
      <c r="E4144" s="1">
        <v>5</v>
      </c>
      <c r="F4144" s="1">
        <v>173.69</v>
      </c>
      <c r="G4144" s="1">
        <v>35.28</v>
      </c>
      <c r="H4144">
        <f t="shared" si="64"/>
        <v>868.45</v>
      </c>
    </row>
    <row r="4145" spans="1:8" x14ac:dyDescent="0.25">
      <c r="A4145" s="1" t="s">
        <v>4158</v>
      </c>
      <c r="B4145" s="5">
        <v>45830.625</v>
      </c>
      <c r="C4145" s="1" t="s">
        <v>8</v>
      </c>
      <c r="D4145" s="1" t="s">
        <v>19</v>
      </c>
      <c r="E4145" s="1">
        <v>7</v>
      </c>
      <c r="F4145" s="1">
        <v>305.3</v>
      </c>
      <c r="G4145" s="1">
        <v>24.63</v>
      </c>
      <c r="H4145">
        <f t="shared" si="64"/>
        <v>2137.1</v>
      </c>
    </row>
    <row r="4146" spans="1:8" x14ac:dyDescent="0.25">
      <c r="A4146" s="1" t="s">
        <v>4159</v>
      </c>
      <c r="B4146" s="5">
        <v>45830.666666666664</v>
      </c>
      <c r="C4146" s="1" t="s">
        <v>11</v>
      </c>
      <c r="D4146" s="1" t="s">
        <v>37</v>
      </c>
      <c r="E4146" s="1">
        <v>8</v>
      </c>
      <c r="F4146" s="1">
        <v>209.75</v>
      </c>
      <c r="G4146" s="1">
        <v>16.53</v>
      </c>
      <c r="H4146">
        <f t="shared" si="64"/>
        <v>1678</v>
      </c>
    </row>
    <row r="4147" spans="1:8" x14ac:dyDescent="0.25">
      <c r="A4147" s="1" t="s">
        <v>4160</v>
      </c>
      <c r="B4147" s="5">
        <v>45830.708333333336</v>
      </c>
      <c r="C4147" s="1" t="s">
        <v>11</v>
      </c>
      <c r="D4147" s="1" t="s">
        <v>16</v>
      </c>
      <c r="E4147" s="1">
        <v>5</v>
      </c>
      <c r="F4147" s="1">
        <v>421.35</v>
      </c>
      <c r="G4147" s="1">
        <v>7.67</v>
      </c>
      <c r="H4147">
        <f t="shared" si="64"/>
        <v>2106.75</v>
      </c>
    </row>
    <row r="4148" spans="1:8" x14ac:dyDescent="0.25">
      <c r="A4148" s="1" t="s">
        <v>4161</v>
      </c>
      <c r="B4148" s="5">
        <v>45830.75</v>
      </c>
      <c r="C4148" s="1" t="s">
        <v>13</v>
      </c>
      <c r="D4148" s="1" t="s">
        <v>16</v>
      </c>
      <c r="E4148" s="1">
        <v>9</v>
      </c>
      <c r="F4148" s="1">
        <v>386.66</v>
      </c>
      <c r="G4148" s="1">
        <v>20.190000000000001</v>
      </c>
      <c r="H4148">
        <f t="shared" si="64"/>
        <v>3479.94</v>
      </c>
    </row>
    <row r="4149" spans="1:8" x14ac:dyDescent="0.25">
      <c r="A4149" s="1" t="s">
        <v>4162</v>
      </c>
      <c r="B4149" s="5">
        <v>45830.791666666664</v>
      </c>
      <c r="C4149" s="1" t="s">
        <v>8</v>
      </c>
      <c r="D4149" s="1" t="s">
        <v>19</v>
      </c>
      <c r="E4149" s="1">
        <v>14</v>
      </c>
      <c r="F4149" s="1">
        <v>59.99</v>
      </c>
      <c r="G4149" s="1">
        <v>25.7</v>
      </c>
      <c r="H4149">
        <f t="shared" si="64"/>
        <v>839.86</v>
      </c>
    </row>
    <row r="4150" spans="1:8" x14ac:dyDescent="0.25">
      <c r="A4150" s="1" t="s">
        <v>4163</v>
      </c>
      <c r="B4150" s="5">
        <v>45830.833333333336</v>
      </c>
      <c r="C4150" s="1" t="s">
        <v>23</v>
      </c>
      <c r="D4150" s="1" t="s">
        <v>16</v>
      </c>
      <c r="E4150" s="1">
        <v>12</v>
      </c>
      <c r="F4150" s="1">
        <v>72.650000000000006</v>
      </c>
      <c r="G4150" s="1">
        <v>35.92</v>
      </c>
      <c r="H4150">
        <f t="shared" si="64"/>
        <v>871.80000000000007</v>
      </c>
    </row>
    <row r="4151" spans="1:8" x14ac:dyDescent="0.25">
      <c r="A4151" s="1" t="s">
        <v>4164</v>
      </c>
      <c r="B4151" s="5">
        <v>45830.875</v>
      </c>
      <c r="C4151" s="1" t="s">
        <v>11</v>
      </c>
      <c r="D4151" s="1" t="s">
        <v>9</v>
      </c>
      <c r="E4151" s="1">
        <v>4</v>
      </c>
      <c r="F4151" s="1">
        <v>309.33</v>
      </c>
      <c r="G4151" s="1">
        <v>34.07</v>
      </c>
      <c r="H4151">
        <f t="shared" si="64"/>
        <v>1237.32</v>
      </c>
    </row>
    <row r="4152" spans="1:8" x14ac:dyDescent="0.25">
      <c r="A4152" s="1" t="s">
        <v>4165</v>
      </c>
      <c r="B4152" s="5">
        <v>45830.916666666664</v>
      </c>
      <c r="C4152" s="1" t="s">
        <v>11</v>
      </c>
      <c r="D4152" s="1" t="s">
        <v>37</v>
      </c>
      <c r="E4152" s="1">
        <v>8</v>
      </c>
      <c r="F4152" s="1">
        <v>115.77</v>
      </c>
      <c r="G4152" s="1">
        <v>47.63</v>
      </c>
      <c r="H4152">
        <f t="shared" si="64"/>
        <v>926.16</v>
      </c>
    </row>
    <row r="4153" spans="1:8" x14ac:dyDescent="0.25">
      <c r="A4153" s="1" t="s">
        <v>4166</v>
      </c>
      <c r="B4153" s="5">
        <v>45830.958333333336</v>
      </c>
      <c r="C4153" s="1" t="s">
        <v>23</v>
      </c>
      <c r="D4153" s="1" t="s">
        <v>37</v>
      </c>
      <c r="E4153" s="1">
        <v>17</v>
      </c>
      <c r="F4153" s="1">
        <v>359.2</v>
      </c>
      <c r="G4153" s="1">
        <v>9.52</v>
      </c>
      <c r="H4153">
        <f t="shared" si="64"/>
        <v>6106.4</v>
      </c>
    </row>
    <row r="4154" spans="1:8" x14ac:dyDescent="0.25">
      <c r="A4154" s="1" t="s">
        <v>4167</v>
      </c>
      <c r="B4154" s="5">
        <v>45831</v>
      </c>
      <c r="C4154" s="1" t="s">
        <v>8</v>
      </c>
      <c r="D4154" s="1" t="s">
        <v>16</v>
      </c>
      <c r="E4154" s="1">
        <v>8</v>
      </c>
      <c r="F4154" s="1">
        <v>272.45</v>
      </c>
      <c r="G4154" s="1">
        <v>20.14</v>
      </c>
      <c r="H4154">
        <f t="shared" si="64"/>
        <v>2179.6</v>
      </c>
    </row>
    <row r="4155" spans="1:8" x14ac:dyDescent="0.25">
      <c r="A4155" s="1" t="s">
        <v>4168</v>
      </c>
      <c r="B4155" s="5">
        <v>45831.041666666664</v>
      </c>
      <c r="C4155" s="1" t="s">
        <v>13</v>
      </c>
      <c r="D4155" s="1" t="s">
        <v>16</v>
      </c>
      <c r="E4155" s="1">
        <v>1</v>
      </c>
      <c r="F4155" s="1">
        <v>115.36</v>
      </c>
      <c r="G4155" s="1">
        <v>26.67</v>
      </c>
      <c r="H4155">
        <f t="shared" si="64"/>
        <v>115.36</v>
      </c>
    </row>
    <row r="4156" spans="1:8" x14ac:dyDescent="0.25">
      <c r="A4156" s="1" t="s">
        <v>4169</v>
      </c>
      <c r="B4156" s="5">
        <v>45831.083333333336</v>
      </c>
      <c r="C4156" s="1" t="s">
        <v>13</v>
      </c>
      <c r="D4156" s="1" t="s">
        <v>9</v>
      </c>
      <c r="E4156" s="1">
        <v>2</v>
      </c>
      <c r="F4156" s="1">
        <v>223.49</v>
      </c>
      <c r="G4156" s="1">
        <v>35.18</v>
      </c>
      <c r="H4156">
        <f t="shared" si="64"/>
        <v>446.98</v>
      </c>
    </row>
    <row r="4157" spans="1:8" x14ac:dyDescent="0.25">
      <c r="A4157" s="1" t="s">
        <v>4170</v>
      </c>
      <c r="B4157" s="5">
        <v>45831.125</v>
      </c>
      <c r="C4157" s="1" t="s">
        <v>11</v>
      </c>
      <c r="D4157" s="1" t="s">
        <v>9</v>
      </c>
      <c r="E4157" s="1">
        <v>4</v>
      </c>
      <c r="F4157" s="1">
        <v>191.94</v>
      </c>
      <c r="G4157" s="1">
        <v>27.3</v>
      </c>
      <c r="H4157">
        <f t="shared" si="64"/>
        <v>767.76</v>
      </c>
    </row>
    <row r="4158" spans="1:8" x14ac:dyDescent="0.25">
      <c r="A4158" s="1" t="s">
        <v>4171</v>
      </c>
      <c r="B4158" s="5">
        <v>45831.166666666664</v>
      </c>
      <c r="C4158" s="1" t="s">
        <v>23</v>
      </c>
      <c r="D4158" s="1" t="s">
        <v>16</v>
      </c>
      <c r="E4158" s="1">
        <v>1</v>
      </c>
      <c r="F4158" s="1">
        <v>394.89</v>
      </c>
      <c r="G4158" s="1">
        <v>46.07</v>
      </c>
      <c r="H4158">
        <f t="shared" si="64"/>
        <v>394.89</v>
      </c>
    </row>
    <row r="4159" spans="1:8" x14ac:dyDescent="0.25">
      <c r="A4159" s="1" t="s">
        <v>4172</v>
      </c>
      <c r="B4159" s="5">
        <v>45831.208333333336</v>
      </c>
      <c r="C4159" s="1" t="s">
        <v>11</v>
      </c>
      <c r="D4159" s="1" t="s">
        <v>16</v>
      </c>
      <c r="E4159" s="1">
        <v>7</v>
      </c>
      <c r="F4159" s="1">
        <v>29.47</v>
      </c>
      <c r="G4159" s="1">
        <v>32.39</v>
      </c>
      <c r="H4159">
        <f t="shared" si="64"/>
        <v>206.29</v>
      </c>
    </row>
    <row r="4160" spans="1:8" x14ac:dyDescent="0.25">
      <c r="A4160" s="1" t="s">
        <v>4173</v>
      </c>
      <c r="B4160" s="5">
        <v>45831.25</v>
      </c>
      <c r="C4160" s="1" t="s">
        <v>23</v>
      </c>
      <c r="D4160" s="1" t="s">
        <v>9</v>
      </c>
      <c r="E4160" s="1">
        <v>1</v>
      </c>
      <c r="F4160" s="1">
        <v>404.74</v>
      </c>
      <c r="G4160" s="1">
        <v>6.78</v>
      </c>
      <c r="H4160">
        <f t="shared" si="64"/>
        <v>404.74</v>
      </c>
    </row>
    <row r="4161" spans="1:8" x14ac:dyDescent="0.25">
      <c r="A4161" s="1" t="s">
        <v>4174</v>
      </c>
      <c r="B4161" s="5">
        <v>45831.291666666664</v>
      </c>
      <c r="C4161" s="1" t="s">
        <v>13</v>
      </c>
      <c r="D4161" s="1" t="s">
        <v>19</v>
      </c>
      <c r="E4161" s="1">
        <v>9</v>
      </c>
      <c r="F4161" s="1">
        <v>298.83</v>
      </c>
      <c r="G4161" s="1">
        <v>10.11</v>
      </c>
      <c r="H4161">
        <f t="shared" si="64"/>
        <v>2689.47</v>
      </c>
    </row>
    <row r="4162" spans="1:8" x14ac:dyDescent="0.25">
      <c r="A4162" s="1" t="s">
        <v>4175</v>
      </c>
      <c r="B4162" s="5">
        <v>45831.333333333336</v>
      </c>
      <c r="C4162" s="1" t="s">
        <v>8</v>
      </c>
      <c r="D4162" s="1" t="s">
        <v>9</v>
      </c>
      <c r="E4162" s="1">
        <v>3</v>
      </c>
      <c r="F4162" s="1">
        <v>335.96</v>
      </c>
      <c r="G4162" s="1">
        <v>38.909999999999997</v>
      </c>
      <c r="H4162">
        <f t="shared" ref="H4162:H4225" si="65">E4162*F4162</f>
        <v>1007.8799999999999</v>
      </c>
    </row>
    <row r="4163" spans="1:8" x14ac:dyDescent="0.25">
      <c r="A4163" s="1" t="s">
        <v>4176</v>
      </c>
      <c r="B4163" s="5">
        <v>45831.375</v>
      </c>
      <c r="C4163" s="1" t="s">
        <v>23</v>
      </c>
      <c r="D4163" s="1" t="s">
        <v>19</v>
      </c>
      <c r="E4163" s="1">
        <v>12</v>
      </c>
      <c r="F4163" s="1">
        <v>16.63</v>
      </c>
      <c r="G4163" s="1">
        <v>37.21</v>
      </c>
      <c r="H4163">
        <f t="shared" si="65"/>
        <v>199.56</v>
      </c>
    </row>
    <row r="4164" spans="1:8" x14ac:dyDescent="0.25">
      <c r="A4164" s="1" t="s">
        <v>4177</v>
      </c>
      <c r="B4164" s="5">
        <v>45831.416666666664</v>
      </c>
      <c r="C4164" s="1" t="s">
        <v>13</v>
      </c>
      <c r="D4164" s="1" t="s">
        <v>37</v>
      </c>
      <c r="E4164" s="1">
        <v>19</v>
      </c>
      <c r="F4164" s="1">
        <v>288.47000000000003</v>
      </c>
      <c r="G4164" s="1">
        <v>11.91</v>
      </c>
      <c r="H4164">
        <f t="shared" si="65"/>
        <v>5480.93</v>
      </c>
    </row>
    <row r="4165" spans="1:8" x14ac:dyDescent="0.25">
      <c r="A4165" s="1" t="s">
        <v>4178</v>
      </c>
      <c r="B4165" s="5">
        <v>45831.458333333336</v>
      </c>
      <c r="C4165" s="1" t="s">
        <v>11</v>
      </c>
      <c r="D4165" s="1" t="s">
        <v>37</v>
      </c>
      <c r="E4165" s="1">
        <v>15</v>
      </c>
      <c r="F4165" s="1">
        <v>271.2</v>
      </c>
      <c r="G4165" s="1">
        <v>7.65</v>
      </c>
      <c r="H4165">
        <f t="shared" si="65"/>
        <v>4068</v>
      </c>
    </row>
    <row r="4166" spans="1:8" x14ac:dyDescent="0.25">
      <c r="A4166" s="1" t="s">
        <v>4179</v>
      </c>
      <c r="B4166" s="5">
        <v>45831.5</v>
      </c>
      <c r="C4166" s="1" t="s">
        <v>23</v>
      </c>
      <c r="D4166" s="1" t="s">
        <v>9</v>
      </c>
      <c r="E4166" s="1">
        <v>16</v>
      </c>
      <c r="F4166" s="1">
        <v>248.92</v>
      </c>
      <c r="G4166" s="1">
        <v>31.04</v>
      </c>
      <c r="H4166">
        <f t="shared" si="65"/>
        <v>3982.72</v>
      </c>
    </row>
    <row r="4167" spans="1:8" x14ac:dyDescent="0.25">
      <c r="A4167" s="1" t="s">
        <v>4180</v>
      </c>
      <c r="B4167" s="5">
        <v>45831.541666666664</v>
      </c>
      <c r="C4167" s="1" t="s">
        <v>8</v>
      </c>
      <c r="D4167" s="1" t="s">
        <v>19</v>
      </c>
      <c r="E4167" s="1">
        <v>10</v>
      </c>
      <c r="F4167" s="1">
        <v>356.96</v>
      </c>
      <c r="G4167" s="1">
        <v>33.61</v>
      </c>
      <c r="H4167">
        <f t="shared" si="65"/>
        <v>3569.6</v>
      </c>
    </row>
    <row r="4168" spans="1:8" x14ac:dyDescent="0.25">
      <c r="A4168" s="1" t="s">
        <v>4181</v>
      </c>
      <c r="B4168" s="5">
        <v>45831.583333333336</v>
      </c>
      <c r="C4168" s="1" t="s">
        <v>11</v>
      </c>
      <c r="D4168" s="1" t="s">
        <v>9</v>
      </c>
      <c r="E4168" s="1">
        <v>6</v>
      </c>
      <c r="F4168" s="1">
        <v>257.02999999999997</v>
      </c>
      <c r="G4168" s="1">
        <v>11.09</v>
      </c>
      <c r="H4168">
        <f t="shared" si="65"/>
        <v>1542.1799999999998</v>
      </c>
    </row>
    <row r="4169" spans="1:8" x14ac:dyDescent="0.25">
      <c r="A4169" s="1" t="s">
        <v>4182</v>
      </c>
      <c r="B4169" s="5">
        <v>45831.625</v>
      </c>
      <c r="C4169" s="1" t="s">
        <v>11</v>
      </c>
      <c r="D4169" s="1" t="s">
        <v>9</v>
      </c>
      <c r="E4169" s="1">
        <v>17</v>
      </c>
      <c r="F4169" s="1">
        <v>387.91</v>
      </c>
      <c r="G4169" s="1">
        <v>26.31</v>
      </c>
      <c r="H4169">
        <f t="shared" si="65"/>
        <v>6594.47</v>
      </c>
    </row>
    <row r="4170" spans="1:8" x14ac:dyDescent="0.25">
      <c r="A4170" s="1" t="s">
        <v>4183</v>
      </c>
      <c r="B4170" s="5">
        <v>45831.666666666664</v>
      </c>
      <c r="C4170" s="1" t="s">
        <v>13</v>
      </c>
      <c r="D4170" s="1" t="s">
        <v>19</v>
      </c>
      <c r="E4170" s="1">
        <v>17</v>
      </c>
      <c r="F4170" s="1">
        <v>116.58</v>
      </c>
      <c r="G4170" s="1">
        <v>18.760000000000002</v>
      </c>
      <c r="H4170">
        <f t="shared" si="65"/>
        <v>1981.86</v>
      </c>
    </row>
    <row r="4171" spans="1:8" x14ac:dyDescent="0.25">
      <c r="A4171" s="1" t="s">
        <v>4184</v>
      </c>
      <c r="B4171" s="5">
        <v>45831.708333333336</v>
      </c>
      <c r="C4171" s="1" t="s">
        <v>23</v>
      </c>
      <c r="D4171" s="1" t="s">
        <v>9</v>
      </c>
      <c r="E4171" s="1">
        <v>19</v>
      </c>
      <c r="F4171" s="1">
        <v>365.7</v>
      </c>
      <c r="G4171" s="1">
        <v>46.91</v>
      </c>
      <c r="H4171">
        <f t="shared" si="65"/>
        <v>6948.3</v>
      </c>
    </row>
    <row r="4172" spans="1:8" x14ac:dyDescent="0.25">
      <c r="A4172" s="1" t="s">
        <v>4185</v>
      </c>
      <c r="B4172" s="5">
        <v>45831.75</v>
      </c>
      <c r="C4172" s="1" t="s">
        <v>11</v>
      </c>
      <c r="D4172" s="1" t="s">
        <v>37</v>
      </c>
      <c r="E4172" s="1">
        <v>18</v>
      </c>
      <c r="F4172" s="1">
        <v>93.41</v>
      </c>
      <c r="G4172" s="1">
        <v>14.86</v>
      </c>
      <c r="H4172">
        <f t="shared" si="65"/>
        <v>1681.3799999999999</v>
      </c>
    </row>
    <row r="4173" spans="1:8" x14ac:dyDescent="0.25">
      <c r="A4173" s="1" t="s">
        <v>4186</v>
      </c>
      <c r="B4173" s="5">
        <v>45831.791666666664</v>
      </c>
      <c r="C4173" s="1" t="s">
        <v>8</v>
      </c>
      <c r="D4173" s="1" t="s">
        <v>16</v>
      </c>
      <c r="E4173" s="1">
        <v>11</v>
      </c>
      <c r="F4173" s="1">
        <v>368.8</v>
      </c>
      <c r="G4173" s="1">
        <v>38</v>
      </c>
      <c r="H4173">
        <f t="shared" si="65"/>
        <v>4056.8</v>
      </c>
    </row>
    <row r="4174" spans="1:8" x14ac:dyDescent="0.25">
      <c r="A4174" s="1" t="s">
        <v>4187</v>
      </c>
      <c r="B4174" s="5">
        <v>45831.833333333336</v>
      </c>
      <c r="C4174" s="1" t="s">
        <v>23</v>
      </c>
      <c r="D4174" s="1" t="s">
        <v>16</v>
      </c>
      <c r="E4174" s="1">
        <v>7</v>
      </c>
      <c r="F4174" s="1">
        <v>424.13</v>
      </c>
      <c r="G4174" s="1">
        <v>28.32</v>
      </c>
      <c r="H4174">
        <f t="shared" si="65"/>
        <v>2968.91</v>
      </c>
    </row>
    <row r="4175" spans="1:8" x14ac:dyDescent="0.25">
      <c r="A4175" s="1" t="s">
        <v>4188</v>
      </c>
      <c r="B4175" s="5">
        <v>45831.875</v>
      </c>
      <c r="C4175" s="1" t="s">
        <v>8</v>
      </c>
      <c r="D4175" s="1" t="s">
        <v>9</v>
      </c>
      <c r="E4175" s="1">
        <v>10</v>
      </c>
      <c r="F4175" s="1">
        <v>161.36000000000001</v>
      </c>
      <c r="G4175" s="1">
        <v>5.52</v>
      </c>
      <c r="H4175">
        <f t="shared" si="65"/>
        <v>1613.6000000000001</v>
      </c>
    </row>
    <row r="4176" spans="1:8" x14ac:dyDescent="0.25">
      <c r="A4176" s="1" t="s">
        <v>4189</v>
      </c>
      <c r="B4176" s="5">
        <v>45831.916666666664</v>
      </c>
      <c r="C4176" s="1" t="s">
        <v>11</v>
      </c>
      <c r="D4176" s="1" t="s">
        <v>19</v>
      </c>
      <c r="E4176" s="1">
        <v>7</v>
      </c>
      <c r="F4176" s="1">
        <v>245.74</v>
      </c>
      <c r="G4176" s="1">
        <v>28.26</v>
      </c>
      <c r="H4176">
        <f t="shared" si="65"/>
        <v>1720.18</v>
      </c>
    </row>
    <row r="4177" spans="1:8" x14ac:dyDescent="0.25">
      <c r="A4177" s="1" t="s">
        <v>4190</v>
      </c>
      <c r="B4177" s="5">
        <v>45831.958333333336</v>
      </c>
      <c r="C4177" s="1" t="s">
        <v>8</v>
      </c>
      <c r="D4177" s="1" t="s">
        <v>19</v>
      </c>
      <c r="E4177" s="1">
        <v>5</v>
      </c>
      <c r="F4177" s="1">
        <v>301.54000000000002</v>
      </c>
      <c r="G4177" s="1">
        <v>9.48</v>
      </c>
      <c r="H4177">
        <f t="shared" si="65"/>
        <v>1507.7</v>
      </c>
    </row>
    <row r="4178" spans="1:8" x14ac:dyDescent="0.25">
      <c r="A4178" s="1" t="s">
        <v>4191</v>
      </c>
      <c r="B4178" s="5">
        <v>45832</v>
      </c>
      <c r="C4178" s="1" t="s">
        <v>13</v>
      </c>
      <c r="D4178" s="1" t="s">
        <v>37</v>
      </c>
      <c r="E4178" s="1">
        <v>12</v>
      </c>
      <c r="F4178" s="1">
        <v>50.03</v>
      </c>
      <c r="G4178" s="1">
        <v>34.659999999999997</v>
      </c>
      <c r="H4178">
        <f t="shared" si="65"/>
        <v>600.36</v>
      </c>
    </row>
    <row r="4179" spans="1:8" x14ac:dyDescent="0.25">
      <c r="A4179" s="1" t="s">
        <v>4192</v>
      </c>
      <c r="B4179" s="5">
        <v>45832.041666666664</v>
      </c>
      <c r="C4179" s="1" t="s">
        <v>8</v>
      </c>
      <c r="D4179" s="1" t="s">
        <v>19</v>
      </c>
      <c r="E4179" s="1">
        <v>16</v>
      </c>
      <c r="F4179" s="1">
        <v>230.18</v>
      </c>
      <c r="G4179" s="1">
        <v>30.45</v>
      </c>
      <c r="H4179">
        <f t="shared" si="65"/>
        <v>3682.88</v>
      </c>
    </row>
    <row r="4180" spans="1:8" x14ac:dyDescent="0.25">
      <c r="A4180" s="1" t="s">
        <v>4193</v>
      </c>
      <c r="B4180" s="5">
        <v>45832.083333333336</v>
      </c>
      <c r="C4180" s="1" t="s">
        <v>23</v>
      </c>
      <c r="D4180" s="1" t="s">
        <v>19</v>
      </c>
      <c r="E4180" s="1">
        <v>18</v>
      </c>
      <c r="F4180" s="1">
        <v>172.17</v>
      </c>
      <c r="G4180" s="1">
        <v>5.47</v>
      </c>
      <c r="H4180">
        <f t="shared" si="65"/>
        <v>3099.06</v>
      </c>
    </row>
    <row r="4181" spans="1:8" x14ac:dyDescent="0.25">
      <c r="A4181" s="1" t="s">
        <v>4194</v>
      </c>
      <c r="B4181" s="5">
        <v>45832.125</v>
      </c>
      <c r="C4181" s="1" t="s">
        <v>8</v>
      </c>
      <c r="D4181" s="1" t="s">
        <v>37</v>
      </c>
      <c r="E4181" s="1">
        <v>3</v>
      </c>
      <c r="F4181" s="1">
        <v>394.58</v>
      </c>
      <c r="G4181" s="1">
        <v>14.21</v>
      </c>
      <c r="H4181">
        <f t="shared" si="65"/>
        <v>1183.74</v>
      </c>
    </row>
    <row r="4182" spans="1:8" x14ac:dyDescent="0.25">
      <c r="A4182" s="1" t="s">
        <v>4195</v>
      </c>
      <c r="B4182" s="5">
        <v>45832.166666666664</v>
      </c>
      <c r="C4182" s="1" t="s">
        <v>8</v>
      </c>
      <c r="D4182" s="1" t="s">
        <v>9</v>
      </c>
      <c r="E4182" s="1">
        <v>15</v>
      </c>
      <c r="F4182" s="1">
        <v>396.42</v>
      </c>
      <c r="G4182" s="1">
        <v>39.93</v>
      </c>
      <c r="H4182">
        <f t="shared" si="65"/>
        <v>5946.3</v>
      </c>
    </row>
    <row r="4183" spans="1:8" x14ac:dyDescent="0.25">
      <c r="A4183" s="1" t="s">
        <v>4196</v>
      </c>
      <c r="B4183" s="5">
        <v>45832.208333333336</v>
      </c>
      <c r="C4183" s="1" t="s">
        <v>13</v>
      </c>
      <c r="D4183" s="1" t="s">
        <v>16</v>
      </c>
      <c r="E4183" s="1">
        <v>5</v>
      </c>
      <c r="F4183" s="1">
        <v>319.99</v>
      </c>
      <c r="G4183" s="1">
        <v>17.41</v>
      </c>
      <c r="H4183">
        <f t="shared" si="65"/>
        <v>1599.95</v>
      </c>
    </row>
    <row r="4184" spans="1:8" x14ac:dyDescent="0.25">
      <c r="A4184" s="1" t="s">
        <v>4197</v>
      </c>
      <c r="B4184" s="5">
        <v>45832.25</v>
      </c>
      <c r="C4184" s="1" t="s">
        <v>8</v>
      </c>
      <c r="D4184" s="1" t="s">
        <v>37</v>
      </c>
      <c r="E4184" s="1">
        <v>13</v>
      </c>
      <c r="F4184" s="1">
        <v>300.41000000000003</v>
      </c>
      <c r="G4184" s="1">
        <v>27.47</v>
      </c>
      <c r="H4184">
        <f t="shared" si="65"/>
        <v>3905.3300000000004</v>
      </c>
    </row>
    <row r="4185" spans="1:8" x14ac:dyDescent="0.25">
      <c r="A4185" s="1" t="s">
        <v>4198</v>
      </c>
      <c r="B4185" s="5">
        <v>45832.291666666664</v>
      </c>
      <c r="C4185" s="1" t="s">
        <v>8</v>
      </c>
      <c r="D4185" s="1" t="s">
        <v>9</v>
      </c>
      <c r="E4185" s="1">
        <v>19</v>
      </c>
      <c r="F4185" s="1">
        <v>334.29</v>
      </c>
      <c r="G4185" s="1">
        <v>19.04</v>
      </c>
      <c r="H4185">
        <f t="shared" si="65"/>
        <v>6351.51</v>
      </c>
    </row>
    <row r="4186" spans="1:8" x14ac:dyDescent="0.25">
      <c r="A4186" s="1" t="s">
        <v>4199</v>
      </c>
      <c r="B4186" s="5">
        <v>45832.333333333336</v>
      </c>
      <c r="C4186" s="1" t="s">
        <v>11</v>
      </c>
      <c r="D4186" s="1" t="s">
        <v>37</v>
      </c>
      <c r="E4186" s="1">
        <v>12</v>
      </c>
      <c r="F4186" s="1">
        <v>174.52</v>
      </c>
      <c r="G4186" s="1">
        <v>46.47</v>
      </c>
      <c r="H4186">
        <f t="shared" si="65"/>
        <v>2094.2400000000002</v>
      </c>
    </row>
    <row r="4187" spans="1:8" x14ac:dyDescent="0.25">
      <c r="A4187" s="1" t="s">
        <v>4200</v>
      </c>
      <c r="B4187" s="5">
        <v>45832.375</v>
      </c>
      <c r="C4187" s="1" t="s">
        <v>11</v>
      </c>
      <c r="D4187" s="1" t="s">
        <v>9</v>
      </c>
      <c r="E4187" s="1">
        <v>5</v>
      </c>
      <c r="F4187" s="1">
        <v>191.26</v>
      </c>
      <c r="G4187" s="1">
        <v>29.15</v>
      </c>
      <c r="H4187">
        <f t="shared" si="65"/>
        <v>956.3</v>
      </c>
    </row>
    <row r="4188" spans="1:8" x14ac:dyDescent="0.25">
      <c r="A4188" s="1" t="s">
        <v>4201</v>
      </c>
      <c r="B4188" s="5">
        <v>45832.416666666664</v>
      </c>
      <c r="C4188" s="1" t="s">
        <v>23</v>
      </c>
      <c r="D4188" s="1" t="s">
        <v>37</v>
      </c>
      <c r="E4188" s="1">
        <v>6</v>
      </c>
      <c r="F4188" s="1">
        <v>256.08</v>
      </c>
      <c r="G4188" s="1">
        <v>36.33</v>
      </c>
      <c r="H4188">
        <f t="shared" si="65"/>
        <v>1536.48</v>
      </c>
    </row>
    <row r="4189" spans="1:8" x14ac:dyDescent="0.25">
      <c r="A4189" s="1" t="s">
        <v>4202</v>
      </c>
      <c r="B4189" s="5">
        <v>45832.458333333336</v>
      </c>
      <c r="C4189" s="1" t="s">
        <v>11</v>
      </c>
      <c r="D4189" s="1" t="s">
        <v>9</v>
      </c>
      <c r="E4189" s="1">
        <v>7</v>
      </c>
      <c r="F4189" s="1">
        <v>423.07</v>
      </c>
      <c r="G4189" s="1">
        <v>8.76</v>
      </c>
      <c r="H4189">
        <f t="shared" si="65"/>
        <v>2961.49</v>
      </c>
    </row>
    <row r="4190" spans="1:8" x14ac:dyDescent="0.25">
      <c r="A4190" s="1" t="s">
        <v>4203</v>
      </c>
      <c r="B4190" s="5">
        <v>45832.5</v>
      </c>
      <c r="C4190" s="1" t="s">
        <v>11</v>
      </c>
      <c r="D4190" s="1" t="s">
        <v>37</v>
      </c>
      <c r="E4190" s="1">
        <v>10</v>
      </c>
      <c r="F4190" s="1">
        <v>330.08</v>
      </c>
      <c r="G4190" s="1">
        <v>6.82</v>
      </c>
      <c r="H4190">
        <f t="shared" si="65"/>
        <v>3300.7999999999997</v>
      </c>
    </row>
    <row r="4191" spans="1:8" x14ac:dyDescent="0.25">
      <c r="A4191" s="1" t="s">
        <v>4204</v>
      </c>
      <c r="B4191" s="5">
        <v>45832.541666666664</v>
      </c>
      <c r="C4191" s="1" t="s">
        <v>11</v>
      </c>
      <c r="D4191" s="1" t="s">
        <v>9</v>
      </c>
      <c r="E4191" s="1">
        <v>16</v>
      </c>
      <c r="F4191" s="1">
        <v>254.9</v>
      </c>
      <c r="G4191" s="1">
        <v>16.670000000000002</v>
      </c>
      <c r="H4191">
        <f t="shared" si="65"/>
        <v>4078.4</v>
      </c>
    </row>
    <row r="4192" spans="1:8" x14ac:dyDescent="0.25">
      <c r="A4192" s="1" t="s">
        <v>4205</v>
      </c>
      <c r="B4192" s="5">
        <v>45832.583333333336</v>
      </c>
      <c r="C4192" s="1" t="s">
        <v>11</v>
      </c>
      <c r="D4192" s="1" t="s">
        <v>37</v>
      </c>
      <c r="E4192" s="1">
        <v>8</v>
      </c>
      <c r="F4192" s="1">
        <v>350.24</v>
      </c>
      <c r="G4192" s="1">
        <v>18.91</v>
      </c>
      <c r="H4192">
        <f t="shared" si="65"/>
        <v>2801.92</v>
      </c>
    </row>
    <row r="4193" spans="1:8" x14ac:dyDescent="0.25">
      <c r="A4193" s="1" t="s">
        <v>4206</v>
      </c>
      <c r="B4193" s="5">
        <v>45832.625</v>
      </c>
      <c r="C4193" s="1" t="s">
        <v>13</v>
      </c>
      <c r="D4193" s="1" t="s">
        <v>16</v>
      </c>
      <c r="E4193" s="1">
        <v>9</v>
      </c>
      <c r="F4193" s="1">
        <v>176.65</v>
      </c>
      <c r="G4193" s="1">
        <v>35.950000000000003</v>
      </c>
      <c r="H4193">
        <f t="shared" si="65"/>
        <v>1589.8500000000001</v>
      </c>
    </row>
    <row r="4194" spans="1:8" x14ac:dyDescent="0.25">
      <c r="A4194" s="1" t="s">
        <v>4207</v>
      </c>
      <c r="B4194" s="5">
        <v>45832.666666666664</v>
      </c>
      <c r="C4194" s="1" t="s">
        <v>11</v>
      </c>
      <c r="D4194" s="1" t="s">
        <v>16</v>
      </c>
      <c r="E4194" s="1">
        <v>4</v>
      </c>
      <c r="F4194" s="1">
        <v>332.89</v>
      </c>
      <c r="G4194" s="1">
        <v>30.61</v>
      </c>
      <c r="H4194">
        <f t="shared" si="65"/>
        <v>1331.56</v>
      </c>
    </row>
    <row r="4195" spans="1:8" x14ac:dyDescent="0.25">
      <c r="A4195" s="1" t="s">
        <v>4208</v>
      </c>
      <c r="B4195" s="5">
        <v>45832.708333333336</v>
      </c>
      <c r="C4195" s="1" t="s">
        <v>13</v>
      </c>
      <c r="D4195" s="1" t="s">
        <v>19</v>
      </c>
      <c r="E4195" s="1">
        <v>8</v>
      </c>
      <c r="F4195" s="1">
        <v>193.94</v>
      </c>
      <c r="G4195" s="1">
        <v>21.86</v>
      </c>
      <c r="H4195">
        <f t="shared" si="65"/>
        <v>1551.52</v>
      </c>
    </row>
    <row r="4196" spans="1:8" x14ac:dyDescent="0.25">
      <c r="A4196" s="1" t="s">
        <v>4209</v>
      </c>
      <c r="B4196" s="5">
        <v>45832.75</v>
      </c>
      <c r="C4196" s="1" t="s">
        <v>13</v>
      </c>
      <c r="D4196" s="1" t="s">
        <v>9</v>
      </c>
      <c r="E4196" s="1">
        <v>7</v>
      </c>
      <c r="F4196" s="1">
        <v>137.01</v>
      </c>
      <c r="G4196" s="1">
        <v>34.44</v>
      </c>
      <c r="H4196">
        <f t="shared" si="65"/>
        <v>959.06999999999994</v>
      </c>
    </row>
    <row r="4197" spans="1:8" x14ac:dyDescent="0.25">
      <c r="A4197" s="1" t="s">
        <v>4210</v>
      </c>
      <c r="B4197" s="5">
        <v>45832.791666666664</v>
      </c>
      <c r="C4197" s="1" t="s">
        <v>11</v>
      </c>
      <c r="D4197" s="1" t="s">
        <v>37</v>
      </c>
      <c r="E4197" s="1">
        <v>15</v>
      </c>
      <c r="F4197" s="1">
        <v>280.43</v>
      </c>
      <c r="G4197" s="1">
        <v>12.36</v>
      </c>
      <c r="H4197">
        <f t="shared" si="65"/>
        <v>4206.45</v>
      </c>
    </row>
    <row r="4198" spans="1:8" x14ac:dyDescent="0.25">
      <c r="A4198" s="1" t="s">
        <v>4211</v>
      </c>
      <c r="B4198" s="5">
        <v>45832.833333333336</v>
      </c>
      <c r="C4198" s="1" t="s">
        <v>8</v>
      </c>
      <c r="D4198" s="1" t="s">
        <v>9</v>
      </c>
      <c r="E4198" s="1">
        <v>3</v>
      </c>
      <c r="F4198" s="1">
        <v>313.95</v>
      </c>
      <c r="G4198" s="1">
        <v>7.86</v>
      </c>
      <c r="H4198">
        <f t="shared" si="65"/>
        <v>941.84999999999991</v>
      </c>
    </row>
    <row r="4199" spans="1:8" x14ac:dyDescent="0.25">
      <c r="A4199" s="1" t="s">
        <v>4212</v>
      </c>
      <c r="B4199" s="5">
        <v>45832.875</v>
      </c>
      <c r="C4199" s="1" t="s">
        <v>13</v>
      </c>
      <c r="D4199" s="1" t="s">
        <v>16</v>
      </c>
      <c r="E4199" s="1">
        <v>17</v>
      </c>
      <c r="F4199" s="1">
        <v>215.06</v>
      </c>
      <c r="G4199" s="1">
        <v>43.45</v>
      </c>
      <c r="H4199">
        <f t="shared" si="65"/>
        <v>3656.02</v>
      </c>
    </row>
    <row r="4200" spans="1:8" x14ac:dyDescent="0.25">
      <c r="A4200" s="1" t="s">
        <v>4213</v>
      </c>
      <c r="B4200" s="5">
        <v>45832.916666666664</v>
      </c>
      <c r="C4200" s="1" t="s">
        <v>8</v>
      </c>
      <c r="D4200" s="1" t="s">
        <v>9</v>
      </c>
      <c r="E4200" s="1">
        <v>11</v>
      </c>
      <c r="F4200" s="1">
        <v>261.20999999999998</v>
      </c>
      <c r="G4200" s="1">
        <v>30.38</v>
      </c>
      <c r="H4200">
        <f t="shared" si="65"/>
        <v>2873.31</v>
      </c>
    </row>
    <row r="4201" spans="1:8" x14ac:dyDescent="0.25">
      <c r="A4201" s="1" t="s">
        <v>4214</v>
      </c>
      <c r="B4201" s="5">
        <v>45832.958333333336</v>
      </c>
      <c r="C4201" s="1" t="s">
        <v>8</v>
      </c>
      <c r="D4201" s="1" t="s">
        <v>37</v>
      </c>
      <c r="E4201" s="1">
        <v>9</v>
      </c>
      <c r="F4201" s="1">
        <v>317.07</v>
      </c>
      <c r="G4201" s="1">
        <v>34.21</v>
      </c>
      <c r="H4201">
        <f t="shared" si="65"/>
        <v>2853.63</v>
      </c>
    </row>
    <row r="4202" spans="1:8" x14ac:dyDescent="0.25">
      <c r="A4202" s="1" t="s">
        <v>4215</v>
      </c>
      <c r="B4202" s="5">
        <v>45833</v>
      </c>
      <c r="C4202" s="1" t="s">
        <v>11</v>
      </c>
      <c r="D4202" s="1" t="s">
        <v>9</v>
      </c>
      <c r="E4202" s="1">
        <v>5</v>
      </c>
      <c r="F4202" s="1">
        <v>349.07</v>
      </c>
      <c r="G4202" s="1">
        <v>18.829999999999998</v>
      </c>
      <c r="H4202">
        <f t="shared" si="65"/>
        <v>1745.35</v>
      </c>
    </row>
    <row r="4203" spans="1:8" x14ac:dyDescent="0.25">
      <c r="A4203" s="1" t="s">
        <v>4216</v>
      </c>
      <c r="B4203" s="5">
        <v>45833.041666666664</v>
      </c>
      <c r="C4203" s="1" t="s">
        <v>23</v>
      </c>
      <c r="D4203" s="1" t="s">
        <v>37</v>
      </c>
      <c r="E4203" s="1">
        <v>10</v>
      </c>
      <c r="F4203" s="1">
        <v>404.63</v>
      </c>
      <c r="G4203" s="1">
        <v>21.74</v>
      </c>
      <c r="H4203">
        <f t="shared" si="65"/>
        <v>4046.3</v>
      </c>
    </row>
    <row r="4204" spans="1:8" x14ac:dyDescent="0.25">
      <c r="A4204" s="1" t="s">
        <v>4217</v>
      </c>
      <c r="B4204" s="5">
        <v>45833.083333333336</v>
      </c>
      <c r="C4204" s="1" t="s">
        <v>11</v>
      </c>
      <c r="D4204" s="1" t="s">
        <v>16</v>
      </c>
      <c r="E4204" s="1">
        <v>15</v>
      </c>
      <c r="F4204" s="1">
        <v>169.55</v>
      </c>
      <c r="G4204" s="1">
        <v>8.7100000000000009</v>
      </c>
      <c r="H4204">
        <f t="shared" si="65"/>
        <v>2543.25</v>
      </c>
    </row>
    <row r="4205" spans="1:8" x14ac:dyDescent="0.25">
      <c r="A4205" s="1" t="s">
        <v>4218</v>
      </c>
      <c r="B4205" s="5">
        <v>45833.125</v>
      </c>
      <c r="C4205" s="1" t="s">
        <v>23</v>
      </c>
      <c r="D4205" s="1" t="s">
        <v>16</v>
      </c>
      <c r="E4205" s="1">
        <v>14</v>
      </c>
      <c r="F4205" s="1">
        <v>428.92</v>
      </c>
      <c r="G4205" s="1">
        <v>43.56</v>
      </c>
      <c r="H4205">
        <f t="shared" si="65"/>
        <v>6004.88</v>
      </c>
    </row>
    <row r="4206" spans="1:8" x14ac:dyDescent="0.25">
      <c r="A4206" s="1" t="s">
        <v>4219</v>
      </c>
      <c r="B4206" s="5">
        <v>45833.166666666664</v>
      </c>
      <c r="C4206" s="1" t="s">
        <v>23</v>
      </c>
      <c r="D4206" s="1" t="s">
        <v>16</v>
      </c>
      <c r="E4206" s="1">
        <v>4</v>
      </c>
      <c r="F4206" s="1">
        <v>292.39999999999998</v>
      </c>
      <c r="G4206" s="1">
        <v>31.66</v>
      </c>
      <c r="H4206">
        <f t="shared" si="65"/>
        <v>1169.5999999999999</v>
      </c>
    </row>
    <row r="4207" spans="1:8" x14ac:dyDescent="0.25">
      <c r="A4207" s="1" t="s">
        <v>4220</v>
      </c>
      <c r="B4207" s="5">
        <v>45833.208333333336</v>
      </c>
      <c r="C4207" s="1" t="s">
        <v>11</v>
      </c>
      <c r="D4207" s="1" t="s">
        <v>19</v>
      </c>
      <c r="E4207" s="1">
        <v>2</v>
      </c>
      <c r="F4207" s="1">
        <v>357.76</v>
      </c>
      <c r="G4207" s="1">
        <v>8.76</v>
      </c>
      <c r="H4207">
        <f t="shared" si="65"/>
        <v>715.52</v>
      </c>
    </row>
    <row r="4208" spans="1:8" x14ac:dyDescent="0.25">
      <c r="A4208" s="1" t="s">
        <v>4221</v>
      </c>
      <c r="B4208" s="5">
        <v>45833.25</v>
      </c>
      <c r="C4208" s="1" t="s">
        <v>11</v>
      </c>
      <c r="D4208" s="1" t="s">
        <v>16</v>
      </c>
      <c r="E4208" s="1">
        <v>12</v>
      </c>
      <c r="F4208" s="1">
        <v>319.55</v>
      </c>
      <c r="G4208" s="1">
        <v>41.2</v>
      </c>
      <c r="H4208">
        <f t="shared" si="65"/>
        <v>3834.6000000000004</v>
      </c>
    </row>
    <row r="4209" spans="1:8" x14ac:dyDescent="0.25">
      <c r="A4209" s="1" t="s">
        <v>4222</v>
      </c>
      <c r="B4209" s="5">
        <v>45833.291666666664</v>
      </c>
      <c r="C4209" s="1" t="s">
        <v>23</v>
      </c>
      <c r="D4209" s="1" t="s">
        <v>9</v>
      </c>
      <c r="E4209" s="1">
        <v>1</v>
      </c>
      <c r="F4209" s="1">
        <v>104.82</v>
      </c>
      <c r="G4209" s="1">
        <v>24.99</v>
      </c>
      <c r="H4209">
        <f t="shared" si="65"/>
        <v>104.82</v>
      </c>
    </row>
    <row r="4210" spans="1:8" x14ac:dyDescent="0.25">
      <c r="A4210" s="1" t="s">
        <v>4223</v>
      </c>
      <c r="B4210" s="5">
        <v>45833.333333333336</v>
      </c>
      <c r="C4210" s="1" t="s">
        <v>11</v>
      </c>
      <c r="D4210" s="1" t="s">
        <v>19</v>
      </c>
      <c r="E4210" s="1">
        <v>5</v>
      </c>
      <c r="F4210" s="1">
        <v>46.54</v>
      </c>
      <c r="G4210" s="1">
        <v>39.43</v>
      </c>
      <c r="H4210">
        <f t="shared" si="65"/>
        <v>232.7</v>
      </c>
    </row>
    <row r="4211" spans="1:8" x14ac:dyDescent="0.25">
      <c r="A4211" s="1" t="s">
        <v>4224</v>
      </c>
      <c r="B4211" s="5">
        <v>45833.375</v>
      </c>
      <c r="C4211" s="1" t="s">
        <v>23</v>
      </c>
      <c r="D4211" s="1" t="s">
        <v>16</v>
      </c>
      <c r="E4211" s="1">
        <v>6</v>
      </c>
      <c r="F4211" s="1">
        <v>331.07</v>
      </c>
      <c r="G4211" s="1">
        <v>5.57</v>
      </c>
      <c r="H4211">
        <f t="shared" si="65"/>
        <v>1986.42</v>
      </c>
    </row>
    <row r="4212" spans="1:8" x14ac:dyDescent="0.25">
      <c r="A4212" s="1" t="s">
        <v>4225</v>
      </c>
      <c r="B4212" s="5">
        <v>45833.416666666664</v>
      </c>
      <c r="C4212" s="1" t="s">
        <v>8</v>
      </c>
      <c r="D4212" s="1" t="s">
        <v>9</v>
      </c>
      <c r="E4212" s="1">
        <v>11</v>
      </c>
      <c r="F4212" s="1">
        <v>237.55</v>
      </c>
      <c r="G4212" s="1">
        <v>6.29</v>
      </c>
      <c r="H4212">
        <f t="shared" si="65"/>
        <v>2613.0500000000002</v>
      </c>
    </row>
    <row r="4213" spans="1:8" x14ac:dyDescent="0.25">
      <c r="A4213" s="1" t="s">
        <v>4226</v>
      </c>
      <c r="B4213" s="5">
        <v>45833.458333333336</v>
      </c>
      <c r="C4213" s="1" t="s">
        <v>11</v>
      </c>
      <c r="D4213" s="1" t="s">
        <v>9</v>
      </c>
      <c r="E4213" s="1">
        <v>8</v>
      </c>
      <c r="F4213" s="1">
        <v>320.61</v>
      </c>
      <c r="G4213" s="1">
        <v>12.69</v>
      </c>
      <c r="H4213">
        <f t="shared" si="65"/>
        <v>2564.88</v>
      </c>
    </row>
    <row r="4214" spans="1:8" x14ac:dyDescent="0.25">
      <c r="A4214" s="1" t="s">
        <v>4227</v>
      </c>
      <c r="B4214" s="5">
        <v>45833.5</v>
      </c>
      <c r="C4214" s="1" t="s">
        <v>8</v>
      </c>
      <c r="D4214" s="1" t="s">
        <v>9</v>
      </c>
      <c r="E4214" s="1">
        <v>7</v>
      </c>
      <c r="F4214" s="1">
        <v>222.69</v>
      </c>
      <c r="G4214" s="1">
        <v>14.49</v>
      </c>
      <c r="H4214">
        <f t="shared" si="65"/>
        <v>1558.83</v>
      </c>
    </row>
    <row r="4215" spans="1:8" x14ac:dyDescent="0.25">
      <c r="A4215" s="1" t="s">
        <v>4228</v>
      </c>
      <c r="B4215" s="5">
        <v>45833.541666666664</v>
      </c>
      <c r="C4215" s="1" t="s">
        <v>13</v>
      </c>
      <c r="D4215" s="1" t="s">
        <v>37</v>
      </c>
      <c r="E4215" s="1">
        <v>4</v>
      </c>
      <c r="F4215" s="1">
        <v>151.16999999999999</v>
      </c>
      <c r="G4215" s="1">
        <v>39.380000000000003</v>
      </c>
      <c r="H4215">
        <f t="shared" si="65"/>
        <v>604.67999999999995</v>
      </c>
    </row>
    <row r="4216" spans="1:8" x14ac:dyDescent="0.25">
      <c r="A4216" s="1" t="s">
        <v>4229</v>
      </c>
      <c r="B4216" s="5">
        <v>45833.583333333336</v>
      </c>
      <c r="C4216" s="1" t="s">
        <v>8</v>
      </c>
      <c r="D4216" s="1" t="s">
        <v>19</v>
      </c>
      <c r="E4216" s="1">
        <v>6</v>
      </c>
      <c r="F4216" s="1">
        <v>139.34</v>
      </c>
      <c r="G4216" s="1">
        <v>36.799999999999997</v>
      </c>
      <c r="H4216">
        <f t="shared" si="65"/>
        <v>836.04</v>
      </c>
    </row>
    <row r="4217" spans="1:8" x14ac:dyDescent="0.25">
      <c r="A4217" s="1" t="s">
        <v>4230</v>
      </c>
      <c r="B4217" s="5">
        <v>45833.625</v>
      </c>
      <c r="C4217" s="1" t="s">
        <v>8</v>
      </c>
      <c r="D4217" s="1" t="s">
        <v>9</v>
      </c>
      <c r="E4217" s="1">
        <v>16</v>
      </c>
      <c r="F4217" s="1">
        <v>332.92</v>
      </c>
      <c r="G4217" s="1">
        <v>32.72</v>
      </c>
      <c r="H4217">
        <f t="shared" si="65"/>
        <v>5326.72</v>
      </c>
    </row>
    <row r="4218" spans="1:8" x14ac:dyDescent="0.25">
      <c r="A4218" s="1" t="s">
        <v>4231</v>
      </c>
      <c r="B4218" s="5">
        <v>45833.666666666664</v>
      </c>
      <c r="C4218" s="1" t="s">
        <v>23</v>
      </c>
      <c r="D4218" s="1" t="s">
        <v>37</v>
      </c>
      <c r="E4218" s="1">
        <v>15</v>
      </c>
      <c r="F4218" s="1">
        <v>135.76</v>
      </c>
      <c r="G4218" s="1">
        <v>44.82</v>
      </c>
      <c r="H4218">
        <f t="shared" si="65"/>
        <v>2036.3999999999999</v>
      </c>
    </row>
    <row r="4219" spans="1:8" x14ac:dyDescent="0.25">
      <c r="A4219" s="1" t="s">
        <v>4232</v>
      </c>
      <c r="B4219" s="5">
        <v>45833.708333333336</v>
      </c>
      <c r="C4219" s="1" t="s">
        <v>8</v>
      </c>
      <c r="D4219" s="1" t="s">
        <v>16</v>
      </c>
      <c r="E4219" s="1">
        <v>14</v>
      </c>
      <c r="F4219" s="1">
        <v>326.02999999999997</v>
      </c>
      <c r="G4219" s="1">
        <v>16.12</v>
      </c>
      <c r="H4219">
        <f t="shared" si="65"/>
        <v>4564.42</v>
      </c>
    </row>
    <row r="4220" spans="1:8" x14ac:dyDescent="0.25">
      <c r="A4220" s="1" t="s">
        <v>4233</v>
      </c>
      <c r="B4220" s="5">
        <v>45833.75</v>
      </c>
      <c r="C4220" s="1" t="s">
        <v>11</v>
      </c>
      <c r="D4220" s="1" t="s">
        <v>9</v>
      </c>
      <c r="E4220" s="1">
        <v>12</v>
      </c>
      <c r="F4220" s="1">
        <v>182.33</v>
      </c>
      <c r="G4220" s="1">
        <v>45.7</v>
      </c>
      <c r="H4220">
        <f t="shared" si="65"/>
        <v>2187.96</v>
      </c>
    </row>
    <row r="4221" spans="1:8" x14ac:dyDescent="0.25">
      <c r="A4221" s="1" t="s">
        <v>4234</v>
      </c>
      <c r="B4221" s="5">
        <v>45833.791666666664</v>
      </c>
      <c r="C4221" s="1" t="s">
        <v>23</v>
      </c>
      <c r="D4221" s="1" t="s">
        <v>37</v>
      </c>
      <c r="E4221" s="1">
        <v>12</v>
      </c>
      <c r="F4221" s="1">
        <v>350.46</v>
      </c>
      <c r="G4221" s="1">
        <v>45.93</v>
      </c>
      <c r="H4221">
        <f t="shared" si="65"/>
        <v>4205.5199999999995</v>
      </c>
    </row>
    <row r="4222" spans="1:8" x14ac:dyDescent="0.25">
      <c r="A4222" s="1" t="s">
        <v>4235</v>
      </c>
      <c r="B4222" s="5">
        <v>45833.833333333336</v>
      </c>
      <c r="C4222" s="1" t="s">
        <v>13</v>
      </c>
      <c r="D4222" s="1" t="s">
        <v>9</v>
      </c>
      <c r="E4222" s="1">
        <v>16</v>
      </c>
      <c r="F4222" s="1">
        <v>77.55</v>
      </c>
      <c r="G4222" s="1">
        <v>24.54</v>
      </c>
      <c r="H4222">
        <f t="shared" si="65"/>
        <v>1240.8</v>
      </c>
    </row>
    <row r="4223" spans="1:8" x14ac:dyDescent="0.25">
      <c r="A4223" s="1" t="s">
        <v>4236</v>
      </c>
      <c r="B4223" s="5">
        <v>45833.875</v>
      </c>
      <c r="C4223" s="1" t="s">
        <v>11</v>
      </c>
      <c r="D4223" s="1" t="s">
        <v>19</v>
      </c>
      <c r="E4223" s="1">
        <v>15</v>
      </c>
      <c r="F4223" s="1">
        <v>104.56</v>
      </c>
      <c r="G4223" s="1">
        <v>9.25</v>
      </c>
      <c r="H4223">
        <f t="shared" si="65"/>
        <v>1568.4</v>
      </c>
    </row>
    <row r="4224" spans="1:8" x14ac:dyDescent="0.25">
      <c r="A4224" s="1" t="s">
        <v>4237</v>
      </c>
      <c r="B4224" s="5">
        <v>45833.916666666664</v>
      </c>
      <c r="C4224" s="1" t="s">
        <v>13</v>
      </c>
      <c r="D4224" s="1" t="s">
        <v>19</v>
      </c>
      <c r="E4224" s="1">
        <v>13</v>
      </c>
      <c r="F4224" s="1">
        <v>313.52999999999997</v>
      </c>
      <c r="G4224" s="1">
        <v>37.700000000000003</v>
      </c>
      <c r="H4224">
        <f t="shared" si="65"/>
        <v>4075.8899999999994</v>
      </c>
    </row>
    <row r="4225" spans="1:8" x14ac:dyDescent="0.25">
      <c r="A4225" s="1" t="s">
        <v>4238</v>
      </c>
      <c r="B4225" s="5">
        <v>45833.958333333336</v>
      </c>
      <c r="C4225" s="1" t="s">
        <v>8</v>
      </c>
      <c r="D4225" s="1" t="s">
        <v>16</v>
      </c>
      <c r="E4225" s="1">
        <v>11</v>
      </c>
      <c r="F4225" s="1">
        <v>258.92</v>
      </c>
      <c r="G4225" s="1">
        <v>20.16</v>
      </c>
      <c r="H4225">
        <f t="shared" si="65"/>
        <v>2848.1200000000003</v>
      </c>
    </row>
    <row r="4226" spans="1:8" x14ac:dyDescent="0.25">
      <c r="A4226" s="1" t="s">
        <v>4239</v>
      </c>
      <c r="B4226" s="5">
        <v>45834</v>
      </c>
      <c r="C4226" s="1" t="s">
        <v>11</v>
      </c>
      <c r="D4226" s="1" t="s">
        <v>9</v>
      </c>
      <c r="E4226" s="1">
        <v>17</v>
      </c>
      <c r="F4226" s="1">
        <v>104.09</v>
      </c>
      <c r="G4226" s="1">
        <v>40.770000000000003</v>
      </c>
      <c r="H4226">
        <f t="shared" ref="H4226:H4289" si="66">E4226*F4226</f>
        <v>1769.53</v>
      </c>
    </row>
    <row r="4227" spans="1:8" x14ac:dyDescent="0.25">
      <c r="A4227" s="1" t="s">
        <v>4240</v>
      </c>
      <c r="B4227" s="5">
        <v>45834.041666666664</v>
      </c>
      <c r="C4227" s="1" t="s">
        <v>11</v>
      </c>
      <c r="D4227" s="1" t="s">
        <v>37</v>
      </c>
      <c r="E4227" s="1">
        <v>15</v>
      </c>
      <c r="F4227" s="1">
        <v>407.78</v>
      </c>
      <c r="G4227" s="1">
        <v>12.37</v>
      </c>
      <c r="H4227">
        <f t="shared" si="66"/>
        <v>6116.7</v>
      </c>
    </row>
    <row r="4228" spans="1:8" x14ac:dyDescent="0.25">
      <c r="A4228" s="1" t="s">
        <v>4241</v>
      </c>
      <c r="B4228" s="5">
        <v>45834.083333333336</v>
      </c>
      <c r="C4228" s="1" t="s">
        <v>13</v>
      </c>
      <c r="D4228" s="1" t="s">
        <v>16</v>
      </c>
      <c r="E4228" s="1">
        <v>14</v>
      </c>
      <c r="F4228" s="1">
        <v>135.4</v>
      </c>
      <c r="G4228" s="1">
        <v>29.28</v>
      </c>
      <c r="H4228">
        <f t="shared" si="66"/>
        <v>1895.6000000000001</v>
      </c>
    </row>
    <row r="4229" spans="1:8" x14ac:dyDescent="0.25">
      <c r="A4229" s="1" t="s">
        <v>4242</v>
      </c>
      <c r="B4229" s="5">
        <v>45834.125</v>
      </c>
      <c r="C4229" s="1" t="s">
        <v>11</v>
      </c>
      <c r="D4229" s="1" t="s">
        <v>9</v>
      </c>
      <c r="E4229" s="1">
        <v>10</v>
      </c>
      <c r="F4229" s="1">
        <v>198.46</v>
      </c>
      <c r="G4229" s="1">
        <v>27.86</v>
      </c>
      <c r="H4229">
        <f t="shared" si="66"/>
        <v>1984.6000000000001</v>
      </c>
    </row>
    <row r="4230" spans="1:8" x14ac:dyDescent="0.25">
      <c r="A4230" s="1" t="s">
        <v>4243</v>
      </c>
      <c r="B4230" s="5">
        <v>45834.166666666664</v>
      </c>
      <c r="C4230" s="1" t="s">
        <v>11</v>
      </c>
      <c r="D4230" s="1" t="s">
        <v>16</v>
      </c>
      <c r="E4230" s="1">
        <v>12</v>
      </c>
      <c r="F4230" s="1">
        <v>103.39</v>
      </c>
      <c r="G4230" s="1">
        <v>9.51</v>
      </c>
      <c r="H4230">
        <f t="shared" si="66"/>
        <v>1240.68</v>
      </c>
    </row>
    <row r="4231" spans="1:8" x14ac:dyDescent="0.25">
      <c r="A4231" s="1" t="s">
        <v>4244</v>
      </c>
      <c r="B4231" s="5">
        <v>45834.208333333336</v>
      </c>
      <c r="C4231" s="1" t="s">
        <v>11</v>
      </c>
      <c r="D4231" s="1" t="s">
        <v>37</v>
      </c>
      <c r="E4231" s="1">
        <v>16</v>
      </c>
      <c r="F4231" s="1">
        <v>184.1</v>
      </c>
      <c r="G4231" s="1">
        <v>21.35</v>
      </c>
      <c r="H4231">
        <f t="shared" si="66"/>
        <v>2945.6</v>
      </c>
    </row>
    <row r="4232" spans="1:8" x14ac:dyDescent="0.25">
      <c r="A4232" s="1" t="s">
        <v>4245</v>
      </c>
      <c r="B4232" s="5">
        <v>45834.25</v>
      </c>
      <c r="C4232" s="1" t="s">
        <v>8</v>
      </c>
      <c r="D4232" s="1" t="s">
        <v>16</v>
      </c>
      <c r="E4232" s="1">
        <v>15</v>
      </c>
      <c r="F4232" s="1">
        <v>229.12</v>
      </c>
      <c r="G4232" s="1">
        <v>8.81</v>
      </c>
      <c r="H4232">
        <f t="shared" si="66"/>
        <v>3436.8</v>
      </c>
    </row>
    <row r="4233" spans="1:8" x14ac:dyDescent="0.25">
      <c r="A4233" s="1" t="s">
        <v>4246</v>
      </c>
      <c r="B4233" s="5">
        <v>45834.291666666664</v>
      </c>
      <c r="C4233" s="1" t="s">
        <v>13</v>
      </c>
      <c r="D4233" s="1" t="s">
        <v>16</v>
      </c>
      <c r="E4233" s="1">
        <v>10</v>
      </c>
      <c r="F4233" s="1">
        <v>143.78</v>
      </c>
      <c r="G4233" s="1">
        <v>25.91</v>
      </c>
      <c r="H4233">
        <f t="shared" si="66"/>
        <v>1437.8</v>
      </c>
    </row>
    <row r="4234" spans="1:8" x14ac:dyDescent="0.25">
      <c r="A4234" s="1" t="s">
        <v>4247</v>
      </c>
      <c r="B4234" s="5">
        <v>45834.333333333336</v>
      </c>
      <c r="C4234" s="1" t="s">
        <v>11</v>
      </c>
      <c r="D4234" s="1" t="s">
        <v>16</v>
      </c>
      <c r="E4234" s="1">
        <v>4</v>
      </c>
      <c r="F4234" s="1">
        <v>349.67</v>
      </c>
      <c r="G4234" s="1">
        <v>42.93</v>
      </c>
      <c r="H4234">
        <f t="shared" si="66"/>
        <v>1398.68</v>
      </c>
    </row>
    <row r="4235" spans="1:8" x14ac:dyDescent="0.25">
      <c r="A4235" s="1" t="s">
        <v>4248</v>
      </c>
      <c r="B4235" s="5">
        <v>45834.375</v>
      </c>
      <c r="C4235" s="1" t="s">
        <v>23</v>
      </c>
      <c r="D4235" s="1" t="s">
        <v>9</v>
      </c>
      <c r="E4235" s="1">
        <v>9</v>
      </c>
      <c r="F4235" s="1">
        <v>186.66</v>
      </c>
      <c r="G4235" s="1">
        <v>17.16</v>
      </c>
      <c r="H4235">
        <f t="shared" si="66"/>
        <v>1679.94</v>
      </c>
    </row>
    <row r="4236" spans="1:8" x14ac:dyDescent="0.25">
      <c r="A4236" s="1" t="s">
        <v>4249</v>
      </c>
      <c r="B4236" s="5">
        <v>45834.416666666664</v>
      </c>
      <c r="C4236" s="1" t="s">
        <v>23</v>
      </c>
      <c r="D4236" s="1" t="s">
        <v>37</v>
      </c>
      <c r="E4236" s="1">
        <v>9</v>
      </c>
      <c r="F4236" s="1">
        <v>332.47</v>
      </c>
      <c r="G4236" s="1">
        <v>39.42</v>
      </c>
      <c r="H4236">
        <f t="shared" si="66"/>
        <v>2992.2300000000005</v>
      </c>
    </row>
    <row r="4237" spans="1:8" x14ac:dyDescent="0.25">
      <c r="A4237" s="1" t="s">
        <v>4250</v>
      </c>
      <c r="B4237" s="5">
        <v>45834.458333333336</v>
      </c>
      <c r="C4237" s="1" t="s">
        <v>23</v>
      </c>
      <c r="D4237" s="1" t="s">
        <v>19</v>
      </c>
      <c r="E4237" s="1">
        <v>11</v>
      </c>
      <c r="F4237" s="1">
        <v>105.47</v>
      </c>
      <c r="G4237" s="1">
        <v>13.25</v>
      </c>
      <c r="H4237">
        <f t="shared" si="66"/>
        <v>1160.17</v>
      </c>
    </row>
    <row r="4238" spans="1:8" x14ac:dyDescent="0.25">
      <c r="A4238" s="1" t="s">
        <v>4251</v>
      </c>
      <c r="B4238" s="5">
        <v>45834.5</v>
      </c>
      <c r="C4238" s="1" t="s">
        <v>23</v>
      </c>
      <c r="D4238" s="1" t="s">
        <v>9</v>
      </c>
      <c r="E4238" s="1">
        <v>11</v>
      </c>
      <c r="F4238" s="1">
        <v>179.32</v>
      </c>
      <c r="G4238" s="1">
        <v>35.32</v>
      </c>
      <c r="H4238">
        <f t="shared" si="66"/>
        <v>1972.52</v>
      </c>
    </row>
    <row r="4239" spans="1:8" x14ac:dyDescent="0.25">
      <c r="A4239" s="1" t="s">
        <v>4252</v>
      </c>
      <c r="B4239" s="5">
        <v>45834.541666666664</v>
      </c>
      <c r="C4239" s="1" t="s">
        <v>8</v>
      </c>
      <c r="D4239" s="1" t="s">
        <v>19</v>
      </c>
      <c r="E4239" s="1">
        <v>7</v>
      </c>
      <c r="F4239" s="1">
        <v>19</v>
      </c>
      <c r="G4239" s="1">
        <v>46.2</v>
      </c>
      <c r="H4239">
        <f t="shared" si="66"/>
        <v>133</v>
      </c>
    </row>
    <row r="4240" spans="1:8" x14ac:dyDescent="0.25">
      <c r="A4240" s="1" t="s">
        <v>4253</v>
      </c>
      <c r="B4240" s="5">
        <v>45834.583333333336</v>
      </c>
      <c r="C4240" s="1" t="s">
        <v>11</v>
      </c>
      <c r="D4240" s="1" t="s">
        <v>19</v>
      </c>
      <c r="E4240" s="1">
        <v>10</v>
      </c>
      <c r="F4240" s="1">
        <v>345.13</v>
      </c>
      <c r="G4240" s="1">
        <v>19.579999999999998</v>
      </c>
      <c r="H4240">
        <f t="shared" si="66"/>
        <v>3451.3</v>
      </c>
    </row>
    <row r="4241" spans="1:8" x14ac:dyDescent="0.25">
      <c r="A4241" s="1" t="s">
        <v>4254</v>
      </c>
      <c r="B4241" s="5">
        <v>45834.625</v>
      </c>
      <c r="C4241" s="1" t="s">
        <v>13</v>
      </c>
      <c r="D4241" s="1" t="s">
        <v>9</v>
      </c>
      <c r="E4241" s="1">
        <v>4</v>
      </c>
      <c r="F4241" s="1">
        <v>287.45</v>
      </c>
      <c r="G4241" s="1">
        <v>45.52</v>
      </c>
      <c r="H4241">
        <f t="shared" si="66"/>
        <v>1149.8</v>
      </c>
    </row>
    <row r="4242" spans="1:8" x14ac:dyDescent="0.25">
      <c r="A4242" s="1" t="s">
        <v>4255</v>
      </c>
      <c r="B4242" s="5">
        <v>45834.666666666664</v>
      </c>
      <c r="C4242" s="1" t="s">
        <v>11</v>
      </c>
      <c r="D4242" s="1" t="s">
        <v>9</v>
      </c>
      <c r="E4242" s="1">
        <v>5</v>
      </c>
      <c r="F4242" s="1">
        <v>370.84</v>
      </c>
      <c r="G4242" s="1">
        <v>27.74</v>
      </c>
      <c r="H4242">
        <f t="shared" si="66"/>
        <v>1854.1999999999998</v>
      </c>
    </row>
    <row r="4243" spans="1:8" x14ac:dyDescent="0.25">
      <c r="A4243" s="1" t="s">
        <v>4256</v>
      </c>
      <c r="B4243" s="5">
        <v>45834.708333333336</v>
      </c>
      <c r="C4243" s="1" t="s">
        <v>8</v>
      </c>
      <c r="D4243" s="1" t="s">
        <v>37</v>
      </c>
      <c r="E4243" s="1">
        <v>5</v>
      </c>
      <c r="F4243" s="1">
        <v>213.46</v>
      </c>
      <c r="G4243" s="1">
        <v>19.260000000000002</v>
      </c>
      <c r="H4243">
        <f t="shared" si="66"/>
        <v>1067.3</v>
      </c>
    </row>
    <row r="4244" spans="1:8" x14ac:dyDescent="0.25">
      <c r="A4244" s="1" t="s">
        <v>4257</v>
      </c>
      <c r="B4244" s="5">
        <v>45834.75</v>
      </c>
      <c r="C4244" s="1" t="s">
        <v>23</v>
      </c>
      <c r="D4244" s="1" t="s">
        <v>37</v>
      </c>
      <c r="E4244" s="1">
        <v>11</v>
      </c>
      <c r="F4244" s="1">
        <v>362.99</v>
      </c>
      <c r="G4244" s="1">
        <v>45.34</v>
      </c>
      <c r="H4244">
        <f t="shared" si="66"/>
        <v>3992.8900000000003</v>
      </c>
    </row>
    <row r="4245" spans="1:8" x14ac:dyDescent="0.25">
      <c r="A4245" s="1" t="s">
        <v>4258</v>
      </c>
      <c r="B4245" s="5">
        <v>45834.791666666664</v>
      </c>
      <c r="C4245" s="1" t="s">
        <v>8</v>
      </c>
      <c r="D4245" s="1" t="s">
        <v>16</v>
      </c>
      <c r="E4245" s="1">
        <v>9</v>
      </c>
      <c r="F4245" s="1">
        <v>296.87</v>
      </c>
      <c r="G4245" s="1">
        <v>6.44</v>
      </c>
      <c r="H4245">
        <f t="shared" si="66"/>
        <v>2671.83</v>
      </c>
    </row>
    <row r="4246" spans="1:8" x14ac:dyDescent="0.25">
      <c r="A4246" s="1" t="s">
        <v>4259</v>
      </c>
      <c r="B4246" s="5">
        <v>45834.833333333336</v>
      </c>
      <c r="C4246" s="1" t="s">
        <v>11</v>
      </c>
      <c r="D4246" s="1" t="s">
        <v>19</v>
      </c>
      <c r="E4246" s="1">
        <v>16</v>
      </c>
      <c r="F4246" s="1">
        <v>17.07</v>
      </c>
      <c r="G4246" s="1">
        <v>6.26</v>
      </c>
      <c r="H4246">
        <f t="shared" si="66"/>
        <v>273.12</v>
      </c>
    </row>
    <row r="4247" spans="1:8" x14ac:dyDescent="0.25">
      <c r="A4247" s="1" t="s">
        <v>4260</v>
      </c>
      <c r="B4247" s="5">
        <v>45834.875</v>
      </c>
      <c r="C4247" s="1" t="s">
        <v>13</v>
      </c>
      <c r="D4247" s="1" t="s">
        <v>37</v>
      </c>
      <c r="E4247" s="1">
        <v>9</v>
      </c>
      <c r="F4247" s="1">
        <v>125.73</v>
      </c>
      <c r="G4247" s="1">
        <v>31.99</v>
      </c>
      <c r="H4247">
        <f t="shared" si="66"/>
        <v>1131.57</v>
      </c>
    </row>
    <row r="4248" spans="1:8" x14ac:dyDescent="0.25">
      <c r="A4248" s="1" t="s">
        <v>4261</v>
      </c>
      <c r="B4248" s="5">
        <v>45834.916666666664</v>
      </c>
      <c r="C4248" s="1" t="s">
        <v>8</v>
      </c>
      <c r="D4248" s="1" t="s">
        <v>16</v>
      </c>
      <c r="E4248" s="1">
        <v>4</v>
      </c>
      <c r="F4248" s="1">
        <v>230.1</v>
      </c>
      <c r="G4248" s="1">
        <v>40.85</v>
      </c>
      <c r="H4248">
        <f t="shared" si="66"/>
        <v>920.4</v>
      </c>
    </row>
    <row r="4249" spans="1:8" x14ac:dyDescent="0.25">
      <c r="A4249" s="1" t="s">
        <v>4262</v>
      </c>
      <c r="B4249" s="5">
        <v>45834.958333333336</v>
      </c>
      <c r="C4249" s="1" t="s">
        <v>13</v>
      </c>
      <c r="D4249" s="1" t="s">
        <v>37</v>
      </c>
      <c r="E4249" s="1">
        <v>2</v>
      </c>
      <c r="F4249" s="1">
        <v>284.32</v>
      </c>
      <c r="G4249" s="1">
        <v>38.82</v>
      </c>
      <c r="H4249">
        <f t="shared" si="66"/>
        <v>568.64</v>
      </c>
    </row>
    <row r="4250" spans="1:8" x14ac:dyDescent="0.25">
      <c r="A4250" s="1" t="s">
        <v>4263</v>
      </c>
      <c r="B4250" s="5">
        <v>45835</v>
      </c>
      <c r="C4250" s="1" t="s">
        <v>8</v>
      </c>
      <c r="D4250" s="1" t="s">
        <v>9</v>
      </c>
      <c r="E4250" s="1">
        <v>14</v>
      </c>
      <c r="F4250" s="1">
        <v>44</v>
      </c>
      <c r="G4250" s="1">
        <v>8.58</v>
      </c>
      <c r="H4250">
        <f t="shared" si="66"/>
        <v>616</v>
      </c>
    </row>
    <row r="4251" spans="1:8" x14ac:dyDescent="0.25">
      <c r="A4251" s="1" t="s">
        <v>4264</v>
      </c>
      <c r="B4251" s="5">
        <v>45835.041666666664</v>
      </c>
      <c r="C4251" s="1" t="s">
        <v>13</v>
      </c>
      <c r="D4251" s="1" t="s">
        <v>37</v>
      </c>
      <c r="E4251" s="1">
        <v>3</v>
      </c>
      <c r="F4251" s="1">
        <v>321.86</v>
      </c>
      <c r="G4251" s="1">
        <v>47.76</v>
      </c>
      <c r="H4251">
        <f t="shared" si="66"/>
        <v>965.58</v>
      </c>
    </row>
    <row r="4252" spans="1:8" x14ac:dyDescent="0.25">
      <c r="A4252" s="1" t="s">
        <v>4265</v>
      </c>
      <c r="B4252" s="5">
        <v>45835.083333333336</v>
      </c>
      <c r="C4252" s="1" t="s">
        <v>13</v>
      </c>
      <c r="D4252" s="1" t="s">
        <v>19</v>
      </c>
      <c r="E4252" s="1">
        <v>18</v>
      </c>
      <c r="F4252" s="1">
        <v>251.67</v>
      </c>
      <c r="G4252" s="1">
        <v>36.64</v>
      </c>
      <c r="H4252">
        <f t="shared" si="66"/>
        <v>4530.0599999999995</v>
      </c>
    </row>
    <row r="4253" spans="1:8" x14ac:dyDescent="0.25">
      <c r="A4253" s="1" t="s">
        <v>4266</v>
      </c>
      <c r="B4253" s="5">
        <v>45835.125</v>
      </c>
      <c r="C4253" s="1" t="s">
        <v>23</v>
      </c>
      <c r="D4253" s="1" t="s">
        <v>37</v>
      </c>
      <c r="E4253" s="1">
        <v>6</v>
      </c>
      <c r="F4253" s="1">
        <v>243.95</v>
      </c>
      <c r="G4253" s="1">
        <v>47.71</v>
      </c>
      <c r="H4253">
        <f t="shared" si="66"/>
        <v>1463.6999999999998</v>
      </c>
    </row>
    <row r="4254" spans="1:8" x14ac:dyDescent="0.25">
      <c r="A4254" s="1" t="s">
        <v>4267</v>
      </c>
      <c r="B4254" s="5">
        <v>45835.166666666664</v>
      </c>
      <c r="C4254" s="1" t="s">
        <v>13</v>
      </c>
      <c r="D4254" s="1" t="s">
        <v>19</v>
      </c>
      <c r="E4254" s="1">
        <v>11</v>
      </c>
      <c r="F4254" s="1">
        <v>142.38999999999999</v>
      </c>
      <c r="G4254" s="1">
        <v>19.809999999999999</v>
      </c>
      <c r="H4254">
        <f t="shared" si="66"/>
        <v>1566.29</v>
      </c>
    </row>
    <row r="4255" spans="1:8" x14ac:dyDescent="0.25">
      <c r="A4255" s="1" t="s">
        <v>4268</v>
      </c>
      <c r="B4255" s="5">
        <v>45835.208333333336</v>
      </c>
      <c r="C4255" s="1" t="s">
        <v>23</v>
      </c>
      <c r="D4255" s="1" t="s">
        <v>9</v>
      </c>
      <c r="E4255" s="1">
        <v>18</v>
      </c>
      <c r="F4255" s="1">
        <v>273.95</v>
      </c>
      <c r="G4255" s="1">
        <v>36.229999999999997</v>
      </c>
      <c r="H4255">
        <f t="shared" si="66"/>
        <v>4931.0999999999995</v>
      </c>
    </row>
    <row r="4256" spans="1:8" x14ac:dyDescent="0.25">
      <c r="A4256" s="1" t="s">
        <v>4269</v>
      </c>
      <c r="B4256" s="5">
        <v>45835.25</v>
      </c>
      <c r="C4256" s="1" t="s">
        <v>11</v>
      </c>
      <c r="D4256" s="1" t="s">
        <v>19</v>
      </c>
      <c r="E4256" s="1">
        <v>12</v>
      </c>
      <c r="F4256" s="1">
        <v>27.45</v>
      </c>
      <c r="G4256" s="1">
        <v>43.7</v>
      </c>
      <c r="H4256">
        <f t="shared" si="66"/>
        <v>329.4</v>
      </c>
    </row>
    <row r="4257" spans="1:8" x14ac:dyDescent="0.25">
      <c r="A4257" s="1" t="s">
        <v>4270</v>
      </c>
      <c r="B4257" s="5">
        <v>45835.291666666664</v>
      </c>
      <c r="C4257" s="1" t="s">
        <v>11</v>
      </c>
      <c r="D4257" s="1" t="s">
        <v>37</v>
      </c>
      <c r="E4257" s="1">
        <v>5</v>
      </c>
      <c r="F4257" s="1">
        <v>43.61</v>
      </c>
      <c r="G4257" s="1">
        <v>22.12</v>
      </c>
      <c r="H4257">
        <f t="shared" si="66"/>
        <v>218.05</v>
      </c>
    </row>
    <row r="4258" spans="1:8" x14ac:dyDescent="0.25">
      <c r="A4258" s="1" t="s">
        <v>4271</v>
      </c>
      <c r="B4258" s="5">
        <v>45835.333333333336</v>
      </c>
      <c r="C4258" s="1" t="s">
        <v>23</v>
      </c>
      <c r="D4258" s="1" t="s">
        <v>16</v>
      </c>
      <c r="E4258" s="1">
        <v>9</v>
      </c>
      <c r="F4258" s="1">
        <v>334.37</v>
      </c>
      <c r="G4258" s="1">
        <v>48.42</v>
      </c>
      <c r="H4258">
        <f t="shared" si="66"/>
        <v>3009.33</v>
      </c>
    </row>
    <row r="4259" spans="1:8" x14ac:dyDescent="0.25">
      <c r="A4259" s="1" t="s">
        <v>4272</v>
      </c>
      <c r="B4259" s="5">
        <v>45835.375</v>
      </c>
      <c r="C4259" s="1" t="s">
        <v>23</v>
      </c>
      <c r="D4259" s="1" t="s">
        <v>9</v>
      </c>
      <c r="E4259" s="1">
        <v>18</v>
      </c>
      <c r="F4259" s="1">
        <v>155.36000000000001</v>
      </c>
      <c r="G4259" s="1">
        <v>16.920000000000002</v>
      </c>
      <c r="H4259">
        <f t="shared" si="66"/>
        <v>2796.4800000000005</v>
      </c>
    </row>
    <row r="4260" spans="1:8" x14ac:dyDescent="0.25">
      <c r="A4260" s="1" t="s">
        <v>4273</v>
      </c>
      <c r="B4260" s="5">
        <v>45835.416666666664</v>
      </c>
      <c r="C4260" s="1" t="s">
        <v>8</v>
      </c>
      <c r="D4260" s="1" t="s">
        <v>37</v>
      </c>
      <c r="E4260" s="1">
        <v>19</v>
      </c>
      <c r="F4260" s="1">
        <v>166.26</v>
      </c>
      <c r="G4260" s="1">
        <v>19.2</v>
      </c>
      <c r="H4260">
        <f t="shared" si="66"/>
        <v>3158.9399999999996</v>
      </c>
    </row>
    <row r="4261" spans="1:8" x14ac:dyDescent="0.25">
      <c r="A4261" s="1" t="s">
        <v>4274</v>
      </c>
      <c r="B4261" s="5">
        <v>45835.458333333336</v>
      </c>
      <c r="C4261" s="1" t="s">
        <v>8</v>
      </c>
      <c r="D4261" s="1" t="s">
        <v>9</v>
      </c>
      <c r="E4261" s="1">
        <v>3</v>
      </c>
      <c r="F4261" s="1">
        <v>106.04</v>
      </c>
      <c r="G4261" s="1">
        <v>46.41</v>
      </c>
      <c r="H4261">
        <f t="shared" si="66"/>
        <v>318.12</v>
      </c>
    </row>
    <row r="4262" spans="1:8" x14ac:dyDescent="0.25">
      <c r="A4262" s="1" t="s">
        <v>4275</v>
      </c>
      <c r="B4262" s="5">
        <v>45835.5</v>
      </c>
      <c r="C4262" s="1" t="s">
        <v>8</v>
      </c>
      <c r="D4262" s="1" t="s">
        <v>9</v>
      </c>
      <c r="E4262" s="1">
        <v>9</v>
      </c>
      <c r="F4262" s="1">
        <v>209.12</v>
      </c>
      <c r="G4262" s="1">
        <v>48.63</v>
      </c>
      <c r="H4262">
        <f t="shared" si="66"/>
        <v>1882.08</v>
      </c>
    </row>
    <row r="4263" spans="1:8" x14ac:dyDescent="0.25">
      <c r="A4263" s="1" t="s">
        <v>4276</v>
      </c>
      <c r="B4263" s="5">
        <v>45835.541666666664</v>
      </c>
      <c r="C4263" s="1" t="s">
        <v>11</v>
      </c>
      <c r="D4263" s="1" t="s">
        <v>37</v>
      </c>
      <c r="E4263" s="1">
        <v>4</v>
      </c>
      <c r="F4263" s="1">
        <v>38.090000000000003</v>
      </c>
      <c r="G4263" s="1">
        <v>17.829999999999998</v>
      </c>
      <c r="H4263">
        <f t="shared" si="66"/>
        <v>152.36000000000001</v>
      </c>
    </row>
    <row r="4264" spans="1:8" x14ac:dyDescent="0.25">
      <c r="A4264" s="1" t="s">
        <v>4277</v>
      </c>
      <c r="B4264" s="5">
        <v>45835.583333333336</v>
      </c>
      <c r="C4264" s="1" t="s">
        <v>8</v>
      </c>
      <c r="D4264" s="1" t="s">
        <v>37</v>
      </c>
      <c r="E4264" s="1">
        <v>17</v>
      </c>
      <c r="F4264" s="1">
        <v>146.01</v>
      </c>
      <c r="G4264" s="1">
        <v>11.14</v>
      </c>
      <c r="H4264">
        <f t="shared" si="66"/>
        <v>2482.17</v>
      </c>
    </row>
    <row r="4265" spans="1:8" x14ac:dyDescent="0.25">
      <c r="A4265" s="1" t="s">
        <v>4278</v>
      </c>
      <c r="B4265" s="5">
        <v>45835.625</v>
      </c>
      <c r="C4265" s="1" t="s">
        <v>13</v>
      </c>
      <c r="D4265" s="1" t="s">
        <v>16</v>
      </c>
      <c r="E4265" s="1">
        <v>17</v>
      </c>
      <c r="F4265" s="1">
        <v>244.54</v>
      </c>
      <c r="G4265" s="1">
        <v>39.159999999999997</v>
      </c>
      <c r="H4265">
        <f t="shared" si="66"/>
        <v>4157.18</v>
      </c>
    </row>
    <row r="4266" spans="1:8" x14ac:dyDescent="0.25">
      <c r="A4266" s="1" t="s">
        <v>4279</v>
      </c>
      <c r="B4266" s="5">
        <v>45835.666666666664</v>
      </c>
      <c r="C4266" s="1" t="s">
        <v>13</v>
      </c>
      <c r="D4266" s="1" t="s">
        <v>9</v>
      </c>
      <c r="E4266" s="1">
        <v>2</v>
      </c>
      <c r="F4266" s="1">
        <v>217.82</v>
      </c>
      <c r="G4266" s="1">
        <v>46.83</v>
      </c>
      <c r="H4266">
        <f t="shared" si="66"/>
        <v>435.64</v>
      </c>
    </row>
    <row r="4267" spans="1:8" x14ac:dyDescent="0.25">
      <c r="A4267" s="1" t="s">
        <v>4280</v>
      </c>
      <c r="B4267" s="5">
        <v>45835.708333333336</v>
      </c>
      <c r="C4267" s="1" t="s">
        <v>8</v>
      </c>
      <c r="D4267" s="1" t="s">
        <v>9</v>
      </c>
      <c r="E4267" s="1">
        <v>9</v>
      </c>
      <c r="F4267" s="1">
        <v>449.86</v>
      </c>
      <c r="G4267" s="1">
        <v>32.03</v>
      </c>
      <c r="H4267">
        <f t="shared" si="66"/>
        <v>4048.7400000000002</v>
      </c>
    </row>
    <row r="4268" spans="1:8" x14ac:dyDescent="0.25">
      <c r="A4268" s="1" t="s">
        <v>4281</v>
      </c>
      <c r="B4268" s="5">
        <v>45835.75</v>
      </c>
      <c r="C4268" s="1" t="s">
        <v>13</v>
      </c>
      <c r="D4268" s="1" t="s">
        <v>37</v>
      </c>
      <c r="E4268" s="1">
        <v>9</v>
      </c>
      <c r="F4268" s="1">
        <v>184.42</v>
      </c>
      <c r="G4268" s="1">
        <v>33.549999999999997</v>
      </c>
      <c r="H4268">
        <f t="shared" si="66"/>
        <v>1659.78</v>
      </c>
    </row>
    <row r="4269" spans="1:8" x14ac:dyDescent="0.25">
      <c r="A4269" s="1" t="s">
        <v>4282</v>
      </c>
      <c r="B4269" s="5">
        <v>45835.791666666664</v>
      </c>
      <c r="C4269" s="1" t="s">
        <v>11</v>
      </c>
      <c r="D4269" s="1" t="s">
        <v>19</v>
      </c>
      <c r="E4269" s="1">
        <v>5</v>
      </c>
      <c r="F4269" s="1">
        <v>183.65</v>
      </c>
      <c r="G4269" s="1">
        <v>39.33</v>
      </c>
      <c r="H4269">
        <f t="shared" si="66"/>
        <v>918.25</v>
      </c>
    </row>
    <row r="4270" spans="1:8" x14ac:dyDescent="0.25">
      <c r="A4270" s="1" t="s">
        <v>4283</v>
      </c>
      <c r="B4270" s="5">
        <v>45835.833333333336</v>
      </c>
      <c r="C4270" s="1" t="s">
        <v>13</v>
      </c>
      <c r="D4270" s="1" t="s">
        <v>37</v>
      </c>
      <c r="E4270" s="1">
        <v>15</v>
      </c>
      <c r="F4270" s="1">
        <v>234.31</v>
      </c>
      <c r="G4270" s="1">
        <v>11.89</v>
      </c>
      <c r="H4270">
        <f t="shared" si="66"/>
        <v>3514.65</v>
      </c>
    </row>
    <row r="4271" spans="1:8" x14ac:dyDescent="0.25">
      <c r="A4271" s="1" t="s">
        <v>4284</v>
      </c>
      <c r="B4271" s="5">
        <v>45835.875</v>
      </c>
      <c r="C4271" s="1" t="s">
        <v>11</v>
      </c>
      <c r="D4271" s="1" t="s">
        <v>9</v>
      </c>
      <c r="E4271" s="1">
        <v>15</v>
      </c>
      <c r="F4271" s="1">
        <v>98.19</v>
      </c>
      <c r="G4271" s="1">
        <v>48.81</v>
      </c>
      <c r="H4271">
        <f t="shared" si="66"/>
        <v>1472.85</v>
      </c>
    </row>
    <row r="4272" spans="1:8" x14ac:dyDescent="0.25">
      <c r="A4272" s="1" t="s">
        <v>4285</v>
      </c>
      <c r="B4272" s="5">
        <v>45835.916666666664</v>
      </c>
      <c r="C4272" s="1" t="s">
        <v>23</v>
      </c>
      <c r="D4272" s="1" t="s">
        <v>37</v>
      </c>
      <c r="E4272" s="1">
        <v>3</v>
      </c>
      <c r="F4272" s="1">
        <v>396.25</v>
      </c>
      <c r="G4272" s="1">
        <v>21.39</v>
      </c>
      <c r="H4272">
        <f t="shared" si="66"/>
        <v>1188.75</v>
      </c>
    </row>
    <row r="4273" spans="1:8" x14ac:dyDescent="0.25">
      <c r="A4273" s="1" t="s">
        <v>4286</v>
      </c>
      <c r="B4273" s="5">
        <v>45835.958333333336</v>
      </c>
      <c r="C4273" s="1" t="s">
        <v>23</v>
      </c>
      <c r="D4273" s="1" t="s">
        <v>16</v>
      </c>
      <c r="E4273" s="1">
        <v>19</v>
      </c>
      <c r="F4273" s="1">
        <v>264.14999999999998</v>
      </c>
      <c r="G4273" s="1">
        <v>33.270000000000003</v>
      </c>
      <c r="H4273">
        <f t="shared" si="66"/>
        <v>5018.8499999999995</v>
      </c>
    </row>
    <row r="4274" spans="1:8" x14ac:dyDescent="0.25">
      <c r="A4274" s="1" t="s">
        <v>4287</v>
      </c>
      <c r="B4274" s="5">
        <v>45836</v>
      </c>
      <c r="C4274" s="1" t="s">
        <v>23</v>
      </c>
      <c r="D4274" s="1" t="s">
        <v>19</v>
      </c>
      <c r="E4274" s="1">
        <v>3</v>
      </c>
      <c r="F4274" s="1">
        <v>98.97</v>
      </c>
      <c r="G4274" s="1">
        <v>26.09</v>
      </c>
      <c r="H4274">
        <f t="shared" si="66"/>
        <v>296.90999999999997</v>
      </c>
    </row>
    <row r="4275" spans="1:8" x14ac:dyDescent="0.25">
      <c r="A4275" s="1" t="s">
        <v>4288</v>
      </c>
      <c r="B4275" s="5">
        <v>45836.041666666664</v>
      </c>
      <c r="C4275" s="1" t="s">
        <v>23</v>
      </c>
      <c r="D4275" s="1" t="s">
        <v>37</v>
      </c>
      <c r="E4275" s="1">
        <v>6</v>
      </c>
      <c r="F4275" s="1">
        <v>360.25</v>
      </c>
      <c r="G4275" s="1">
        <v>26.07</v>
      </c>
      <c r="H4275">
        <f t="shared" si="66"/>
        <v>2161.5</v>
      </c>
    </row>
    <row r="4276" spans="1:8" x14ac:dyDescent="0.25">
      <c r="A4276" s="1" t="s">
        <v>4289</v>
      </c>
      <c r="B4276" s="5">
        <v>45836.083333333336</v>
      </c>
      <c r="C4276" s="1" t="s">
        <v>13</v>
      </c>
      <c r="D4276" s="1" t="s">
        <v>16</v>
      </c>
      <c r="E4276" s="1">
        <v>4</v>
      </c>
      <c r="F4276" s="1">
        <v>30.42</v>
      </c>
      <c r="G4276" s="1">
        <v>36.619999999999997</v>
      </c>
      <c r="H4276">
        <f t="shared" si="66"/>
        <v>121.68</v>
      </c>
    </row>
    <row r="4277" spans="1:8" x14ac:dyDescent="0.25">
      <c r="A4277" s="1" t="s">
        <v>4290</v>
      </c>
      <c r="B4277" s="5">
        <v>45836.125</v>
      </c>
      <c r="C4277" s="1" t="s">
        <v>8</v>
      </c>
      <c r="D4277" s="1" t="s">
        <v>9</v>
      </c>
      <c r="E4277" s="1">
        <v>13</v>
      </c>
      <c r="F4277" s="1">
        <v>442.42</v>
      </c>
      <c r="G4277" s="1">
        <v>49.76</v>
      </c>
      <c r="H4277">
        <f t="shared" si="66"/>
        <v>5751.46</v>
      </c>
    </row>
    <row r="4278" spans="1:8" x14ac:dyDescent="0.25">
      <c r="A4278" s="1" t="s">
        <v>4291</v>
      </c>
      <c r="B4278" s="5">
        <v>45836.166666666664</v>
      </c>
      <c r="C4278" s="1" t="s">
        <v>13</v>
      </c>
      <c r="D4278" s="1" t="s">
        <v>37</v>
      </c>
      <c r="E4278" s="1">
        <v>13</v>
      </c>
      <c r="F4278" s="1">
        <v>391.41</v>
      </c>
      <c r="G4278" s="1">
        <v>34.659999999999997</v>
      </c>
      <c r="H4278">
        <f t="shared" si="66"/>
        <v>5088.33</v>
      </c>
    </row>
    <row r="4279" spans="1:8" x14ac:dyDescent="0.25">
      <c r="A4279" s="1" t="s">
        <v>4292</v>
      </c>
      <c r="B4279" s="5">
        <v>45836.208333333336</v>
      </c>
      <c r="C4279" s="1" t="s">
        <v>11</v>
      </c>
      <c r="D4279" s="1" t="s">
        <v>9</v>
      </c>
      <c r="E4279" s="1">
        <v>11</v>
      </c>
      <c r="F4279" s="1">
        <v>267.35000000000002</v>
      </c>
      <c r="G4279" s="1">
        <v>40.729999999999997</v>
      </c>
      <c r="H4279">
        <f t="shared" si="66"/>
        <v>2940.8500000000004</v>
      </c>
    </row>
    <row r="4280" spans="1:8" x14ac:dyDescent="0.25">
      <c r="A4280" s="1" t="s">
        <v>4293</v>
      </c>
      <c r="B4280" s="5">
        <v>45836.25</v>
      </c>
      <c r="C4280" s="1" t="s">
        <v>13</v>
      </c>
      <c r="D4280" s="1" t="s">
        <v>16</v>
      </c>
      <c r="E4280" s="1">
        <v>5</v>
      </c>
      <c r="F4280" s="1">
        <v>63.86</v>
      </c>
      <c r="G4280" s="1">
        <v>6.24</v>
      </c>
      <c r="H4280">
        <f t="shared" si="66"/>
        <v>319.3</v>
      </c>
    </row>
    <row r="4281" spans="1:8" x14ac:dyDescent="0.25">
      <c r="A4281" s="1" t="s">
        <v>4294</v>
      </c>
      <c r="B4281" s="5">
        <v>45836.291666666664</v>
      </c>
      <c r="C4281" s="1" t="s">
        <v>13</v>
      </c>
      <c r="D4281" s="1" t="s">
        <v>9</v>
      </c>
      <c r="E4281" s="1">
        <v>1</v>
      </c>
      <c r="F4281" s="1">
        <v>109.04</v>
      </c>
      <c r="G4281" s="1">
        <v>41.47</v>
      </c>
      <c r="H4281">
        <f t="shared" si="66"/>
        <v>109.04</v>
      </c>
    </row>
    <row r="4282" spans="1:8" x14ac:dyDescent="0.25">
      <c r="A4282" s="1" t="s">
        <v>4295</v>
      </c>
      <c r="B4282" s="5">
        <v>45836.333333333336</v>
      </c>
      <c r="C4282" s="1" t="s">
        <v>11</v>
      </c>
      <c r="D4282" s="1" t="s">
        <v>16</v>
      </c>
      <c r="E4282" s="1">
        <v>9</v>
      </c>
      <c r="F4282" s="1">
        <v>136.91</v>
      </c>
      <c r="G4282" s="1">
        <v>18.5</v>
      </c>
      <c r="H4282">
        <f t="shared" si="66"/>
        <v>1232.19</v>
      </c>
    </row>
    <row r="4283" spans="1:8" x14ac:dyDescent="0.25">
      <c r="A4283" s="1" t="s">
        <v>4296</v>
      </c>
      <c r="B4283" s="5">
        <v>45836.375</v>
      </c>
      <c r="C4283" s="1" t="s">
        <v>23</v>
      </c>
      <c r="D4283" s="1" t="s">
        <v>16</v>
      </c>
      <c r="E4283" s="1">
        <v>17</v>
      </c>
      <c r="F4283" s="1">
        <v>120.23</v>
      </c>
      <c r="G4283" s="1">
        <v>10.7</v>
      </c>
      <c r="H4283">
        <f t="shared" si="66"/>
        <v>2043.91</v>
      </c>
    </row>
    <row r="4284" spans="1:8" x14ac:dyDescent="0.25">
      <c r="A4284" s="1" t="s">
        <v>4297</v>
      </c>
      <c r="B4284" s="5">
        <v>45836.416666666664</v>
      </c>
      <c r="C4284" s="1" t="s">
        <v>23</v>
      </c>
      <c r="D4284" s="1" t="s">
        <v>16</v>
      </c>
      <c r="E4284" s="1">
        <v>1</v>
      </c>
      <c r="F4284" s="1">
        <v>231.67</v>
      </c>
      <c r="G4284" s="1">
        <v>10.1</v>
      </c>
      <c r="H4284">
        <f t="shared" si="66"/>
        <v>231.67</v>
      </c>
    </row>
    <row r="4285" spans="1:8" x14ac:dyDescent="0.25">
      <c r="A4285" s="1" t="s">
        <v>4298</v>
      </c>
      <c r="B4285" s="5">
        <v>45836.458333333336</v>
      </c>
      <c r="C4285" s="1" t="s">
        <v>23</v>
      </c>
      <c r="D4285" s="1" t="s">
        <v>37</v>
      </c>
      <c r="E4285" s="1">
        <v>3</v>
      </c>
      <c r="F4285" s="1">
        <v>425.91</v>
      </c>
      <c r="G4285" s="1">
        <v>35.590000000000003</v>
      </c>
      <c r="H4285">
        <f t="shared" si="66"/>
        <v>1277.73</v>
      </c>
    </row>
    <row r="4286" spans="1:8" x14ac:dyDescent="0.25">
      <c r="A4286" s="1" t="s">
        <v>4299</v>
      </c>
      <c r="B4286" s="5">
        <v>45836.5</v>
      </c>
      <c r="C4286" s="1" t="s">
        <v>8</v>
      </c>
      <c r="D4286" s="1" t="s">
        <v>9</v>
      </c>
      <c r="E4286" s="1">
        <v>15</v>
      </c>
      <c r="F4286" s="1">
        <v>208.49</v>
      </c>
      <c r="G4286" s="1">
        <v>49.89</v>
      </c>
      <c r="H4286">
        <f t="shared" si="66"/>
        <v>3127.3500000000004</v>
      </c>
    </row>
    <row r="4287" spans="1:8" x14ac:dyDescent="0.25">
      <c r="A4287" s="1" t="s">
        <v>4300</v>
      </c>
      <c r="B4287" s="5">
        <v>45836.541666666664</v>
      </c>
      <c r="C4287" s="1" t="s">
        <v>11</v>
      </c>
      <c r="D4287" s="1" t="s">
        <v>9</v>
      </c>
      <c r="E4287" s="1">
        <v>10</v>
      </c>
      <c r="F4287" s="1">
        <v>302.95</v>
      </c>
      <c r="G4287" s="1">
        <v>34.979999999999997</v>
      </c>
      <c r="H4287">
        <f t="shared" si="66"/>
        <v>3029.5</v>
      </c>
    </row>
    <row r="4288" spans="1:8" x14ac:dyDescent="0.25">
      <c r="A4288" s="1" t="s">
        <v>4301</v>
      </c>
      <c r="B4288" s="5">
        <v>45836.583333333336</v>
      </c>
      <c r="C4288" s="1" t="s">
        <v>11</v>
      </c>
      <c r="D4288" s="1" t="s">
        <v>19</v>
      </c>
      <c r="E4288" s="1">
        <v>8</v>
      </c>
      <c r="F4288" s="1">
        <v>314.69</v>
      </c>
      <c r="G4288" s="1">
        <v>16.809999999999999</v>
      </c>
      <c r="H4288">
        <f t="shared" si="66"/>
        <v>2517.52</v>
      </c>
    </row>
    <row r="4289" spans="1:8" x14ac:dyDescent="0.25">
      <c r="A4289" s="1" t="s">
        <v>4302</v>
      </c>
      <c r="B4289" s="5">
        <v>45836.625</v>
      </c>
      <c r="C4289" s="1" t="s">
        <v>13</v>
      </c>
      <c r="D4289" s="1" t="s">
        <v>19</v>
      </c>
      <c r="E4289" s="1">
        <v>12</v>
      </c>
      <c r="F4289" s="1">
        <v>394.2</v>
      </c>
      <c r="G4289" s="1">
        <v>14.15</v>
      </c>
      <c r="H4289">
        <f t="shared" si="66"/>
        <v>4730.3999999999996</v>
      </c>
    </row>
    <row r="4290" spans="1:8" x14ac:dyDescent="0.25">
      <c r="A4290" s="1" t="s">
        <v>4303</v>
      </c>
      <c r="B4290" s="5">
        <v>45836.666666666664</v>
      </c>
      <c r="C4290" s="1" t="s">
        <v>8</v>
      </c>
      <c r="D4290" s="1" t="s">
        <v>19</v>
      </c>
      <c r="E4290" s="1">
        <v>15</v>
      </c>
      <c r="F4290" s="1">
        <v>30.2</v>
      </c>
      <c r="G4290" s="1">
        <v>28.67</v>
      </c>
      <c r="H4290">
        <f t="shared" ref="H4290:H4353" si="67">E4290*F4290</f>
        <v>453</v>
      </c>
    </row>
    <row r="4291" spans="1:8" x14ac:dyDescent="0.25">
      <c r="A4291" s="1" t="s">
        <v>4304</v>
      </c>
      <c r="B4291" s="5">
        <v>45836.708333333336</v>
      </c>
      <c r="C4291" s="1" t="s">
        <v>23</v>
      </c>
      <c r="D4291" s="1" t="s">
        <v>19</v>
      </c>
      <c r="E4291" s="1">
        <v>9</v>
      </c>
      <c r="F4291" s="1">
        <v>191.18</v>
      </c>
      <c r="G4291" s="1">
        <v>7.93</v>
      </c>
      <c r="H4291">
        <f t="shared" si="67"/>
        <v>1720.6200000000001</v>
      </c>
    </row>
    <row r="4292" spans="1:8" x14ac:dyDescent="0.25">
      <c r="A4292" s="1" t="s">
        <v>4305</v>
      </c>
      <c r="B4292" s="5">
        <v>45836.75</v>
      </c>
      <c r="C4292" s="1" t="s">
        <v>8</v>
      </c>
      <c r="D4292" s="1" t="s">
        <v>9</v>
      </c>
      <c r="E4292" s="1">
        <v>10</v>
      </c>
      <c r="F4292" s="1">
        <v>356.47</v>
      </c>
      <c r="G4292" s="1">
        <v>22.97</v>
      </c>
      <c r="H4292">
        <f t="shared" si="67"/>
        <v>3564.7000000000003</v>
      </c>
    </row>
    <row r="4293" spans="1:8" x14ac:dyDescent="0.25">
      <c r="A4293" s="1" t="s">
        <v>4306</v>
      </c>
      <c r="B4293" s="5">
        <v>45836.791666666664</v>
      </c>
      <c r="C4293" s="1" t="s">
        <v>11</v>
      </c>
      <c r="D4293" s="1" t="s">
        <v>16</v>
      </c>
      <c r="E4293" s="1">
        <v>9</v>
      </c>
      <c r="F4293" s="1">
        <v>369.56</v>
      </c>
      <c r="G4293" s="1">
        <v>34.979999999999997</v>
      </c>
      <c r="H4293">
        <f t="shared" si="67"/>
        <v>3326.04</v>
      </c>
    </row>
    <row r="4294" spans="1:8" x14ac:dyDescent="0.25">
      <c r="A4294" s="1" t="s">
        <v>4307</v>
      </c>
      <c r="B4294" s="5">
        <v>45836.833333333336</v>
      </c>
      <c r="C4294" s="1" t="s">
        <v>11</v>
      </c>
      <c r="D4294" s="1" t="s">
        <v>16</v>
      </c>
      <c r="E4294" s="1">
        <v>15</v>
      </c>
      <c r="F4294" s="1">
        <v>418.43</v>
      </c>
      <c r="G4294" s="1">
        <v>48.54</v>
      </c>
      <c r="H4294">
        <f t="shared" si="67"/>
        <v>6276.45</v>
      </c>
    </row>
    <row r="4295" spans="1:8" x14ac:dyDescent="0.25">
      <c r="A4295" s="1" t="s">
        <v>4308</v>
      </c>
      <c r="B4295" s="5">
        <v>45836.875</v>
      </c>
      <c r="C4295" s="1" t="s">
        <v>13</v>
      </c>
      <c r="D4295" s="1" t="s">
        <v>37</v>
      </c>
      <c r="E4295" s="1">
        <v>1</v>
      </c>
      <c r="F4295" s="1">
        <v>320.86</v>
      </c>
      <c r="G4295" s="1">
        <v>24.15</v>
      </c>
      <c r="H4295">
        <f t="shared" si="67"/>
        <v>320.86</v>
      </c>
    </row>
    <row r="4296" spans="1:8" x14ac:dyDescent="0.25">
      <c r="A4296" s="1" t="s">
        <v>4309</v>
      </c>
      <c r="B4296" s="5">
        <v>45836.916666666664</v>
      </c>
      <c r="C4296" s="1" t="s">
        <v>13</v>
      </c>
      <c r="D4296" s="1" t="s">
        <v>16</v>
      </c>
      <c r="E4296" s="1">
        <v>2</v>
      </c>
      <c r="F4296" s="1">
        <v>122.02</v>
      </c>
      <c r="G4296" s="1">
        <v>14.01</v>
      </c>
      <c r="H4296">
        <f t="shared" si="67"/>
        <v>244.04</v>
      </c>
    </row>
    <row r="4297" spans="1:8" x14ac:dyDescent="0.25">
      <c r="A4297" s="1" t="s">
        <v>4310</v>
      </c>
      <c r="B4297" s="5">
        <v>45836.958333333336</v>
      </c>
      <c r="C4297" s="1" t="s">
        <v>11</v>
      </c>
      <c r="D4297" s="1" t="s">
        <v>9</v>
      </c>
      <c r="E4297" s="1">
        <v>19</v>
      </c>
      <c r="F4297" s="1">
        <v>235.21</v>
      </c>
      <c r="G4297" s="1">
        <v>41.78</v>
      </c>
      <c r="H4297">
        <f t="shared" si="67"/>
        <v>4468.99</v>
      </c>
    </row>
    <row r="4298" spans="1:8" x14ac:dyDescent="0.25">
      <c r="A4298" s="1" t="s">
        <v>4311</v>
      </c>
      <c r="B4298" s="5">
        <v>45837</v>
      </c>
      <c r="C4298" s="1" t="s">
        <v>23</v>
      </c>
      <c r="D4298" s="1" t="s">
        <v>9</v>
      </c>
      <c r="E4298" s="1">
        <v>14</v>
      </c>
      <c r="F4298" s="1">
        <v>29.55</v>
      </c>
      <c r="G4298" s="1">
        <v>38.49</v>
      </c>
      <c r="H4298">
        <f t="shared" si="67"/>
        <v>413.7</v>
      </c>
    </row>
    <row r="4299" spans="1:8" x14ac:dyDescent="0.25">
      <c r="A4299" s="1" t="s">
        <v>4312</v>
      </c>
      <c r="B4299" s="5">
        <v>45837.041666666664</v>
      </c>
      <c r="C4299" s="1" t="s">
        <v>23</v>
      </c>
      <c r="D4299" s="1" t="s">
        <v>9</v>
      </c>
      <c r="E4299" s="1">
        <v>8</v>
      </c>
      <c r="F4299" s="1">
        <v>296.58999999999997</v>
      </c>
      <c r="G4299" s="1">
        <v>43.69</v>
      </c>
      <c r="H4299">
        <f t="shared" si="67"/>
        <v>2372.7199999999998</v>
      </c>
    </row>
    <row r="4300" spans="1:8" x14ac:dyDescent="0.25">
      <c r="A4300" s="1" t="s">
        <v>4313</v>
      </c>
      <c r="B4300" s="5">
        <v>45837.083333333336</v>
      </c>
      <c r="C4300" s="1" t="s">
        <v>8</v>
      </c>
      <c r="D4300" s="1" t="s">
        <v>37</v>
      </c>
      <c r="E4300" s="1">
        <v>6</v>
      </c>
      <c r="F4300" s="1">
        <v>256.33999999999997</v>
      </c>
      <c r="G4300" s="1">
        <v>14.66</v>
      </c>
      <c r="H4300">
        <f t="shared" si="67"/>
        <v>1538.04</v>
      </c>
    </row>
    <row r="4301" spans="1:8" x14ac:dyDescent="0.25">
      <c r="A4301" s="1" t="s">
        <v>4314</v>
      </c>
      <c r="B4301" s="5">
        <v>45837.125</v>
      </c>
      <c r="C4301" s="1" t="s">
        <v>11</v>
      </c>
      <c r="D4301" s="1" t="s">
        <v>19</v>
      </c>
      <c r="E4301" s="1">
        <v>12</v>
      </c>
      <c r="F4301" s="1">
        <v>305.24</v>
      </c>
      <c r="G4301" s="1">
        <v>23.22</v>
      </c>
      <c r="H4301">
        <f t="shared" si="67"/>
        <v>3662.88</v>
      </c>
    </row>
    <row r="4302" spans="1:8" x14ac:dyDescent="0.25">
      <c r="A4302" s="1" t="s">
        <v>4315</v>
      </c>
      <c r="B4302" s="5">
        <v>45837.166666666664</v>
      </c>
      <c r="C4302" s="1" t="s">
        <v>11</v>
      </c>
      <c r="D4302" s="1" t="s">
        <v>16</v>
      </c>
      <c r="E4302" s="1">
        <v>15</v>
      </c>
      <c r="F4302" s="1">
        <v>419.65</v>
      </c>
      <c r="G4302" s="1">
        <v>49.17</v>
      </c>
      <c r="H4302">
        <f t="shared" si="67"/>
        <v>6294.75</v>
      </c>
    </row>
    <row r="4303" spans="1:8" x14ac:dyDescent="0.25">
      <c r="A4303" s="1" t="s">
        <v>4316</v>
      </c>
      <c r="B4303" s="5">
        <v>45837.208333333336</v>
      </c>
      <c r="C4303" s="1" t="s">
        <v>23</v>
      </c>
      <c r="D4303" s="1" t="s">
        <v>9</v>
      </c>
      <c r="E4303" s="1">
        <v>14</v>
      </c>
      <c r="F4303" s="1">
        <v>314.12</v>
      </c>
      <c r="G4303" s="1">
        <v>12.11</v>
      </c>
      <c r="H4303">
        <f t="shared" si="67"/>
        <v>4397.68</v>
      </c>
    </row>
    <row r="4304" spans="1:8" x14ac:dyDescent="0.25">
      <c r="A4304" s="1" t="s">
        <v>4317</v>
      </c>
      <c r="B4304" s="5">
        <v>45837.25</v>
      </c>
      <c r="C4304" s="1" t="s">
        <v>23</v>
      </c>
      <c r="D4304" s="1" t="s">
        <v>9</v>
      </c>
      <c r="E4304" s="1">
        <v>1</v>
      </c>
      <c r="F4304" s="1">
        <v>154.74</v>
      </c>
      <c r="G4304" s="1">
        <v>35.22</v>
      </c>
      <c r="H4304">
        <f t="shared" si="67"/>
        <v>154.74</v>
      </c>
    </row>
    <row r="4305" spans="1:8" x14ac:dyDescent="0.25">
      <c r="A4305" s="1" t="s">
        <v>4318</v>
      </c>
      <c r="B4305" s="5">
        <v>45837.291666666664</v>
      </c>
      <c r="C4305" s="1" t="s">
        <v>11</v>
      </c>
      <c r="D4305" s="1" t="s">
        <v>19</v>
      </c>
      <c r="E4305" s="1">
        <v>11</v>
      </c>
      <c r="F4305" s="1">
        <v>101.85</v>
      </c>
      <c r="G4305" s="1">
        <v>15.67</v>
      </c>
      <c r="H4305">
        <f t="shared" si="67"/>
        <v>1120.3499999999999</v>
      </c>
    </row>
    <row r="4306" spans="1:8" x14ac:dyDescent="0.25">
      <c r="A4306" s="1" t="s">
        <v>4319</v>
      </c>
      <c r="B4306" s="5">
        <v>45837.333333333336</v>
      </c>
      <c r="C4306" s="1" t="s">
        <v>13</v>
      </c>
      <c r="D4306" s="1" t="s">
        <v>9</v>
      </c>
      <c r="E4306" s="1">
        <v>3</v>
      </c>
      <c r="F4306" s="1">
        <v>386.84</v>
      </c>
      <c r="G4306" s="1">
        <v>27.51</v>
      </c>
      <c r="H4306">
        <f t="shared" si="67"/>
        <v>1160.52</v>
      </c>
    </row>
    <row r="4307" spans="1:8" x14ac:dyDescent="0.25">
      <c r="A4307" s="1" t="s">
        <v>4320</v>
      </c>
      <c r="B4307" s="5">
        <v>45837.375</v>
      </c>
      <c r="C4307" s="1" t="s">
        <v>11</v>
      </c>
      <c r="D4307" s="1" t="s">
        <v>16</v>
      </c>
      <c r="E4307" s="1">
        <v>19</v>
      </c>
      <c r="F4307" s="1">
        <v>99.94</v>
      </c>
      <c r="G4307" s="1">
        <v>41.02</v>
      </c>
      <c r="H4307">
        <f t="shared" si="67"/>
        <v>1898.86</v>
      </c>
    </row>
    <row r="4308" spans="1:8" x14ac:dyDescent="0.25">
      <c r="A4308" s="1" t="s">
        <v>4321</v>
      </c>
      <c r="B4308" s="5">
        <v>45837.416666666664</v>
      </c>
      <c r="C4308" s="1" t="s">
        <v>11</v>
      </c>
      <c r="D4308" s="1" t="s">
        <v>37</v>
      </c>
      <c r="E4308" s="1">
        <v>18</v>
      </c>
      <c r="F4308" s="1">
        <v>85.72</v>
      </c>
      <c r="G4308" s="1">
        <v>26.99</v>
      </c>
      <c r="H4308">
        <f t="shared" si="67"/>
        <v>1542.96</v>
      </c>
    </row>
    <row r="4309" spans="1:8" x14ac:dyDescent="0.25">
      <c r="A4309" s="1" t="s">
        <v>4322</v>
      </c>
      <c r="B4309" s="5">
        <v>45837.458333333336</v>
      </c>
      <c r="C4309" s="1" t="s">
        <v>23</v>
      </c>
      <c r="D4309" s="1" t="s">
        <v>9</v>
      </c>
      <c r="E4309" s="1">
        <v>2</v>
      </c>
      <c r="F4309" s="1">
        <v>105.27</v>
      </c>
      <c r="G4309" s="1">
        <v>41.25</v>
      </c>
      <c r="H4309">
        <f t="shared" si="67"/>
        <v>210.54</v>
      </c>
    </row>
    <row r="4310" spans="1:8" x14ac:dyDescent="0.25">
      <c r="A4310" s="1" t="s">
        <v>4323</v>
      </c>
      <c r="B4310" s="5">
        <v>45837.5</v>
      </c>
      <c r="C4310" s="1" t="s">
        <v>23</v>
      </c>
      <c r="D4310" s="1" t="s">
        <v>16</v>
      </c>
      <c r="E4310" s="1">
        <v>7</v>
      </c>
      <c r="F4310" s="1">
        <v>236.59</v>
      </c>
      <c r="G4310" s="1">
        <v>24.19</v>
      </c>
      <c r="H4310">
        <f t="shared" si="67"/>
        <v>1656.13</v>
      </c>
    </row>
    <row r="4311" spans="1:8" x14ac:dyDescent="0.25">
      <c r="A4311" s="1" t="s">
        <v>4324</v>
      </c>
      <c r="B4311" s="5">
        <v>45837.541666666664</v>
      </c>
      <c r="C4311" s="1" t="s">
        <v>13</v>
      </c>
      <c r="D4311" s="1" t="s">
        <v>9</v>
      </c>
      <c r="E4311" s="1">
        <v>8</v>
      </c>
      <c r="F4311" s="1">
        <v>69.459999999999994</v>
      </c>
      <c r="G4311" s="1">
        <v>49.97</v>
      </c>
      <c r="H4311">
        <f t="shared" si="67"/>
        <v>555.67999999999995</v>
      </c>
    </row>
    <row r="4312" spans="1:8" x14ac:dyDescent="0.25">
      <c r="A4312" s="1" t="s">
        <v>4325</v>
      </c>
      <c r="B4312" s="5">
        <v>45837.583333333336</v>
      </c>
      <c r="C4312" s="1" t="s">
        <v>13</v>
      </c>
      <c r="D4312" s="1" t="s">
        <v>19</v>
      </c>
      <c r="E4312" s="1">
        <v>19</v>
      </c>
      <c r="F4312" s="1">
        <v>423.11</v>
      </c>
      <c r="G4312" s="1">
        <v>24.61</v>
      </c>
      <c r="H4312">
        <f t="shared" si="67"/>
        <v>8039.09</v>
      </c>
    </row>
    <row r="4313" spans="1:8" x14ac:dyDescent="0.25">
      <c r="A4313" s="1" t="s">
        <v>4326</v>
      </c>
      <c r="B4313" s="5">
        <v>45837.625</v>
      </c>
      <c r="C4313" s="1" t="s">
        <v>8</v>
      </c>
      <c r="D4313" s="1" t="s">
        <v>9</v>
      </c>
      <c r="E4313" s="1">
        <v>15</v>
      </c>
      <c r="F4313" s="1">
        <v>435.34</v>
      </c>
      <c r="G4313" s="1">
        <v>11.72</v>
      </c>
      <c r="H4313">
        <f t="shared" si="67"/>
        <v>6530.0999999999995</v>
      </c>
    </row>
    <row r="4314" spans="1:8" x14ac:dyDescent="0.25">
      <c r="A4314" s="1" t="s">
        <v>4327</v>
      </c>
      <c r="B4314" s="5">
        <v>45837.666666666664</v>
      </c>
      <c r="C4314" s="1" t="s">
        <v>11</v>
      </c>
      <c r="D4314" s="1" t="s">
        <v>9</v>
      </c>
      <c r="E4314" s="1">
        <v>10</v>
      </c>
      <c r="F4314" s="1">
        <v>438.62</v>
      </c>
      <c r="G4314" s="1">
        <v>23.08</v>
      </c>
      <c r="H4314">
        <f t="shared" si="67"/>
        <v>4386.2</v>
      </c>
    </row>
    <row r="4315" spans="1:8" x14ac:dyDescent="0.25">
      <c r="A4315" s="1" t="s">
        <v>4328</v>
      </c>
      <c r="B4315" s="5">
        <v>45837.708333333336</v>
      </c>
      <c r="C4315" s="1" t="s">
        <v>23</v>
      </c>
      <c r="D4315" s="1" t="s">
        <v>37</v>
      </c>
      <c r="E4315" s="1">
        <v>1</v>
      </c>
      <c r="F4315" s="1">
        <v>32.5</v>
      </c>
      <c r="G4315" s="1">
        <v>38.42</v>
      </c>
      <c r="H4315">
        <f t="shared" si="67"/>
        <v>32.5</v>
      </c>
    </row>
    <row r="4316" spans="1:8" x14ac:dyDescent="0.25">
      <c r="A4316" s="1" t="s">
        <v>4329</v>
      </c>
      <c r="B4316" s="5">
        <v>45837.75</v>
      </c>
      <c r="C4316" s="1" t="s">
        <v>13</v>
      </c>
      <c r="D4316" s="1" t="s">
        <v>19</v>
      </c>
      <c r="E4316" s="1">
        <v>6</v>
      </c>
      <c r="F4316" s="1">
        <v>426.62</v>
      </c>
      <c r="G4316" s="1">
        <v>43.16</v>
      </c>
      <c r="H4316">
        <f t="shared" si="67"/>
        <v>2559.7200000000003</v>
      </c>
    </row>
    <row r="4317" spans="1:8" x14ac:dyDescent="0.25">
      <c r="A4317" s="1" t="s">
        <v>4330</v>
      </c>
      <c r="B4317" s="5">
        <v>45837.791666666664</v>
      </c>
      <c r="C4317" s="1" t="s">
        <v>8</v>
      </c>
      <c r="D4317" s="1" t="s">
        <v>19</v>
      </c>
      <c r="E4317" s="1">
        <v>13</v>
      </c>
      <c r="F4317" s="1">
        <v>448.88</v>
      </c>
      <c r="G4317" s="1">
        <v>25.7</v>
      </c>
      <c r="H4317">
        <f t="shared" si="67"/>
        <v>5835.44</v>
      </c>
    </row>
    <row r="4318" spans="1:8" x14ac:dyDescent="0.25">
      <c r="A4318" s="1" t="s">
        <v>4331</v>
      </c>
      <c r="B4318" s="5">
        <v>45837.833333333336</v>
      </c>
      <c r="C4318" s="1" t="s">
        <v>8</v>
      </c>
      <c r="D4318" s="1" t="s">
        <v>37</v>
      </c>
      <c r="E4318" s="1">
        <v>14</v>
      </c>
      <c r="F4318" s="1">
        <v>424.99</v>
      </c>
      <c r="G4318" s="1">
        <v>31.75</v>
      </c>
      <c r="H4318">
        <f t="shared" si="67"/>
        <v>5949.8600000000006</v>
      </c>
    </row>
    <row r="4319" spans="1:8" x14ac:dyDescent="0.25">
      <c r="A4319" s="1" t="s">
        <v>4332</v>
      </c>
      <c r="B4319" s="5">
        <v>45837.875</v>
      </c>
      <c r="C4319" s="1" t="s">
        <v>23</v>
      </c>
      <c r="D4319" s="1" t="s">
        <v>9</v>
      </c>
      <c r="E4319" s="1">
        <v>3</v>
      </c>
      <c r="F4319" s="1">
        <v>307.02</v>
      </c>
      <c r="G4319" s="1">
        <v>43.02</v>
      </c>
      <c r="H4319">
        <f t="shared" si="67"/>
        <v>921.06</v>
      </c>
    </row>
    <row r="4320" spans="1:8" x14ac:dyDescent="0.25">
      <c r="A4320" s="1" t="s">
        <v>4333</v>
      </c>
      <c r="B4320" s="5">
        <v>45837.916666666664</v>
      </c>
      <c r="C4320" s="1" t="s">
        <v>23</v>
      </c>
      <c r="D4320" s="1" t="s">
        <v>16</v>
      </c>
      <c r="E4320" s="1">
        <v>11</v>
      </c>
      <c r="F4320" s="1">
        <v>320.18</v>
      </c>
      <c r="G4320" s="1">
        <v>41.61</v>
      </c>
      <c r="H4320">
        <f t="shared" si="67"/>
        <v>3521.98</v>
      </c>
    </row>
    <row r="4321" spans="1:8" x14ac:dyDescent="0.25">
      <c r="A4321" s="1" t="s">
        <v>4334</v>
      </c>
      <c r="B4321" s="5">
        <v>45837.958333333336</v>
      </c>
      <c r="C4321" s="1" t="s">
        <v>8</v>
      </c>
      <c r="D4321" s="1" t="s">
        <v>19</v>
      </c>
      <c r="E4321" s="1">
        <v>3</v>
      </c>
      <c r="F4321" s="1">
        <v>68.62</v>
      </c>
      <c r="G4321" s="1">
        <v>34.6</v>
      </c>
      <c r="H4321">
        <f t="shared" si="67"/>
        <v>205.86</v>
      </c>
    </row>
    <row r="4322" spans="1:8" x14ac:dyDescent="0.25">
      <c r="A4322" s="1" t="s">
        <v>4335</v>
      </c>
      <c r="B4322" s="5">
        <v>45838</v>
      </c>
      <c r="C4322" s="1" t="s">
        <v>13</v>
      </c>
      <c r="D4322" s="1" t="s">
        <v>19</v>
      </c>
      <c r="E4322" s="1">
        <v>19</v>
      </c>
      <c r="F4322" s="1">
        <v>395.38</v>
      </c>
      <c r="G4322" s="1">
        <v>41.68</v>
      </c>
      <c r="H4322">
        <f t="shared" si="67"/>
        <v>7512.22</v>
      </c>
    </row>
    <row r="4323" spans="1:8" x14ac:dyDescent="0.25">
      <c r="A4323" s="1" t="s">
        <v>4336</v>
      </c>
      <c r="B4323" s="5">
        <v>45838.041666666664</v>
      </c>
      <c r="C4323" s="1" t="s">
        <v>8</v>
      </c>
      <c r="D4323" s="1" t="s">
        <v>9</v>
      </c>
      <c r="E4323" s="1">
        <v>10</v>
      </c>
      <c r="F4323" s="1">
        <v>41.41</v>
      </c>
      <c r="G4323" s="1">
        <v>30.92</v>
      </c>
      <c r="H4323">
        <f t="shared" si="67"/>
        <v>414.09999999999997</v>
      </c>
    </row>
    <row r="4324" spans="1:8" x14ac:dyDescent="0.25">
      <c r="A4324" s="1" t="s">
        <v>4337</v>
      </c>
      <c r="B4324" s="5">
        <v>45838.083333333336</v>
      </c>
      <c r="C4324" s="1" t="s">
        <v>11</v>
      </c>
      <c r="D4324" s="1" t="s">
        <v>9</v>
      </c>
      <c r="E4324" s="1">
        <v>15</v>
      </c>
      <c r="F4324" s="1">
        <v>153.55000000000001</v>
      </c>
      <c r="G4324" s="1">
        <v>5.21</v>
      </c>
      <c r="H4324">
        <f t="shared" si="67"/>
        <v>2303.25</v>
      </c>
    </row>
    <row r="4325" spans="1:8" x14ac:dyDescent="0.25">
      <c r="A4325" s="1" t="s">
        <v>4338</v>
      </c>
      <c r="B4325" s="5">
        <v>45838.125</v>
      </c>
      <c r="C4325" s="1" t="s">
        <v>11</v>
      </c>
      <c r="D4325" s="1" t="s">
        <v>19</v>
      </c>
      <c r="E4325" s="1">
        <v>11</v>
      </c>
      <c r="F4325" s="1">
        <v>446.16</v>
      </c>
      <c r="G4325" s="1">
        <v>6.86</v>
      </c>
      <c r="H4325">
        <f t="shared" si="67"/>
        <v>4907.76</v>
      </c>
    </row>
    <row r="4326" spans="1:8" x14ac:dyDescent="0.25">
      <c r="A4326" s="1" t="s">
        <v>4339</v>
      </c>
      <c r="B4326" s="5">
        <v>45838.166666666664</v>
      </c>
      <c r="C4326" s="1" t="s">
        <v>23</v>
      </c>
      <c r="D4326" s="1" t="s">
        <v>9</v>
      </c>
      <c r="E4326" s="1">
        <v>15</v>
      </c>
      <c r="F4326" s="1">
        <v>199</v>
      </c>
      <c r="G4326" s="1">
        <v>49.09</v>
      </c>
      <c r="H4326">
        <f t="shared" si="67"/>
        <v>2985</v>
      </c>
    </row>
    <row r="4327" spans="1:8" x14ac:dyDescent="0.25">
      <c r="A4327" s="1" t="s">
        <v>4340</v>
      </c>
      <c r="B4327" s="5">
        <v>45838.208333333336</v>
      </c>
      <c r="C4327" s="1" t="s">
        <v>13</v>
      </c>
      <c r="D4327" s="1" t="s">
        <v>16</v>
      </c>
      <c r="E4327" s="1">
        <v>13</v>
      </c>
      <c r="F4327" s="1">
        <v>72.489999999999995</v>
      </c>
      <c r="G4327" s="1">
        <v>11.52</v>
      </c>
      <c r="H4327">
        <f t="shared" si="67"/>
        <v>942.36999999999989</v>
      </c>
    </row>
    <row r="4328" spans="1:8" x14ac:dyDescent="0.25">
      <c r="A4328" s="1" t="s">
        <v>4341</v>
      </c>
      <c r="B4328" s="5">
        <v>45838.25</v>
      </c>
      <c r="C4328" s="1" t="s">
        <v>13</v>
      </c>
      <c r="D4328" s="1" t="s">
        <v>19</v>
      </c>
      <c r="E4328" s="1">
        <v>5</v>
      </c>
      <c r="F4328" s="1">
        <v>436.66</v>
      </c>
      <c r="G4328" s="1">
        <v>23.2</v>
      </c>
      <c r="H4328">
        <f t="shared" si="67"/>
        <v>2183.3000000000002</v>
      </c>
    </row>
    <row r="4329" spans="1:8" x14ac:dyDescent="0.25">
      <c r="A4329" s="1" t="s">
        <v>4342</v>
      </c>
      <c r="B4329" s="5">
        <v>45838.291666666664</v>
      </c>
      <c r="C4329" s="1" t="s">
        <v>11</v>
      </c>
      <c r="D4329" s="1" t="s">
        <v>16</v>
      </c>
      <c r="E4329" s="1">
        <v>4</v>
      </c>
      <c r="F4329" s="1">
        <v>443.11</v>
      </c>
      <c r="G4329" s="1">
        <v>47.02</v>
      </c>
      <c r="H4329">
        <f t="shared" si="67"/>
        <v>1772.44</v>
      </c>
    </row>
    <row r="4330" spans="1:8" x14ac:dyDescent="0.25">
      <c r="A4330" s="1" t="s">
        <v>4343</v>
      </c>
      <c r="B4330" s="5">
        <v>45838.333333333336</v>
      </c>
      <c r="C4330" s="1" t="s">
        <v>8</v>
      </c>
      <c r="D4330" s="1" t="s">
        <v>16</v>
      </c>
      <c r="E4330" s="1">
        <v>13</v>
      </c>
      <c r="F4330" s="1">
        <v>96.77</v>
      </c>
      <c r="G4330" s="1">
        <v>13.78</v>
      </c>
      <c r="H4330">
        <f t="shared" si="67"/>
        <v>1258.01</v>
      </c>
    </row>
    <row r="4331" spans="1:8" x14ac:dyDescent="0.25">
      <c r="A4331" s="1" t="s">
        <v>4344</v>
      </c>
      <c r="B4331" s="5">
        <v>45838.375</v>
      </c>
      <c r="C4331" s="1" t="s">
        <v>23</v>
      </c>
      <c r="D4331" s="1" t="s">
        <v>9</v>
      </c>
      <c r="E4331" s="1">
        <v>9</v>
      </c>
      <c r="F4331" s="1">
        <v>391.26</v>
      </c>
      <c r="G4331" s="1">
        <v>42.97</v>
      </c>
      <c r="H4331">
        <f t="shared" si="67"/>
        <v>3521.34</v>
      </c>
    </row>
    <row r="4332" spans="1:8" x14ac:dyDescent="0.25">
      <c r="A4332" s="1" t="s">
        <v>4345</v>
      </c>
      <c r="B4332" s="5">
        <v>45838.416666666664</v>
      </c>
      <c r="C4332" s="1" t="s">
        <v>8</v>
      </c>
      <c r="D4332" s="1" t="s">
        <v>16</v>
      </c>
      <c r="E4332" s="1">
        <v>17</v>
      </c>
      <c r="F4332" s="1">
        <v>185.14</v>
      </c>
      <c r="G4332" s="1">
        <v>41.82</v>
      </c>
      <c r="H4332">
        <f t="shared" si="67"/>
        <v>3147.3799999999997</v>
      </c>
    </row>
    <row r="4333" spans="1:8" x14ac:dyDescent="0.25">
      <c r="A4333" s="1" t="s">
        <v>4346</v>
      </c>
      <c r="B4333" s="5">
        <v>45838.458333333336</v>
      </c>
      <c r="C4333" s="1" t="s">
        <v>8</v>
      </c>
      <c r="D4333" s="1" t="s">
        <v>9</v>
      </c>
      <c r="E4333" s="1">
        <v>2</v>
      </c>
      <c r="F4333" s="1">
        <v>181.2</v>
      </c>
      <c r="G4333" s="1">
        <v>49.38</v>
      </c>
      <c r="H4333">
        <f t="shared" si="67"/>
        <v>362.4</v>
      </c>
    </row>
    <row r="4334" spans="1:8" x14ac:dyDescent="0.25">
      <c r="A4334" s="1" t="s">
        <v>4347</v>
      </c>
      <c r="B4334" s="5">
        <v>45838.5</v>
      </c>
      <c r="C4334" s="1" t="s">
        <v>8</v>
      </c>
      <c r="D4334" s="1" t="s">
        <v>37</v>
      </c>
      <c r="E4334" s="1">
        <v>5</v>
      </c>
      <c r="F4334" s="1">
        <v>129.63999999999999</v>
      </c>
      <c r="G4334" s="1">
        <v>17.68</v>
      </c>
      <c r="H4334">
        <f t="shared" si="67"/>
        <v>648.19999999999993</v>
      </c>
    </row>
    <row r="4335" spans="1:8" x14ac:dyDescent="0.25">
      <c r="A4335" s="1" t="s">
        <v>4348</v>
      </c>
      <c r="B4335" s="5">
        <v>45838.541666666664</v>
      </c>
      <c r="C4335" s="1" t="s">
        <v>13</v>
      </c>
      <c r="D4335" s="1" t="s">
        <v>9</v>
      </c>
      <c r="E4335" s="1">
        <v>16</v>
      </c>
      <c r="F4335" s="1">
        <v>34.93</v>
      </c>
      <c r="G4335" s="1">
        <v>19.190000000000001</v>
      </c>
      <c r="H4335">
        <f t="shared" si="67"/>
        <v>558.88</v>
      </c>
    </row>
    <row r="4336" spans="1:8" x14ac:dyDescent="0.25">
      <c r="A4336" s="1" t="s">
        <v>4349</v>
      </c>
      <c r="B4336" s="5">
        <v>45838.583333333336</v>
      </c>
      <c r="C4336" s="1" t="s">
        <v>11</v>
      </c>
      <c r="D4336" s="1" t="s">
        <v>16</v>
      </c>
      <c r="E4336" s="1">
        <v>7</v>
      </c>
      <c r="F4336" s="1">
        <v>131.94999999999999</v>
      </c>
      <c r="G4336" s="1">
        <v>45.63</v>
      </c>
      <c r="H4336">
        <f t="shared" si="67"/>
        <v>923.64999999999986</v>
      </c>
    </row>
    <row r="4337" spans="1:8" x14ac:dyDescent="0.25">
      <c r="A4337" s="1" t="s">
        <v>4350</v>
      </c>
      <c r="B4337" s="5">
        <v>45838.625</v>
      </c>
      <c r="C4337" s="1" t="s">
        <v>13</v>
      </c>
      <c r="D4337" s="1" t="s">
        <v>37</v>
      </c>
      <c r="E4337" s="1">
        <v>1</v>
      </c>
      <c r="F4337" s="1">
        <v>38.869999999999997</v>
      </c>
      <c r="G4337" s="1">
        <v>15.53</v>
      </c>
      <c r="H4337">
        <f t="shared" si="67"/>
        <v>38.869999999999997</v>
      </c>
    </row>
    <row r="4338" spans="1:8" x14ac:dyDescent="0.25">
      <c r="A4338" s="1" t="s">
        <v>4351</v>
      </c>
      <c r="B4338" s="5">
        <v>45838.666666666664</v>
      </c>
      <c r="C4338" s="1" t="s">
        <v>11</v>
      </c>
      <c r="D4338" s="1" t="s">
        <v>9</v>
      </c>
      <c r="E4338" s="1">
        <v>12</v>
      </c>
      <c r="F4338" s="1">
        <v>417.14</v>
      </c>
      <c r="G4338" s="1">
        <v>29.66</v>
      </c>
      <c r="H4338">
        <f t="shared" si="67"/>
        <v>5005.68</v>
      </c>
    </row>
    <row r="4339" spans="1:8" x14ac:dyDescent="0.25">
      <c r="A4339" s="1" t="s">
        <v>4352</v>
      </c>
      <c r="B4339" s="5">
        <v>45838.708333333336</v>
      </c>
      <c r="C4339" s="1" t="s">
        <v>23</v>
      </c>
      <c r="D4339" s="1" t="s">
        <v>16</v>
      </c>
      <c r="E4339" s="1">
        <v>11</v>
      </c>
      <c r="F4339" s="1">
        <v>303.02</v>
      </c>
      <c r="G4339" s="1">
        <v>36.83</v>
      </c>
      <c r="H4339">
        <f t="shared" si="67"/>
        <v>3333.22</v>
      </c>
    </row>
    <row r="4340" spans="1:8" x14ac:dyDescent="0.25">
      <c r="A4340" s="1" t="s">
        <v>4353</v>
      </c>
      <c r="B4340" s="5">
        <v>45838.75</v>
      </c>
      <c r="C4340" s="1" t="s">
        <v>23</v>
      </c>
      <c r="D4340" s="1" t="s">
        <v>19</v>
      </c>
      <c r="E4340" s="1">
        <v>12</v>
      </c>
      <c r="F4340" s="1">
        <v>400.74</v>
      </c>
      <c r="G4340" s="1">
        <v>17.23</v>
      </c>
      <c r="H4340">
        <f t="shared" si="67"/>
        <v>4808.88</v>
      </c>
    </row>
    <row r="4341" spans="1:8" x14ac:dyDescent="0.25">
      <c r="A4341" s="1" t="s">
        <v>4354</v>
      </c>
      <c r="B4341" s="5">
        <v>45838.791666666664</v>
      </c>
      <c r="C4341" s="1" t="s">
        <v>8</v>
      </c>
      <c r="D4341" s="1" t="s">
        <v>19</v>
      </c>
      <c r="E4341" s="1">
        <v>19</v>
      </c>
      <c r="F4341" s="1">
        <v>327.16000000000003</v>
      </c>
      <c r="G4341" s="1">
        <v>47.23</v>
      </c>
      <c r="H4341">
        <f t="shared" si="67"/>
        <v>6216.0400000000009</v>
      </c>
    </row>
    <row r="4342" spans="1:8" x14ac:dyDescent="0.25">
      <c r="A4342" s="1" t="s">
        <v>4355</v>
      </c>
      <c r="B4342" s="5">
        <v>45838.833333333336</v>
      </c>
      <c r="C4342" s="1" t="s">
        <v>11</v>
      </c>
      <c r="D4342" s="1" t="s">
        <v>9</v>
      </c>
      <c r="E4342" s="1">
        <v>12</v>
      </c>
      <c r="F4342" s="1">
        <v>72.540000000000006</v>
      </c>
      <c r="G4342" s="1">
        <v>34.96</v>
      </c>
      <c r="H4342">
        <f t="shared" si="67"/>
        <v>870.48</v>
      </c>
    </row>
    <row r="4343" spans="1:8" x14ac:dyDescent="0.25">
      <c r="A4343" s="1" t="s">
        <v>4356</v>
      </c>
      <c r="B4343" s="5">
        <v>45838.875</v>
      </c>
      <c r="C4343" s="1" t="s">
        <v>11</v>
      </c>
      <c r="D4343" s="1" t="s">
        <v>9</v>
      </c>
      <c r="E4343" s="1">
        <v>12</v>
      </c>
      <c r="F4343" s="1">
        <v>424.18</v>
      </c>
      <c r="G4343" s="1">
        <v>7.12</v>
      </c>
      <c r="H4343">
        <f t="shared" si="67"/>
        <v>5090.16</v>
      </c>
    </row>
    <row r="4344" spans="1:8" x14ac:dyDescent="0.25">
      <c r="A4344" s="1" t="s">
        <v>4357</v>
      </c>
      <c r="B4344" s="5">
        <v>45838.916666666664</v>
      </c>
      <c r="C4344" s="1" t="s">
        <v>11</v>
      </c>
      <c r="D4344" s="1" t="s">
        <v>19</v>
      </c>
      <c r="E4344" s="1">
        <v>14</v>
      </c>
      <c r="F4344" s="1">
        <v>406.5</v>
      </c>
      <c r="G4344" s="1">
        <v>11.11</v>
      </c>
      <c r="H4344">
        <f t="shared" si="67"/>
        <v>5691</v>
      </c>
    </row>
    <row r="4345" spans="1:8" x14ac:dyDescent="0.25">
      <c r="A4345" s="1" t="s">
        <v>4358</v>
      </c>
      <c r="B4345" s="5">
        <v>45838.958333333336</v>
      </c>
      <c r="C4345" s="1" t="s">
        <v>8</v>
      </c>
      <c r="D4345" s="1" t="s">
        <v>16</v>
      </c>
      <c r="E4345" s="1">
        <v>2</v>
      </c>
      <c r="F4345" s="1">
        <v>166.74</v>
      </c>
      <c r="G4345" s="1">
        <v>13.59</v>
      </c>
      <c r="H4345">
        <f t="shared" si="67"/>
        <v>333.48</v>
      </c>
    </row>
    <row r="4346" spans="1:8" x14ac:dyDescent="0.25">
      <c r="A4346" s="1" t="s">
        <v>4359</v>
      </c>
      <c r="B4346" s="5">
        <v>45839</v>
      </c>
      <c r="C4346" s="1" t="s">
        <v>8</v>
      </c>
      <c r="D4346" s="1" t="s">
        <v>16</v>
      </c>
      <c r="E4346" s="1">
        <v>2</v>
      </c>
      <c r="F4346" s="1">
        <v>63.96</v>
      </c>
      <c r="G4346" s="1">
        <v>16.02</v>
      </c>
      <c r="H4346">
        <f t="shared" si="67"/>
        <v>127.92</v>
      </c>
    </row>
    <row r="4347" spans="1:8" x14ac:dyDescent="0.25">
      <c r="A4347" s="1" t="s">
        <v>4360</v>
      </c>
      <c r="B4347" s="5">
        <v>45839.041666666664</v>
      </c>
      <c r="C4347" s="1" t="s">
        <v>23</v>
      </c>
      <c r="D4347" s="1" t="s">
        <v>16</v>
      </c>
      <c r="E4347" s="1">
        <v>4</v>
      </c>
      <c r="F4347" s="1">
        <v>321.45999999999998</v>
      </c>
      <c r="G4347" s="1">
        <v>37.880000000000003</v>
      </c>
      <c r="H4347">
        <f t="shared" si="67"/>
        <v>1285.8399999999999</v>
      </c>
    </row>
    <row r="4348" spans="1:8" x14ac:dyDescent="0.25">
      <c r="A4348" s="1" t="s">
        <v>4361</v>
      </c>
      <c r="B4348" s="5">
        <v>45839.083333333336</v>
      </c>
      <c r="C4348" s="1" t="s">
        <v>13</v>
      </c>
      <c r="D4348" s="1" t="s">
        <v>9</v>
      </c>
      <c r="E4348" s="1">
        <v>16</v>
      </c>
      <c r="F4348" s="1">
        <v>331.97</v>
      </c>
      <c r="G4348" s="1">
        <v>9</v>
      </c>
      <c r="H4348">
        <f t="shared" si="67"/>
        <v>5311.52</v>
      </c>
    </row>
    <row r="4349" spans="1:8" x14ac:dyDescent="0.25">
      <c r="A4349" s="1" t="s">
        <v>4362</v>
      </c>
      <c r="B4349" s="5">
        <v>45839.125</v>
      </c>
      <c r="C4349" s="1" t="s">
        <v>11</v>
      </c>
      <c r="D4349" s="1" t="s">
        <v>37</v>
      </c>
      <c r="E4349" s="1">
        <v>10</v>
      </c>
      <c r="F4349" s="1">
        <v>405.17</v>
      </c>
      <c r="G4349" s="1">
        <v>20.78</v>
      </c>
      <c r="H4349">
        <f t="shared" si="67"/>
        <v>4051.7000000000003</v>
      </c>
    </row>
    <row r="4350" spans="1:8" x14ac:dyDescent="0.25">
      <c r="A4350" s="1" t="s">
        <v>4363</v>
      </c>
      <c r="B4350" s="5">
        <v>45839.166666666664</v>
      </c>
      <c r="C4350" s="1" t="s">
        <v>11</v>
      </c>
      <c r="D4350" s="1" t="s">
        <v>37</v>
      </c>
      <c r="E4350" s="1">
        <v>13</v>
      </c>
      <c r="F4350" s="1">
        <v>38.380000000000003</v>
      </c>
      <c r="G4350" s="1">
        <v>46.01</v>
      </c>
      <c r="H4350">
        <f t="shared" si="67"/>
        <v>498.94000000000005</v>
      </c>
    </row>
    <row r="4351" spans="1:8" x14ac:dyDescent="0.25">
      <c r="A4351" s="1" t="s">
        <v>4364</v>
      </c>
      <c r="B4351" s="5">
        <v>45839.208333333336</v>
      </c>
      <c r="C4351" s="1" t="s">
        <v>13</v>
      </c>
      <c r="D4351" s="1" t="s">
        <v>37</v>
      </c>
      <c r="E4351" s="1">
        <v>2</v>
      </c>
      <c r="F4351" s="1">
        <v>77.069999999999993</v>
      </c>
      <c r="G4351" s="1">
        <v>30.05</v>
      </c>
      <c r="H4351">
        <f t="shared" si="67"/>
        <v>154.13999999999999</v>
      </c>
    </row>
    <row r="4352" spans="1:8" x14ac:dyDescent="0.25">
      <c r="A4352" s="1" t="s">
        <v>4365</v>
      </c>
      <c r="B4352" s="5">
        <v>45839.25</v>
      </c>
      <c r="C4352" s="1" t="s">
        <v>11</v>
      </c>
      <c r="D4352" s="1" t="s">
        <v>37</v>
      </c>
      <c r="E4352" s="1">
        <v>3</v>
      </c>
      <c r="F4352" s="1">
        <v>275.44</v>
      </c>
      <c r="G4352" s="1">
        <v>16.95</v>
      </c>
      <c r="H4352">
        <f t="shared" si="67"/>
        <v>826.31999999999994</v>
      </c>
    </row>
    <row r="4353" spans="1:8" x14ac:dyDescent="0.25">
      <c r="A4353" s="1" t="s">
        <v>4366</v>
      </c>
      <c r="B4353" s="5">
        <v>45839.291666666664</v>
      </c>
      <c r="C4353" s="1" t="s">
        <v>8</v>
      </c>
      <c r="D4353" s="1" t="s">
        <v>37</v>
      </c>
      <c r="E4353" s="1">
        <v>19</v>
      </c>
      <c r="F4353" s="1">
        <v>284.51</v>
      </c>
      <c r="G4353" s="1">
        <v>48.07</v>
      </c>
      <c r="H4353">
        <f t="shared" si="67"/>
        <v>5405.69</v>
      </c>
    </row>
    <row r="4354" spans="1:8" x14ac:dyDescent="0.25">
      <c r="A4354" s="1" t="s">
        <v>4367</v>
      </c>
      <c r="B4354" s="5">
        <v>45839.333333333336</v>
      </c>
      <c r="C4354" s="1" t="s">
        <v>8</v>
      </c>
      <c r="D4354" s="1" t="s">
        <v>9</v>
      </c>
      <c r="E4354" s="1">
        <v>6</v>
      </c>
      <c r="F4354" s="1">
        <v>30.1</v>
      </c>
      <c r="G4354" s="1">
        <v>15.99</v>
      </c>
      <c r="H4354">
        <f t="shared" ref="H4354:H4417" si="68">E4354*F4354</f>
        <v>180.60000000000002</v>
      </c>
    </row>
    <row r="4355" spans="1:8" x14ac:dyDescent="0.25">
      <c r="A4355" s="1" t="s">
        <v>4368</v>
      </c>
      <c r="B4355" s="5">
        <v>45839.375</v>
      </c>
      <c r="C4355" s="1" t="s">
        <v>11</v>
      </c>
      <c r="D4355" s="1" t="s">
        <v>9</v>
      </c>
      <c r="E4355" s="1">
        <v>19</v>
      </c>
      <c r="F4355" s="1">
        <v>187.97</v>
      </c>
      <c r="G4355" s="1">
        <v>45.73</v>
      </c>
      <c r="H4355">
        <f t="shared" si="68"/>
        <v>3571.43</v>
      </c>
    </row>
    <row r="4356" spans="1:8" x14ac:dyDescent="0.25">
      <c r="A4356" s="1" t="s">
        <v>4369</v>
      </c>
      <c r="B4356" s="5">
        <v>45839.416666666664</v>
      </c>
      <c r="C4356" s="1" t="s">
        <v>8</v>
      </c>
      <c r="D4356" s="1" t="s">
        <v>37</v>
      </c>
      <c r="E4356" s="1">
        <v>19</v>
      </c>
      <c r="F4356" s="1">
        <v>269.32</v>
      </c>
      <c r="G4356" s="1">
        <v>37.659999999999997</v>
      </c>
      <c r="H4356">
        <f t="shared" si="68"/>
        <v>5117.08</v>
      </c>
    </row>
    <row r="4357" spans="1:8" x14ac:dyDescent="0.25">
      <c r="A4357" s="1" t="s">
        <v>4370</v>
      </c>
      <c r="B4357" s="5">
        <v>45839.458333333336</v>
      </c>
      <c r="C4357" s="1" t="s">
        <v>8</v>
      </c>
      <c r="D4357" s="1" t="s">
        <v>9</v>
      </c>
      <c r="E4357" s="1">
        <v>8</v>
      </c>
      <c r="F4357" s="1">
        <v>336.12</v>
      </c>
      <c r="G4357" s="1">
        <v>38.32</v>
      </c>
      <c r="H4357">
        <f t="shared" si="68"/>
        <v>2688.96</v>
      </c>
    </row>
    <row r="4358" spans="1:8" x14ac:dyDescent="0.25">
      <c r="A4358" s="1" t="s">
        <v>4371</v>
      </c>
      <c r="B4358" s="5">
        <v>45839.5</v>
      </c>
      <c r="C4358" s="1" t="s">
        <v>11</v>
      </c>
      <c r="D4358" s="1" t="s">
        <v>9</v>
      </c>
      <c r="E4358" s="1">
        <v>14</v>
      </c>
      <c r="F4358" s="1">
        <v>152.87</v>
      </c>
      <c r="G4358" s="1">
        <v>39.42</v>
      </c>
      <c r="H4358">
        <f t="shared" si="68"/>
        <v>2140.1800000000003</v>
      </c>
    </row>
    <row r="4359" spans="1:8" x14ac:dyDescent="0.25">
      <c r="A4359" s="1" t="s">
        <v>4372</v>
      </c>
      <c r="B4359" s="5">
        <v>45839.541666666664</v>
      </c>
      <c r="C4359" s="1" t="s">
        <v>23</v>
      </c>
      <c r="D4359" s="1" t="s">
        <v>37</v>
      </c>
      <c r="E4359" s="1">
        <v>10</v>
      </c>
      <c r="F4359" s="1">
        <v>225.76</v>
      </c>
      <c r="G4359" s="1">
        <v>27.8</v>
      </c>
      <c r="H4359">
        <f t="shared" si="68"/>
        <v>2257.6</v>
      </c>
    </row>
    <row r="4360" spans="1:8" x14ac:dyDescent="0.25">
      <c r="A4360" s="1" t="s">
        <v>4373</v>
      </c>
      <c r="B4360" s="5">
        <v>45839.583333333336</v>
      </c>
      <c r="C4360" s="1" t="s">
        <v>13</v>
      </c>
      <c r="D4360" s="1" t="s">
        <v>16</v>
      </c>
      <c r="E4360" s="1">
        <v>3</v>
      </c>
      <c r="F4360" s="1">
        <v>369.21</v>
      </c>
      <c r="G4360" s="1">
        <v>41.66</v>
      </c>
      <c r="H4360">
        <f t="shared" si="68"/>
        <v>1107.6299999999999</v>
      </c>
    </row>
    <row r="4361" spans="1:8" x14ac:dyDescent="0.25">
      <c r="A4361" s="1" t="s">
        <v>4374</v>
      </c>
      <c r="B4361" s="5">
        <v>45839.625</v>
      </c>
      <c r="C4361" s="1" t="s">
        <v>8</v>
      </c>
      <c r="D4361" s="1" t="s">
        <v>9</v>
      </c>
      <c r="E4361" s="1">
        <v>6</v>
      </c>
      <c r="F4361" s="1">
        <v>429.97</v>
      </c>
      <c r="G4361" s="1">
        <v>42.63</v>
      </c>
      <c r="H4361">
        <f t="shared" si="68"/>
        <v>2579.8200000000002</v>
      </c>
    </row>
    <row r="4362" spans="1:8" x14ac:dyDescent="0.25">
      <c r="A4362" s="1" t="s">
        <v>4375</v>
      </c>
      <c r="B4362" s="5">
        <v>45839.666666666664</v>
      </c>
      <c r="C4362" s="1" t="s">
        <v>23</v>
      </c>
      <c r="D4362" s="1" t="s">
        <v>16</v>
      </c>
      <c r="E4362" s="1">
        <v>15</v>
      </c>
      <c r="F4362" s="1">
        <v>115.57</v>
      </c>
      <c r="G4362" s="1">
        <v>21.22</v>
      </c>
      <c r="H4362">
        <f t="shared" si="68"/>
        <v>1733.55</v>
      </c>
    </row>
    <row r="4363" spans="1:8" x14ac:dyDescent="0.25">
      <c r="A4363" s="1" t="s">
        <v>4376</v>
      </c>
      <c r="B4363" s="5">
        <v>45839.708333333336</v>
      </c>
      <c r="C4363" s="1" t="s">
        <v>8</v>
      </c>
      <c r="D4363" s="1" t="s">
        <v>9</v>
      </c>
      <c r="E4363" s="1">
        <v>18</v>
      </c>
      <c r="F4363" s="1">
        <v>125.45</v>
      </c>
      <c r="G4363" s="1">
        <v>23.02</v>
      </c>
      <c r="H4363">
        <f t="shared" si="68"/>
        <v>2258.1</v>
      </c>
    </row>
    <row r="4364" spans="1:8" x14ac:dyDescent="0.25">
      <c r="A4364" s="1" t="s">
        <v>4377</v>
      </c>
      <c r="B4364" s="5">
        <v>45839.75</v>
      </c>
      <c r="C4364" s="1" t="s">
        <v>8</v>
      </c>
      <c r="D4364" s="1" t="s">
        <v>9</v>
      </c>
      <c r="E4364" s="1">
        <v>14</v>
      </c>
      <c r="F4364" s="1">
        <v>423.85</v>
      </c>
      <c r="G4364" s="1">
        <v>44.99</v>
      </c>
      <c r="H4364">
        <f t="shared" si="68"/>
        <v>5933.9000000000005</v>
      </c>
    </row>
    <row r="4365" spans="1:8" x14ac:dyDescent="0.25">
      <c r="A4365" s="1" t="s">
        <v>4378</v>
      </c>
      <c r="B4365" s="5">
        <v>45839.791666666664</v>
      </c>
      <c r="C4365" s="1" t="s">
        <v>13</v>
      </c>
      <c r="D4365" s="1" t="s">
        <v>37</v>
      </c>
      <c r="E4365" s="1">
        <v>19</v>
      </c>
      <c r="F4365" s="1">
        <v>187.52</v>
      </c>
      <c r="G4365" s="1">
        <v>28.61</v>
      </c>
      <c r="H4365">
        <f t="shared" si="68"/>
        <v>3562.88</v>
      </c>
    </row>
    <row r="4366" spans="1:8" x14ac:dyDescent="0.25">
      <c r="A4366" s="1" t="s">
        <v>4379</v>
      </c>
      <c r="B4366" s="5">
        <v>45839.833333333336</v>
      </c>
      <c r="C4366" s="1" t="s">
        <v>8</v>
      </c>
      <c r="D4366" s="1" t="s">
        <v>9</v>
      </c>
      <c r="E4366" s="1">
        <v>10</v>
      </c>
      <c r="F4366" s="1">
        <v>327.62</v>
      </c>
      <c r="G4366" s="1">
        <v>44.01</v>
      </c>
      <c r="H4366">
        <f t="shared" si="68"/>
        <v>3276.2</v>
      </c>
    </row>
    <row r="4367" spans="1:8" x14ac:dyDescent="0.25">
      <c r="A4367" s="1" t="s">
        <v>4380</v>
      </c>
      <c r="B4367" s="5">
        <v>45839.875</v>
      </c>
      <c r="C4367" s="1" t="s">
        <v>13</v>
      </c>
      <c r="D4367" s="1" t="s">
        <v>19</v>
      </c>
      <c r="E4367" s="1">
        <v>15</v>
      </c>
      <c r="F4367" s="1">
        <v>281.52999999999997</v>
      </c>
      <c r="G4367" s="1">
        <v>33.200000000000003</v>
      </c>
      <c r="H4367">
        <f t="shared" si="68"/>
        <v>4222.95</v>
      </c>
    </row>
    <row r="4368" spans="1:8" x14ac:dyDescent="0.25">
      <c r="A4368" s="1" t="s">
        <v>4381</v>
      </c>
      <c r="B4368" s="5">
        <v>45839.916666666664</v>
      </c>
      <c r="C4368" s="1" t="s">
        <v>13</v>
      </c>
      <c r="D4368" s="1" t="s">
        <v>19</v>
      </c>
      <c r="E4368" s="1">
        <v>4</v>
      </c>
      <c r="F4368" s="1">
        <v>139.59</v>
      </c>
      <c r="G4368" s="1">
        <v>31.71</v>
      </c>
      <c r="H4368">
        <f t="shared" si="68"/>
        <v>558.36</v>
      </c>
    </row>
    <row r="4369" spans="1:8" x14ac:dyDescent="0.25">
      <c r="A4369" s="1" t="s">
        <v>4382</v>
      </c>
      <c r="B4369" s="5">
        <v>45839.958333333336</v>
      </c>
      <c r="C4369" s="1" t="s">
        <v>13</v>
      </c>
      <c r="D4369" s="1" t="s">
        <v>37</v>
      </c>
      <c r="E4369" s="1">
        <v>2</v>
      </c>
      <c r="F4369" s="1">
        <v>299.47000000000003</v>
      </c>
      <c r="G4369" s="1">
        <v>6.39</v>
      </c>
      <c r="H4369">
        <f t="shared" si="68"/>
        <v>598.94000000000005</v>
      </c>
    </row>
    <row r="4370" spans="1:8" x14ac:dyDescent="0.25">
      <c r="A4370" s="1" t="s">
        <v>4383</v>
      </c>
      <c r="B4370" s="5">
        <v>45840</v>
      </c>
      <c r="C4370" s="1" t="s">
        <v>23</v>
      </c>
      <c r="D4370" s="1" t="s">
        <v>16</v>
      </c>
      <c r="E4370" s="1">
        <v>3</v>
      </c>
      <c r="F4370" s="1">
        <v>300.33999999999997</v>
      </c>
      <c r="G4370" s="1">
        <v>17.510000000000002</v>
      </c>
      <c r="H4370">
        <f t="shared" si="68"/>
        <v>901.02</v>
      </c>
    </row>
    <row r="4371" spans="1:8" x14ac:dyDescent="0.25">
      <c r="A4371" s="1" t="s">
        <v>4384</v>
      </c>
      <c r="B4371" s="5">
        <v>45840.041666666664</v>
      </c>
      <c r="C4371" s="1" t="s">
        <v>11</v>
      </c>
      <c r="D4371" s="1" t="s">
        <v>16</v>
      </c>
      <c r="E4371" s="1">
        <v>7</v>
      </c>
      <c r="F4371" s="1">
        <v>272.92</v>
      </c>
      <c r="G4371" s="1">
        <v>27.59</v>
      </c>
      <c r="H4371">
        <f t="shared" si="68"/>
        <v>1910.44</v>
      </c>
    </row>
    <row r="4372" spans="1:8" x14ac:dyDescent="0.25">
      <c r="A4372" s="1" t="s">
        <v>4385</v>
      </c>
      <c r="B4372" s="5">
        <v>45840.083333333336</v>
      </c>
      <c r="C4372" s="1" t="s">
        <v>23</v>
      </c>
      <c r="D4372" s="1" t="s">
        <v>16</v>
      </c>
      <c r="E4372" s="1">
        <v>16</v>
      </c>
      <c r="F4372" s="1">
        <v>58.8</v>
      </c>
      <c r="G4372" s="1">
        <v>31.43</v>
      </c>
      <c r="H4372">
        <f t="shared" si="68"/>
        <v>940.8</v>
      </c>
    </row>
    <row r="4373" spans="1:8" x14ac:dyDescent="0.25">
      <c r="A4373" s="1" t="s">
        <v>4386</v>
      </c>
      <c r="B4373" s="5">
        <v>45840.125</v>
      </c>
      <c r="C4373" s="1" t="s">
        <v>11</v>
      </c>
      <c r="D4373" s="1" t="s">
        <v>19</v>
      </c>
      <c r="E4373" s="1">
        <v>10</v>
      </c>
      <c r="F4373" s="1">
        <v>447.9</v>
      </c>
      <c r="G4373" s="1">
        <v>33.369999999999997</v>
      </c>
      <c r="H4373">
        <f t="shared" si="68"/>
        <v>4479</v>
      </c>
    </row>
    <row r="4374" spans="1:8" x14ac:dyDescent="0.25">
      <c r="A4374" s="1" t="s">
        <v>4387</v>
      </c>
      <c r="B4374" s="5">
        <v>45840.166666666664</v>
      </c>
      <c r="C4374" s="1" t="s">
        <v>11</v>
      </c>
      <c r="D4374" s="1" t="s">
        <v>16</v>
      </c>
      <c r="E4374" s="1">
        <v>19</v>
      </c>
      <c r="F4374" s="1">
        <v>189.48</v>
      </c>
      <c r="G4374" s="1">
        <v>37.229999999999997</v>
      </c>
      <c r="H4374">
        <f t="shared" si="68"/>
        <v>3600.12</v>
      </c>
    </row>
    <row r="4375" spans="1:8" x14ac:dyDescent="0.25">
      <c r="A4375" s="1" t="s">
        <v>4388</v>
      </c>
      <c r="B4375" s="5">
        <v>45840.208333333336</v>
      </c>
      <c r="C4375" s="1" t="s">
        <v>13</v>
      </c>
      <c r="D4375" s="1" t="s">
        <v>16</v>
      </c>
      <c r="E4375" s="1">
        <v>17</v>
      </c>
      <c r="F4375" s="1">
        <v>292.82</v>
      </c>
      <c r="G4375" s="1">
        <v>34.53</v>
      </c>
      <c r="H4375">
        <f t="shared" si="68"/>
        <v>4977.9399999999996</v>
      </c>
    </row>
    <row r="4376" spans="1:8" x14ac:dyDescent="0.25">
      <c r="A4376" s="1" t="s">
        <v>4389</v>
      </c>
      <c r="B4376" s="5">
        <v>45840.25</v>
      </c>
      <c r="C4376" s="1" t="s">
        <v>8</v>
      </c>
      <c r="D4376" s="1" t="s">
        <v>37</v>
      </c>
      <c r="E4376" s="1">
        <v>19</v>
      </c>
      <c r="F4376" s="1">
        <v>400.36</v>
      </c>
      <c r="G4376" s="1">
        <v>43.19</v>
      </c>
      <c r="H4376">
        <f t="shared" si="68"/>
        <v>7606.84</v>
      </c>
    </row>
    <row r="4377" spans="1:8" x14ac:dyDescent="0.25">
      <c r="A4377" s="1" t="s">
        <v>4390</v>
      </c>
      <c r="B4377" s="5">
        <v>45840.291666666664</v>
      </c>
      <c r="C4377" s="1" t="s">
        <v>13</v>
      </c>
      <c r="D4377" s="1" t="s">
        <v>16</v>
      </c>
      <c r="E4377" s="1">
        <v>5</v>
      </c>
      <c r="F4377" s="1">
        <v>199.42</v>
      </c>
      <c r="G4377" s="1">
        <v>18.3</v>
      </c>
      <c r="H4377">
        <f t="shared" si="68"/>
        <v>997.09999999999991</v>
      </c>
    </row>
    <row r="4378" spans="1:8" x14ac:dyDescent="0.25">
      <c r="A4378" s="1" t="s">
        <v>4391</v>
      </c>
      <c r="B4378" s="5">
        <v>45840.333333333336</v>
      </c>
      <c r="C4378" s="1" t="s">
        <v>8</v>
      </c>
      <c r="D4378" s="1" t="s">
        <v>19</v>
      </c>
      <c r="E4378" s="1">
        <v>13</v>
      </c>
      <c r="F4378" s="1">
        <v>351.77</v>
      </c>
      <c r="G4378" s="1">
        <v>33.869999999999997</v>
      </c>
      <c r="H4378">
        <f t="shared" si="68"/>
        <v>4573.01</v>
      </c>
    </row>
    <row r="4379" spans="1:8" x14ac:dyDescent="0.25">
      <c r="A4379" s="1" t="s">
        <v>4392</v>
      </c>
      <c r="B4379" s="5">
        <v>45840.375</v>
      </c>
      <c r="C4379" s="1" t="s">
        <v>11</v>
      </c>
      <c r="D4379" s="1" t="s">
        <v>19</v>
      </c>
      <c r="E4379" s="1">
        <v>13</v>
      </c>
      <c r="F4379" s="1">
        <v>437.76</v>
      </c>
      <c r="G4379" s="1">
        <v>7.3</v>
      </c>
      <c r="H4379">
        <f t="shared" si="68"/>
        <v>5690.88</v>
      </c>
    </row>
    <row r="4380" spans="1:8" x14ac:dyDescent="0.25">
      <c r="A4380" s="1" t="s">
        <v>4393</v>
      </c>
      <c r="B4380" s="5">
        <v>45840.416666666664</v>
      </c>
      <c r="C4380" s="1" t="s">
        <v>13</v>
      </c>
      <c r="D4380" s="1" t="s">
        <v>19</v>
      </c>
      <c r="E4380" s="1">
        <v>11</v>
      </c>
      <c r="F4380" s="1">
        <v>171.46</v>
      </c>
      <c r="G4380" s="1">
        <v>26.61</v>
      </c>
      <c r="H4380">
        <f t="shared" si="68"/>
        <v>1886.0600000000002</v>
      </c>
    </row>
    <row r="4381" spans="1:8" x14ac:dyDescent="0.25">
      <c r="A4381" s="1" t="s">
        <v>4394</v>
      </c>
      <c r="B4381" s="5">
        <v>45840.458333333336</v>
      </c>
      <c r="C4381" s="1" t="s">
        <v>8</v>
      </c>
      <c r="D4381" s="1" t="s">
        <v>37</v>
      </c>
      <c r="E4381" s="1">
        <v>11</v>
      </c>
      <c r="F4381" s="1">
        <v>191.59</v>
      </c>
      <c r="G4381" s="1">
        <v>17.059999999999999</v>
      </c>
      <c r="H4381">
        <f t="shared" si="68"/>
        <v>2107.4900000000002</v>
      </c>
    </row>
    <row r="4382" spans="1:8" x14ac:dyDescent="0.25">
      <c r="A4382" s="1" t="s">
        <v>4395</v>
      </c>
      <c r="B4382" s="5">
        <v>45840.5</v>
      </c>
      <c r="C4382" s="1" t="s">
        <v>23</v>
      </c>
      <c r="D4382" s="1" t="s">
        <v>37</v>
      </c>
      <c r="E4382" s="1">
        <v>16</v>
      </c>
      <c r="F4382" s="1">
        <v>408.97</v>
      </c>
      <c r="G4382" s="1">
        <v>22.14</v>
      </c>
      <c r="H4382">
        <f t="shared" si="68"/>
        <v>6543.52</v>
      </c>
    </row>
    <row r="4383" spans="1:8" x14ac:dyDescent="0.25">
      <c r="A4383" s="1" t="s">
        <v>4396</v>
      </c>
      <c r="B4383" s="5">
        <v>45840.541666666664</v>
      </c>
      <c r="C4383" s="1" t="s">
        <v>8</v>
      </c>
      <c r="D4383" s="1" t="s">
        <v>9</v>
      </c>
      <c r="E4383" s="1">
        <v>15</v>
      </c>
      <c r="F4383" s="1">
        <v>84.86</v>
      </c>
      <c r="G4383" s="1">
        <v>20.96</v>
      </c>
      <c r="H4383">
        <f t="shared" si="68"/>
        <v>1272.9000000000001</v>
      </c>
    </row>
    <row r="4384" spans="1:8" x14ac:dyDescent="0.25">
      <c r="A4384" s="1" t="s">
        <v>4397</v>
      </c>
      <c r="B4384" s="5">
        <v>45840.583333333336</v>
      </c>
      <c r="C4384" s="1" t="s">
        <v>13</v>
      </c>
      <c r="D4384" s="1" t="s">
        <v>16</v>
      </c>
      <c r="E4384" s="1">
        <v>17</v>
      </c>
      <c r="F4384" s="1">
        <v>27.92</v>
      </c>
      <c r="G4384" s="1">
        <v>7.72</v>
      </c>
      <c r="H4384">
        <f t="shared" si="68"/>
        <v>474.64000000000004</v>
      </c>
    </row>
    <row r="4385" spans="1:8" x14ac:dyDescent="0.25">
      <c r="A4385" s="1" t="s">
        <v>4398</v>
      </c>
      <c r="B4385" s="5">
        <v>45840.625</v>
      </c>
      <c r="C4385" s="1" t="s">
        <v>23</v>
      </c>
      <c r="D4385" s="1" t="s">
        <v>37</v>
      </c>
      <c r="E4385" s="1">
        <v>18</v>
      </c>
      <c r="F4385" s="1">
        <v>410.41</v>
      </c>
      <c r="G4385" s="1">
        <v>26</v>
      </c>
      <c r="H4385">
        <f t="shared" si="68"/>
        <v>7387.38</v>
      </c>
    </row>
    <row r="4386" spans="1:8" x14ac:dyDescent="0.25">
      <c r="A4386" s="1" t="s">
        <v>4399</v>
      </c>
      <c r="B4386" s="5">
        <v>45840.666666666664</v>
      </c>
      <c r="C4386" s="1" t="s">
        <v>8</v>
      </c>
      <c r="D4386" s="1" t="s">
        <v>19</v>
      </c>
      <c r="E4386" s="1">
        <v>19</v>
      </c>
      <c r="F4386" s="1">
        <v>372.48</v>
      </c>
      <c r="G4386" s="1">
        <v>49.76</v>
      </c>
      <c r="H4386">
        <f t="shared" si="68"/>
        <v>7077.1200000000008</v>
      </c>
    </row>
    <row r="4387" spans="1:8" x14ac:dyDescent="0.25">
      <c r="A4387" s="1" t="s">
        <v>4400</v>
      </c>
      <c r="B4387" s="5">
        <v>45840.708333333336</v>
      </c>
      <c r="C4387" s="1" t="s">
        <v>8</v>
      </c>
      <c r="D4387" s="1" t="s">
        <v>19</v>
      </c>
      <c r="E4387" s="1">
        <v>4</v>
      </c>
      <c r="F4387" s="1">
        <v>438.09</v>
      </c>
      <c r="G4387" s="1">
        <v>18.45</v>
      </c>
      <c r="H4387">
        <f t="shared" si="68"/>
        <v>1752.36</v>
      </c>
    </row>
    <row r="4388" spans="1:8" x14ac:dyDescent="0.25">
      <c r="A4388" s="1" t="s">
        <v>4401</v>
      </c>
      <c r="B4388" s="5">
        <v>45840.75</v>
      </c>
      <c r="C4388" s="1" t="s">
        <v>8</v>
      </c>
      <c r="D4388" s="1" t="s">
        <v>37</v>
      </c>
      <c r="E4388" s="1">
        <v>5</v>
      </c>
      <c r="F4388" s="1">
        <v>40.799999999999997</v>
      </c>
      <c r="G4388" s="1">
        <v>38.130000000000003</v>
      </c>
      <c r="H4388">
        <f t="shared" si="68"/>
        <v>204</v>
      </c>
    </row>
    <row r="4389" spans="1:8" x14ac:dyDescent="0.25">
      <c r="A4389" s="1" t="s">
        <v>4402</v>
      </c>
      <c r="B4389" s="5">
        <v>45840.791666666664</v>
      </c>
      <c r="C4389" s="1" t="s">
        <v>8</v>
      </c>
      <c r="D4389" s="1" t="s">
        <v>37</v>
      </c>
      <c r="E4389" s="1">
        <v>7</v>
      </c>
      <c r="F4389" s="1">
        <v>83.36</v>
      </c>
      <c r="G4389" s="1">
        <v>29.65</v>
      </c>
      <c r="H4389">
        <f t="shared" si="68"/>
        <v>583.52</v>
      </c>
    </row>
    <row r="4390" spans="1:8" x14ac:dyDescent="0.25">
      <c r="A4390" s="1" t="s">
        <v>4403</v>
      </c>
      <c r="B4390" s="5">
        <v>45840.833333333336</v>
      </c>
      <c r="C4390" s="1" t="s">
        <v>8</v>
      </c>
      <c r="D4390" s="1" t="s">
        <v>37</v>
      </c>
      <c r="E4390" s="1">
        <v>2</v>
      </c>
      <c r="F4390" s="1">
        <v>61.26</v>
      </c>
      <c r="G4390" s="1">
        <v>19.64</v>
      </c>
      <c r="H4390">
        <f t="shared" si="68"/>
        <v>122.52</v>
      </c>
    </row>
    <row r="4391" spans="1:8" x14ac:dyDescent="0.25">
      <c r="A4391" s="1" t="s">
        <v>4404</v>
      </c>
      <c r="B4391" s="5">
        <v>45840.875</v>
      </c>
      <c r="C4391" s="1" t="s">
        <v>23</v>
      </c>
      <c r="D4391" s="1" t="s">
        <v>9</v>
      </c>
      <c r="E4391" s="1">
        <v>1</v>
      </c>
      <c r="F4391" s="1">
        <v>312.44</v>
      </c>
      <c r="G4391" s="1">
        <v>9.0299999999999994</v>
      </c>
      <c r="H4391">
        <f t="shared" si="68"/>
        <v>312.44</v>
      </c>
    </row>
    <row r="4392" spans="1:8" x14ac:dyDescent="0.25">
      <c r="A4392" s="1" t="s">
        <v>4405</v>
      </c>
      <c r="B4392" s="5">
        <v>45840.916666666664</v>
      </c>
      <c r="C4392" s="1" t="s">
        <v>11</v>
      </c>
      <c r="D4392" s="1" t="s">
        <v>19</v>
      </c>
      <c r="E4392" s="1">
        <v>12</v>
      </c>
      <c r="F4392" s="1">
        <v>278.81</v>
      </c>
      <c r="G4392" s="1">
        <v>14.71</v>
      </c>
      <c r="H4392">
        <f t="shared" si="68"/>
        <v>3345.7200000000003</v>
      </c>
    </row>
    <row r="4393" spans="1:8" x14ac:dyDescent="0.25">
      <c r="A4393" s="1" t="s">
        <v>4406</v>
      </c>
      <c r="B4393" s="5">
        <v>45840.958333333336</v>
      </c>
      <c r="C4393" s="1" t="s">
        <v>23</v>
      </c>
      <c r="D4393" s="1" t="s">
        <v>9</v>
      </c>
      <c r="E4393" s="1">
        <v>10</v>
      </c>
      <c r="F4393" s="1">
        <v>171.63</v>
      </c>
      <c r="G4393" s="1">
        <v>40.18</v>
      </c>
      <c r="H4393">
        <f t="shared" si="68"/>
        <v>1716.3</v>
      </c>
    </row>
    <row r="4394" spans="1:8" x14ac:dyDescent="0.25">
      <c r="A4394" s="1" t="s">
        <v>4407</v>
      </c>
      <c r="B4394" s="5">
        <v>45841</v>
      </c>
      <c r="C4394" s="1" t="s">
        <v>23</v>
      </c>
      <c r="D4394" s="1" t="s">
        <v>9</v>
      </c>
      <c r="E4394" s="1">
        <v>8</v>
      </c>
      <c r="F4394" s="1">
        <v>40.450000000000003</v>
      </c>
      <c r="G4394" s="1">
        <v>17.559999999999999</v>
      </c>
      <c r="H4394">
        <f t="shared" si="68"/>
        <v>323.60000000000002</v>
      </c>
    </row>
    <row r="4395" spans="1:8" x14ac:dyDescent="0.25">
      <c r="A4395" s="1" t="s">
        <v>4408</v>
      </c>
      <c r="B4395" s="5">
        <v>45841.041666666664</v>
      </c>
      <c r="C4395" s="1" t="s">
        <v>23</v>
      </c>
      <c r="D4395" s="1" t="s">
        <v>16</v>
      </c>
      <c r="E4395" s="1">
        <v>1</v>
      </c>
      <c r="F4395" s="1">
        <v>293.43</v>
      </c>
      <c r="G4395" s="1">
        <v>11.49</v>
      </c>
      <c r="H4395">
        <f t="shared" si="68"/>
        <v>293.43</v>
      </c>
    </row>
    <row r="4396" spans="1:8" x14ac:dyDescent="0.25">
      <c r="A4396" s="1" t="s">
        <v>4409</v>
      </c>
      <c r="B4396" s="5">
        <v>45841.083333333336</v>
      </c>
      <c r="C4396" s="1" t="s">
        <v>11</v>
      </c>
      <c r="D4396" s="1" t="s">
        <v>19</v>
      </c>
      <c r="E4396" s="1">
        <v>12</v>
      </c>
      <c r="F4396" s="1">
        <v>263.22000000000003</v>
      </c>
      <c r="G4396" s="1">
        <v>19.91</v>
      </c>
      <c r="H4396">
        <f t="shared" si="68"/>
        <v>3158.6400000000003</v>
      </c>
    </row>
    <row r="4397" spans="1:8" x14ac:dyDescent="0.25">
      <c r="A4397" s="1" t="s">
        <v>4410</v>
      </c>
      <c r="B4397" s="5">
        <v>45841.125</v>
      </c>
      <c r="C4397" s="1" t="s">
        <v>13</v>
      </c>
      <c r="D4397" s="1" t="s">
        <v>19</v>
      </c>
      <c r="E4397" s="1">
        <v>2</v>
      </c>
      <c r="F4397" s="1">
        <v>64.56</v>
      </c>
      <c r="G4397" s="1">
        <v>31.28</v>
      </c>
      <c r="H4397">
        <f t="shared" si="68"/>
        <v>129.12</v>
      </c>
    </row>
    <row r="4398" spans="1:8" x14ac:dyDescent="0.25">
      <c r="A4398" s="1" t="s">
        <v>4411</v>
      </c>
      <c r="B4398" s="5">
        <v>45841.166666666664</v>
      </c>
      <c r="C4398" s="1" t="s">
        <v>11</v>
      </c>
      <c r="D4398" s="1" t="s">
        <v>37</v>
      </c>
      <c r="E4398" s="1">
        <v>10</v>
      </c>
      <c r="F4398" s="1">
        <v>410.42</v>
      </c>
      <c r="G4398" s="1">
        <v>36.659999999999997</v>
      </c>
      <c r="H4398">
        <f t="shared" si="68"/>
        <v>4104.2</v>
      </c>
    </row>
    <row r="4399" spans="1:8" x14ac:dyDescent="0.25">
      <c r="A4399" s="1" t="s">
        <v>4412</v>
      </c>
      <c r="B4399" s="5">
        <v>45841.208333333336</v>
      </c>
      <c r="C4399" s="1" t="s">
        <v>23</v>
      </c>
      <c r="D4399" s="1" t="s">
        <v>37</v>
      </c>
      <c r="E4399" s="1">
        <v>17</v>
      </c>
      <c r="F4399" s="1">
        <v>101.94</v>
      </c>
      <c r="G4399" s="1">
        <v>22.43</v>
      </c>
      <c r="H4399">
        <f t="shared" si="68"/>
        <v>1732.98</v>
      </c>
    </row>
    <row r="4400" spans="1:8" x14ac:dyDescent="0.25">
      <c r="A4400" s="1" t="s">
        <v>4413</v>
      </c>
      <c r="B4400" s="5">
        <v>45841.25</v>
      </c>
      <c r="C4400" s="1" t="s">
        <v>8</v>
      </c>
      <c r="D4400" s="1" t="s">
        <v>16</v>
      </c>
      <c r="E4400" s="1">
        <v>3</v>
      </c>
      <c r="F4400" s="1">
        <v>338.55</v>
      </c>
      <c r="G4400" s="1">
        <v>27.42</v>
      </c>
      <c r="H4400">
        <f t="shared" si="68"/>
        <v>1015.6500000000001</v>
      </c>
    </row>
    <row r="4401" spans="1:8" x14ac:dyDescent="0.25">
      <c r="A4401" s="1" t="s">
        <v>4414</v>
      </c>
      <c r="B4401" s="5">
        <v>45841.291666666664</v>
      </c>
      <c r="C4401" s="1" t="s">
        <v>8</v>
      </c>
      <c r="D4401" s="1" t="s">
        <v>9</v>
      </c>
      <c r="E4401" s="1">
        <v>7</v>
      </c>
      <c r="F4401" s="1">
        <v>400.07</v>
      </c>
      <c r="G4401" s="1">
        <v>25.47</v>
      </c>
      <c r="H4401">
        <f t="shared" si="68"/>
        <v>2800.49</v>
      </c>
    </row>
    <row r="4402" spans="1:8" x14ac:dyDescent="0.25">
      <c r="A4402" s="1" t="s">
        <v>4415</v>
      </c>
      <c r="B4402" s="5">
        <v>45841.333333333336</v>
      </c>
      <c r="C4402" s="1" t="s">
        <v>23</v>
      </c>
      <c r="D4402" s="1" t="s">
        <v>37</v>
      </c>
      <c r="E4402" s="1">
        <v>12</v>
      </c>
      <c r="F4402" s="1">
        <v>267.27999999999997</v>
      </c>
      <c r="G4402" s="1">
        <v>5.41</v>
      </c>
      <c r="H4402">
        <f t="shared" si="68"/>
        <v>3207.3599999999997</v>
      </c>
    </row>
    <row r="4403" spans="1:8" x14ac:dyDescent="0.25">
      <c r="A4403" s="1" t="s">
        <v>4416</v>
      </c>
      <c r="B4403" s="5">
        <v>45841.375</v>
      </c>
      <c r="C4403" s="1" t="s">
        <v>8</v>
      </c>
      <c r="D4403" s="1" t="s">
        <v>37</v>
      </c>
      <c r="E4403" s="1">
        <v>8</v>
      </c>
      <c r="F4403" s="1">
        <v>122.76</v>
      </c>
      <c r="G4403" s="1">
        <v>22.8</v>
      </c>
      <c r="H4403">
        <f t="shared" si="68"/>
        <v>982.08</v>
      </c>
    </row>
    <row r="4404" spans="1:8" x14ac:dyDescent="0.25">
      <c r="A4404" s="1" t="s">
        <v>4417</v>
      </c>
      <c r="B4404" s="5">
        <v>45841.416666666664</v>
      </c>
      <c r="C4404" s="1" t="s">
        <v>23</v>
      </c>
      <c r="D4404" s="1" t="s">
        <v>19</v>
      </c>
      <c r="E4404" s="1">
        <v>12</v>
      </c>
      <c r="F4404" s="1">
        <v>149.87</v>
      </c>
      <c r="G4404" s="1">
        <v>31.43</v>
      </c>
      <c r="H4404">
        <f t="shared" si="68"/>
        <v>1798.44</v>
      </c>
    </row>
    <row r="4405" spans="1:8" x14ac:dyDescent="0.25">
      <c r="A4405" s="1" t="s">
        <v>4418</v>
      </c>
      <c r="B4405" s="5">
        <v>45841.458333333336</v>
      </c>
      <c r="C4405" s="1" t="s">
        <v>8</v>
      </c>
      <c r="D4405" s="1" t="s">
        <v>19</v>
      </c>
      <c r="E4405" s="1">
        <v>3</v>
      </c>
      <c r="F4405" s="1">
        <v>400.36</v>
      </c>
      <c r="G4405" s="1">
        <v>30.65</v>
      </c>
      <c r="H4405">
        <f t="shared" si="68"/>
        <v>1201.08</v>
      </c>
    </row>
    <row r="4406" spans="1:8" x14ac:dyDescent="0.25">
      <c r="A4406" s="1" t="s">
        <v>4419</v>
      </c>
      <c r="B4406" s="5">
        <v>45841.5</v>
      </c>
      <c r="C4406" s="1" t="s">
        <v>11</v>
      </c>
      <c r="D4406" s="1" t="s">
        <v>37</v>
      </c>
      <c r="E4406" s="1">
        <v>17</v>
      </c>
      <c r="F4406" s="1">
        <v>145.09</v>
      </c>
      <c r="G4406" s="1">
        <v>38.74</v>
      </c>
      <c r="H4406">
        <f t="shared" si="68"/>
        <v>2466.5300000000002</v>
      </c>
    </row>
    <row r="4407" spans="1:8" x14ac:dyDescent="0.25">
      <c r="A4407" s="1" t="s">
        <v>4420</v>
      </c>
      <c r="B4407" s="5">
        <v>45841.541666666664</v>
      </c>
      <c r="C4407" s="1" t="s">
        <v>13</v>
      </c>
      <c r="D4407" s="1" t="s">
        <v>19</v>
      </c>
      <c r="E4407" s="1">
        <v>9</v>
      </c>
      <c r="F4407" s="1">
        <v>339.72</v>
      </c>
      <c r="G4407" s="1">
        <v>35.17</v>
      </c>
      <c r="H4407">
        <f t="shared" si="68"/>
        <v>3057.4800000000005</v>
      </c>
    </row>
    <row r="4408" spans="1:8" x14ac:dyDescent="0.25">
      <c r="A4408" s="1" t="s">
        <v>4421</v>
      </c>
      <c r="B4408" s="5">
        <v>45841.583333333336</v>
      </c>
      <c r="C4408" s="1" t="s">
        <v>13</v>
      </c>
      <c r="D4408" s="1" t="s">
        <v>16</v>
      </c>
      <c r="E4408" s="1">
        <v>10</v>
      </c>
      <c r="F4408" s="1">
        <v>445.73</v>
      </c>
      <c r="G4408" s="1">
        <v>17.46</v>
      </c>
      <c r="H4408">
        <f t="shared" si="68"/>
        <v>4457.3</v>
      </c>
    </row>
    <row r="4409" spans="1:8" x14ac:dyDescent="0.25">
      <c r="A4409" s="1" t="s">
        <v>4422</v>
      </c>
      <c r="B4409" s="5">
        <v>45841.625</v>
      </c>
      <c r="C4409" s="1" t="s">
        <v>11</v>
      </c>
      <c r="D4409" s="1" t="s">
        <v>37</v>
      </c>
      <c r="E4409" s="1">
        <v>6</v>
      </c>
      <c r="F4409" s="1">
        <v>449.92</v>
      </c>
      <c r="G4409" s="1">
        <v>16.5</v>
      </c>
      <c r="H4409">
        <f t="shared" si="68"/>
        <v>2699.52</v>
      </c>
    </row>
    <row r="4410" spans="1:8" x14ac:dyDescent="0.25">
      <c r="A4410" s="1" t="s">
        <v>4423</v>
      </c>
      <c r="B4410" s="5">
        <v>45841.666666666664</v>
      </c>
      <c r="C4410" s="1" t="s">
        <v>11</v>
      </c>
      <c r="D4410" s="1" t="s">
        <v>19</v>
      </c>
      <c r="E4410" s="1">
        <v>1</v>
      </c>
      <c r="F4410" s="1">
        <v>247.3</v>
      </c>
      <c r="G4410" s="1">
        <v>25.89</v>
      </c>
      <c r="H4410">
        <f t="shared" si="68"/>
        <v>247.3</v>
      </c>
    </row>
    <row r="4411" spans="1:8" x14ac:dyDescent="0.25">
      <c r="A4411" s="1" t="s">
        <v>4424</v>
      </c>
      <c r="B4411" s="5">
        <v>45841.708333333336</v>
      </c>
      <c r="C4411" s="1" t="s">
        <v>23</v>
      </c>
      <c r="D4411" s="1" t="s">
        <v>16</v>
      </c>
      <c r="E4411" s="1">
        <v>12</v>
      </c>
      <c r="F4411" s="1">
        <v>374.64</v>
      </c>
      <c r="G4411" s="1">
        <v>37.979999999999997</v>
      </c>
      <c r="H4411">
        <f t="shared" si="68"/>
        <v>4495.68</v>
      </c>
    </row>
    <row r="4412" spans="1:8" x14ac:dyDescent="0.25">
      <c r="A4412" s="1" t="s">
        <v>4425</v>
      </c>
      <c r="B4412" s="5">
        <v>45841.75</v>
      </c>
      <c r="C4412" s="1" t="s">
        <v>23</v>
      </c>
      <c r="D4412" s="1" t="s">
        <v>19</v>
      </c>
      <c r="E4412" s="1">
        <v>5</v>
      </c>
      <c r="F4412" s="1">
        <v>445.76</v>
      </c>
      <c r="G4412" s="1">
        <v>9.2200000000000006</v>
      </c>
      <c r="H4412">
        <f t="shared" si="68"/>
        <v>2228.8000000000002</v>
      </c>
    </row>
    <row r="4413" spans="1:8" x14ac:dyDescent="0.25">
      <c r="A4413" s="1" t="s">
        <v>4426</v>
      </c>
      <c r="B4413" s="5">
        <v>45841.791666666664</v>
      </c>
      <c r="C4413" s="1" t="s">
        <v>23</v>
      </c>
      <c r="D4413" s="1" t="s">
        <v>19</v>
      </c>
      <c r="E4413" s="1">
        <v>13</v>
      </c>
      <c r="F4413" s="1">
        <v>178.3</v>
      </c>
      <c r="G4413" s="1">
        <v>47.67</v>
      </c>
      <c r="H4413">
        <f t="shared" si="68"/>
        <v>2317.9</v>
      </c>
    </row>
    <row r="4414" spans="1:8" x14ac:dyDescent="0.25">
      <c r="A4414" s="1" t="s">
        <v>4427</v>
      </c>
      <c r="B4414" s="5">
        <v>45841.833333333336</v>
      </c>
      <c r="C4414" s="1" t="s">
        <v>8</v>
      </c>
      <c r="D4414" s="1" t="s">
        <v>19</v>
      </c>
      <c r="E4414" s="1">
        <v>15</v>
      </c>
      <c r="F4414" s="1">
        <v>125.17</v>
      </c>
      <c r="G4414" s="1">
        <v>29.44</v>
      </c>
      <c r="H4414">
        <f t="shared" si="68"/>
        <v>1877.55</v>
      </c>
    </row>
    <row r="4415" spans="1:8" x14ac:dyDescent="0.25">
      <c r="A4415" s="1" t="s">
        <v>4428</v>
      </c>
      <c r="B4415" s="5">
        <v>45841.875</v>
      </c>
      <c r="C4415" s="1" t="s">
        <v>23</v>
      </c>
      <c r="D4415" s="1" t="s">
        <v>37</v>
      </c>
      <c r="E4415" s="1">
        <v>11</v>
      </c>
      <c r="F4415" s="1">
        <v>65.13</v>
      </c>
      <c r="G4415" s="1">
        <v>18.79</v>
      </c>
      <c r="H4415">
        <f t="shared" si="68"/>
        <v>716.43</v>
      </c>
    </row>
    <row r="4416" spans="1:8" x14ac:dyDescent="0.25">
      <c r="A4416" s="1" t="s">
        <v>4429</v>
      </c>
      <c r="B4416" s="5">
        <v>45841.916666666664</v>
      </c>
      <c r="C4416" s="1" t="s">
        <v>11</v>
      </c>
      <c r="D4416" s="1" t="s">
        <v>9</v>
      </c>
      <c r="E4416" s="1">
        <v>8</v>
      </c>
      <c r="F4416" s="1">
        <v>76.72</v>
      </c>
      <c r="G4416" s="1">
        <v>36.200000000000003</v>
      </c>
      <c r="H4416">
        <f t="shared" si="68"/>
        <v>613.76</v>
      </c>
    </row>
    <row r="4417" spans="1:8" x14ac:dyDescent="0.25">
      <c r="A4417" s="1" t="s">
        <v>4430</v>
      </c>
      <c r="B4417" s="5">
        <v>45841.958333333336</v>
      </c>
      <c r="C4417" s="1" t="s">
        <v>13</v>
      </c>
      <c r="D4417" s="1" t="s">
        <v>19</v>
      </c>
      <c r="E4417" s="1">
        <v>5</v>
      </c>
      <c r="F4417" s="1">
        <v>386.37</v>
      </c>
      <c r="G4417" s="1">
        <v>7.01</v>
      </c>
      <c r="H4417">
        <f t="shared" si="68"/>
        <v>1931.85</v>
      </c>
    </row>
    <row r="4418" spans="1:8" x14ac:dyDescent="0.25">
      <c r="A4418" s="1" t="s">
        <v>4431</v>
      </c>
      <c r="B4418" s="5">
        <v>45842</v>
      </c>
      <c r="C4418" s="1" t="s">
        <v>8</v>
      </c>
      <c r="D4418" s="1" t="s">
        <v>16</v>
      </c>
      <c r="E4418" s="1">
        <v>2</v>
      </c>
      <c r="F4418" s="1">
        <v>271.3</v>
      </c>
      <c r="G4418" s="1">
        <v>26.8</v>
      </c>
      <c r="H4418">
        <f t="shared" ref="H4418:H4481" si="69">E4418*F4418</f>
        <v>542.6</v>
      </c>
    </row>
    <row r="4419" spans="1:8" x14ac:dyDescent="0.25">
      <c r="A4419" s="1" t="s">
        <v>4432</v>
      </c>
      <c r="B4419" s="5">
        <v>45842.041666666664</v>
      </c>
      <c r="C4419" s="1" t="s">
        <v>23</v>
      </c>
      <c r="D4419" s="1" t="s">
        <v>37</v>
      </c>
      <c r="E4419" s="1">
        <v>12</v>
      </c>
      <c r="F4419" s="1">
        <v>395.13</v>
      </c>
      <c r="G4419" s="1">
        <v>26.87</v>
      </c>
      <c r="H4419">
        <f t="shared" si="69"/>
        <v>4741.5599999999995</v>
      </c>
    </row>
    <row r="4420" spans="1:8" x14ac:dyDescent="0.25">
      <c r="A4420" s="1" t="s">
        <v>4433</v>
      </c>
      <c r="B4420" s="5">
        <v>45842.083333333336</v>
      </c>
      <c r="C4420" s="1" t="s">
        <v>8</v>
      </c>
      <c r="D4420" s="1" t="s">
        <v>37</v>
      </c>
      <c r="E4420" s="1">
        <v>2</v>
      </c>
      <c r="F4420" s="1">
        <v>358.52</v>
      </c>
      <c r="G4420" s="1">
        <v>12.29</v>
      </c>
      <c r="H4420">
        <f t="shared" si="69"/>
        <v>717.04</v>
      </c>
    </row>
    <row r="4421" spans="1:8" x14ac:dyDescent="0.25">
      <c r="A4421" s="1" t="s">
        <v>4434</v>
      </c>
      <c r="B4421" s="5">
        <v>45842.125</v>
      </c>
      <c r="C4421" s="1" t="s">
        <v>8</v>
      </c>
      <c r="D4421" s="1" t="s">
        <v>16</v>
      </c>
      <c r="E4421" s="1">
        <v>16</v>
      </c>
      <c r="F4421" s="1">
        <v>308.24</v>
      </c>
      <c r="G4421" s="1">
        <v>42.68</v>
      </c>
      <c r="H4421">
        <f t="shared" si="69"/>
        <v>4931.84</v>
      </c>
    </row>
    <row r="4422" spans="1:8" x14ac:dyDescent="0.25">
      <c r="A4422" s="1" t="s">
        <v>4435</v>
      </c>
      <c r="B4422" s="5">
        <v>45842.166666666664</v>
      </c>
      <c r="C4422" s="1" t="s">
        <v>23</v>
      </c>
      <c r="D4422" s="1" t="s">
        <v>19</v>
      </c>
      <c r="E4422" s="1">
        <v>3</v>
      </c>
      <c r="F4422" s="1">
        <v>280.25</v>
      </c>
      <c r="G4422" s="1">
        <v>40.86</v>
      </c>
      <c r="H4422">
        <f t="shared" si="69"/>
        <v>840.75</v>
      </c>
    </row>
    <row r="4423" spans="1:8" x14ac:dyDescent="0.25">
      <c r="A4423" s="1" t="s">
        <v>4436</v>
      </c>
      <c r="B4423" s="5">
        <v>45842.208333333336</v>
      </c>
      <c r="C4423" s="1" t="s">
        <v>8</v>
      </c>
      <c r="D4423" s="1" t="s">
        <v>9</v>
      </c>
      <c r="E4423" s="1">
        <v>10</v>
      </c>
      <c r="F4423" s="1">
        <v>36.5</v>
      </c>
      <c r="G4423" s="1">
        <v>11.87</v>
      </c>
      <c r="H4423">
        <f t="shared" si="69"/>
        <v>365</v>
      </c>
    </row>
    <row r="4424" spans="1:8" x14ac:dyDescent="0.25">
      <c r="A4424" s="1" t="s">
        <v>4437</v>
      </c>
      <c r="B4424" s="5">
        <v>45842.25</v>
      </c>
      <c r="C4424" s="1" t="s">
        <v>13</v>
      </c>
      <c r="D4424" s="1" t="s">
        <v>19</v>
      </c>
      <c r="E4424" s="1">
        <v>19</v>
      </c>
      <c r="F4424" s="1">
        <v>394.5</v>
      </c>
      <c r="G4424" s="1">
        <v>21.37</v>
      </c>
      <c r="H4424">
        <f t="shared" si="69"/>
        <v>7495.5</v>
      </c>
    </row>
    <row r="4425" spans="1:8" x14ac:dyDescent="0.25">
      <c r="A4425" s="1" t="s">
        <v>4438</v>
      </c>
      <c r="B4425" s="5">
        <v>45842.291666666664</v>
      </c>
      <c r="C4425" s="1" t="s">
        <v>11</v>
      </c>
      <c r="D4425" s="1" t="s">
        <v>16</v>
      </c>
      <c r="E4425" s="1">
        <v>8</v>
      </c>
      <c r="F4425" s="1">
        <v>197.05</v>
      </c>
      <c r="G4425" s="1">
        <v>9.52</v>
      </c>
      <c r="H4425">
        <f t="shared" si="69"/>
        <v>1576.4</v>
      </c>
    </row>
    <row r="4426" spans="1:8" x14ac:dyDescent="0.25">
      <c r="A4426" s="1" t="s">
        <v>4439</v>
      </c>
      <c r="B4426" s="5">
        <v>45842.333333333336</v>
      </c>
      <c r="C4426" s="1" t="s">
        <v>11</v>
      </c>
      <c r="D4426" s="1" t="s">
        <v>37</v>
      </c>
      <c r="E4426" s="1">
        <v>7</v>
      </c>
      <c r="F4426" s="1">
        <v>258.73</v>
      </c>
      <c r="G4426" s="1">
        <v>43.19</v>
      </c>
      <c r="H4426">
        <f t="shared" si="69"/>
        <v>1811.1100000000001</v>
      </c>
    </row>
    <row r="4427" spans="1:8" x14ac:dyDescent="0.25">
      <c r="A4427" s="1" t="s">
        <v>4440</v>
      </c>
      <c r="B4427" s="5">
        <v>45842.375</v>
      </c>
      <c r="C4427" s="1" t="s">
        <v>13</v>
      </c>
      <c r="D4427" s="1" t="s">
        <v>9</v>
      </c>
      <c r="E4427" s="1">
        <v>1</v>
      </c>
      <c r="F4427" s="1">
        <v>25.04</v>
      </c>
      <c r="G4427" s="1">
        <v>19.55</v>
      </c>
      <c r="H4427">
        <f t="shared" si="69"/>
        <v>25.04</v>
      </c>
    </row>
    <row r="4428" spans="1:8" x14ac:dyDescent="0.25">
      <c r="A4428" s="1" t="s">
        <v>4441</v>
      </c>
      <c r="B4428" s="5">
        <v>45842.416666666664</v>
      </c>
      <c r="C4428" s="1" t="s">
        <v>8</v>
      </c>
      <c r="D4428" s="1" t="s">
        <v>37</v>
      </c>
      <c r="E4428" s="1">
        <v>12</v>
      </c>
      <c r="F4428" s="1">
        <v>422.22</v>
      </c>
      <c r="G4428" s="1">
        <v>24.77</v>
      </c>
      <c r="H4428">
        <f t="shared" si="69"/>
        <v>5066.6400000000003</v>
      </c>
    </row>
    <row r="4429" spans="1:8" x14ac:dyDescent="0.25">
      <c r="A4429" s="1" t="s">
        <v>4442</v>
      </c>
      <c r="B4429" s="5">
        <v>45842.458333333336</v>
      </c>
      <c r="C4429" s="1" t="s">
        <v>23</v>
      </c>
      <c r="D4429" s="1" t="s">
        <v>16</v>
      </c>
      <c r="E4429" s="1">
        <v>5</v>
      </c>
      <c r="F4429" s="1">
        <v>407.74</v>
      </c>
      <c r="G4429" s="1">
        <v>19.57</v>
      </c>
      <c r="H4429">
        <f t="shared" si="69"/>
        <v>2038.7</v>
      </c>
    </row>
    <row r="4430" spans="1:8" x14ac:dyDescent="0.25">
      <c r="A4430" s="1" t="s">
        <v>4443</v>
      </c>
      <c r="B4430" s="5">
        <v>45842.5</v>
      </c>
      <c r="C4430" s="1" t="s">
        <v>8</v>
      </c>
      <c r="D4430" s="1" t="s">
        <v>19</v>
      </c>
      <c r="E4430" s="1">
        <v>16</v>
      </c>
      <c r="F4430" s="1">
        <v>251.55</v>
      </c>
      <c r="G4430" s="1">
        <v>18.95</v>
      </c>
      <c r="H4430">
        <f t="shared" si="69"/>
        <v>4024.8</v>
      </c>
    </row>
    <row r="4431" spans="1:8" x14ac:dyDescent="0.25">
      <c r="A4431" s="1" t="s">
        <v>4444</v>
      </c>
      <c r="B4431" s="5">
        <v>45842.541666666664</v>
      </c>
      <c r="C4431" s="1" t="s">
        <v>13</v>
      </c>
      <c r="D4431" s="1" t="s">
        <v>9</v>
      </c>
      <c r="E4431" s="1">
        <v>4</v>
      </c>
      <c r="F4431" s="1">
        <v>266.33999999999997</v>
      </c>
      <c r="G4431" s="1">
        <v>38.630000000000003</v>
      </c>
      <c r="H4431">
        <f t="shared" si="69"/>
        <v>1065.3599999999999</v>
      </c>
    </row>
    <row r="4432" spans="1:8" x14ac:dyDescent="0.25">
      <c r="A4432" s="1" t="s">
        <v>4445</v>
      </c>
      <c r="B4432" s="5">
        <v>45842.583333333336</v>
      </c>
      <c r="C4432" s="1" t="s">
        <v>8</v>
      </c>
      <c r="D4432" s="1" t="s">
        <v>37</v>
      </c>
      <c r="E4432" s="1">
        <v>17</v>
      </c>
      <c r="F4432" s="1">
        <v>321.83</v>
      </c>
      <c r="G4432" s="1">
        <v>38.64</v>
      </c>
      <c r="H4432">
        <f t="shared" si="69"/>
        <v>5471.11</v>
      </c>
    </row>
    <row r="4433" spans="1:8" x14ac:dyDescent="0.25">
      <c r="A4433" s="1" t="s">
        <v>4446</v>
      </c>
      <c r="B4433" s="5">
        <v>45842.625</v>
      </c>
      <c r="C4433" s="1" t="s">
        <v>11</v>
      </c>
      <c r="D4433" s="1" t="s">
        <v>37</v>
      </c>
      <c r="E4433" s="1">
        <v>2</v>
      </c>
      <c r="F4433" s="1">
        <v>130.51</v>
      </c>
      <c r="G4433" s="1">
        <v>28.3</v>
      </c>
      <c r="H4433">
        <f t="shared" si="69"/>
        <v>261.02</v>
      </c>
    </row>
    <row r="4434" spans="1:8" x14ac:dyDescent="0.25">
      <c r="A4434" s="1" t="s">
        <v>4447</v>
      </c>
      <c r="B4434" s="5">
        <v>45842.666666666664</v>
      </c>
      <c r="C4434" s="1" t="s">
        <v>8</v>
      </c>
      <c r="D4434" s="1" t="s">
        <v>37</v>
      </c>
      <c r="E4434" s="1">
        <v>12</v>
      </c>
      <c r="F4434" s="1">
        <v>111.92</v>
      </c>
      <c r="G4434" s="1">
        <v>34.590000000000003</v>
      </c>
      <c r="H4434">
        <f t="shared" si="69"/>
        <v>1343.04</v>
      </c>
    </row>
    <row r="4435" spans="1:8" x14ac:dyDescent="0.25">
      <c r="A4435" s="1" t="s">
        <v>4448</v>
      </c>
      <c r="B4435" s="5">
        <v>45842.708333333336</v>
      </c>
      <c r="C4435" s="1" t="s">
        <v>13</v>
      </c>
      <c r="D4435" s="1" t="s">
        <v>19</v>
      </c>
      <c r="E4435" s="1">
        <v>1</v>
      </c>
      <c r="F4435" s="1">
        <v>308.36</v>
      </c>
      <c r="G4435" s="1">
        <v>28.02</v>
      </c>
      <c r="H4435">
        <f t="shared" si="69"/>
        <v>308.36</v>
      </c>
    </row>
    <row r="4436" spans="1:8" x14ac:dyDescent="0.25">
      <c r="A4436" s="1" t="s">
        <v>4449</v>
      </c>
      <c r="B4436" s="5">
        <v>45842.75</v>
      </c>
      <c r="C4436" s="1" t="s">
        <v>11</v>
      </c>
      <c r="D4436" s="1" t="s">
        <v>9</v>
      </c>
      <c r="E4436" s="1">
        <v>12</v>
      </c>
      <c r="F4436" s="1">
        <v>60.87</v>
      </c>
      <c r="G4436" s="1">
        <v>6.29</v>
      </c>
      <c r="H4436">
        <f t="shared" si="69"/>
        <v>730.43999999999994</v>
      </c>
    </row>
    <row r="4437" spans="1:8" x14ac:dyDescent="0.25">
      <c r="A4437" s="1" t="s">
        <v>4450</v>
      </c>
      <c r="B4437" s="5">
        <v>45842.791666666664</v>
      </c>
      <c r="C4437" s="1" t="s">
        <v>8</v>
      </c>
      <c r="D4437" s="1" t="s">
        <v>19</v>
      </c>
      <c r="E4437" s="1">
        <v>12</v>
      </c>
      <c r="F4437" s="1">
        <v>212.79</v>
      </c>
      <c r="G4437" s="1">
        <v>7.97</v>
      </c>
      <c r="H4437">
        <f t="shared" si="69"/>
        <v>2553.48</v>
      </c>
    </row>
    <row r="4438" spans="1:8" x14ac:dyDescent="0.25">
      <c r="A4438" s="1" t="s">
        <v>4451</v>
      </c>
      <c r="B4438" s="5">
        <v>45842.833333333336</v>
      </c>
      <c r="C4438" s="1" t="s">
        <v>8</v>
      </c>
      <c r="D4438" s="1" t="s">
        <v>19</v>
      </c>
      <c r="E4438" s="1">
        <v>12</v>
      </c>
      <c r="F4438" s="1">
        <v>229.6</v>
      </c>
      <c r="G4438" s="1">
        <v>22.27</v>
      </c>
      <c r="H4438">
        <f t="shared" si="69"/>
        <v>2755.2</v>
      </c>
    </row>
    <row r="4439" spans="1:8" x14ac:dyDescent="0.25">
      <c r="A4439" s="1" t="s">
        <v>4452</v>
      </c>
      <c r="B4439" s="5">
        <v>45842.875</v>
      </c>
      <c r="C4439" s="1" t="s">
        <v>11</v>
      </c>
      <c r="D4439" s="1" t="s">
        <v>19</v>
      </c>
      <c r="E4439" s="1">
        <v>19</v>
      </c>
      <c r="F4439" s="1">
        <v>181.19</v>
      </c>
      <c r="G4439" s="1">
        <v>38.74</v>
      </c>
      <c r="H4439">
        <f t="shared" si="69"/>
        <v>3442.61</v>
      </c>
    </row>
    <row r="4440" spans="1:8" x14ac:dyDescent="0.25">
      <c r="A4440" s="1" t="s">
        <v>4453</v>
      </c>
      <c r="B4440" s="5">
        <v>45842.916666666664</v>
      </c>
      <c r="C4440" s="1" t="s">
        <v>23</v>
      </c>
      <c r="D4440" s="1" t="s">
        <v>16</v>
      </c>
      <c r="E4440" s="1">
        <v>17</v>
      </c>
      <c r="F4440" s="1">
        <v>96</v>
      </c>
      <c r="G4440" s="1">
        <v>46.1</v>
      </c>
      <c r="H4440">
        <f t="shared" si="69"/>
        <v>1632</v>
      </c>
    </row>
    <row r="4441" spans="1:8" x14ac:dyDescent="0.25">
      <c r="A4441" s="1" t="s">
        <v>4454</v>
      </c>
      <c r="B4441" s="5">
        <v>45842.958333333336</v>
      </c>
      <c r="C4441" s="1" t="s">
        <v>11</v>
      </c>
      <c r="D4441" s="1" t="s">
        <v>16</v>
      </c>
      <c r="E4441" s="1">
        <v>11</v>
      </c>
      <c r="F4441" s="1">
        <v>169.88</v>
      </c>
      <c r="G4441" s="1">
        <v>6.34</v>
      </c>
      <c r="H4441">
        <f t="shared" si="69"/>
        <v>1868.6799999999998</v>
      </c>
    </row>
    <row r="4442" spans="1:8" x14ac:dyDescent="0.25">
      <c r="A4442" s="1" t="s">
        <v>4455</v>
      </c>
      <c r="B4442" s="5">
        <v>45843</v>
      </c>
      <c r="C4442" s="1" t="s">
        <v>23</v>
      </c>
      <c r="D4442" s="1" t="s">
        <v>16</v>
      </c>
      <c r="E4442" s="1">
        <v>13</v>
      </c>
      <c r="F4442" s="1">
        <v>162.16999999999999</v>
      </c>
      <c r="G4442" s="1">
        <v>21.56</v>
      </c>
      <c r="H4442">
        <f t="shared" si="69"/>
        <v>2108.21</v>
      </c>
    </row>
    <row r="4443" spans="1:8" x14ac:dyDescent="0.25">
      <c r="A4443" s="1" t="s">
        <v>4456</v>
      </c>
      <c r="B4443" s="5">
        <v>45843.041666666664</v>
      </c>
      <c r="C4443" s="1" t="s">
        <v>13</v>
      </c>
      <c r="D4443" s="1" t="s">
        <v>9</v>
      </c>
      <c r="E4443" s="1">
        <v>8</v>
      </c>
      <c r="F4443" s="1">
        <v>232.43</v>
      </c>
      <c r="G4443" s="1">
        <v>15.07</v>
      </c>
      <c r="H4443">
        <f t="shared" si="69"/>
        <v>1859.44</v>
      </c>
    </row>
    <row r="4444" spans="1:8" x14ac:dyDescent="0.25">
      <c r="A4444" s="1" t="s">
        <v>4457</v>
      </c>
      <c r="B4444" s="5">
        <v>45843.083333333336</v>
      </c>
      <c r="C4444" s="1" t="s">
        <v>13</v>
      </c>
      <c r="D4444" s="1" t="s">
        <v>19</v>
      </c>
      <c r="E4444" s="1">
        <v>10</v>
      </c>
      <c r="F4444" s="1">
        <v>308.64999999999998</v>
      </c>
      <c r="G4444" s="1">
        <v>41.68</v>
      </c>
      <c r="H4444">
        <f t="shared" si="69"/>
        <v>3086.5</v>
      </c>
    </row>
    <row r="4445" spans="1:8" x14ac:dyDescent="0.25">
      <c r="A4445" s="1" t="s">
        <v>4458</v>
      </c>
      <c r="B4445" s="5">
        <v>45843.125</v>
      </c>
      <c r="C4445" s="1" t="s">
        <v>11</v>
      </c>
      <c r="D4445" s="1" t="s">
        <v>19</v>
      </c>
      <c r="E4445" s="1">
        <v>8</v>
      </c>
      <c r="F4445" s="1">
        <v>436.2</v>
      </c>
      <c r="G4445" s="1">
        <v>43.07</v>
      </c>
      <c r="H4445">
        <f t="shared" si="69"/>
        <v>3489.6</v>
      </c>
    </row>
    <row r="4446" spans="1:8" x14ac:dyDescent="0.25">
      <c r="A4446" s="1" t="s">
        <v>4459</v>
      </c>
      <c r="B4446" s="5">
        <v>45843.166666666664</v>
      </c>
      <c r="C4446" s="1" t="s">
        <v>11</v>
      </c>
      <c r="D4446" s="1" t="s">
        <v>16</v>
      </c>
      <c r="E4446" s="1">
        <v>8</v>
      </c>
      <c r="F4446" s="1">
        <v>78.14</v>
      </c>
      <c r="G4446" s="1">
        <v>14.29</v>
      </c>
      <c r="H4446">
        <f t="shared" si="69"/>
        <v>625.12</v>
      </c>
    </row>
    <row r="4447" spans="1:8" x14ac:dyDescent="0.25">
      <c r="A4447" s="1" t="s">
        <v>4460</v>
      </c>
      <c r="B4447" s="5">
        <v>45843.208333333336</v>
      </c>
      <c r="C4447" s="1" t="s">
        <v>13</v>
      </c>
      <c r="D4447" s="1" t="s">
        <v>19</v>
      </c>
      <c r="E4447" s="1">
        <v>9</v>
      </c>
      <c r="F4447" s="1">
        <v>394.83</v>
      </c>
      <c r="G4447" s="1">
        <v>36.99</v>
      </c>
      <c r="H4447">
        <f t="shared" si="69"/>
        <v>3553.47</v>
      </c>
    </row>
    <row r="4448" spans="1:8" x14ac:dyDescent="0.25">
      <c r="A4448" s="1" t="s">
        <v>4461</v>
      </c>
      <c r="B4448" s="5">
        <v>45843.25</v>
      </c>
      <c r="C4448" s="1" t="s">
        <v>23</v>
      </c>
      <c r="D4448" s="1" t="s">
        <v>19</v>
      </c>
      <c r="E4448" s="1">
        <v>7</v>
      </c>
      <c r="F4448" s="1">
        <v>138.97999999999999</v>
      </c>
      <c r="G4448" s="1">
        <v>37.93</v>
      </c>
      <c r="H4448">
        <f t="shared" si="69"/>
        <v>972.8599999999999</v>
      </c>
    </row>
    <row r="4449" spans="1:8" x14ac:dyDescent="0.25">
      <c r="A4449" s="1" t="s">
        <v>4462</v>
      </c>
      <c r="B4449" s="5">
        <v>45843.291666666664</v>
      </c>
      <c r="C4449" s="1" t="s">
        <v>13</v>
      </c>
      <c r="D4449" s="1" t="s">
        <v>37</v>
      </c>
      <c r="E4449" s="1">
        <v>14</v>
      </c>
      <c r="F4449" s="1">
        <v>272.45</v>
      </c>
      <c r="G4449" s="1">
        <v>12.97</v>
      </c>
      <c r="H4449">
        <f t="shared" si="69"/>
        <v>3814.2999999999997</v>
      </c>
    </row>
    <row r="4450" spans="1:8" x14ac:dyDescent="0.25">
      <c r="A4450" s="1" t="s">
        <v>4463</v>
      </c>
      <c r="B4450" s="5">
        <v>45843.333333333336</v>
      </c>
      <c r="C4450" s="1" t="s">
        <v>11</v>
      </c>
      <c r="D4450" s="1" t="s">
        <v>19</v>
      </c>
      <c r="E4450" s="1">
        <v>2</v>
      </c>
      <c r="F4450" s="1">
        <v>253.06</v>
      </c>
      <c r="G4450" s="1">
        <v>24.52</v>
      </c>
      <c r="H4450">
        <f t="shared" si="69"/>
        <v>506.12</v>
      </c>
    </row>
    <row r="4451" spans="1:8" x14ac:dyDescent="0.25">
      <c r="A4451" s="1" t="s">
        <v>4464</v>
      </c>
      <c r="B4451" s="5">
        <v>45843.375</v>
      </c>
      <c r="C4451" s="1" t="s">
        <v>13</v>
      </c>
      <c r="D4451" s="1" t="s">
        <v>37</v>
      </c>
      <c r="E4451" s="1">
        <v>11</v>
      </c>
      <c r="F4451" s="1">
        <v>257.49</v>
      </c>
      <c r="G4451" s="1">
        <v>32.92</v>
      </c>
      <c r="H4451">
        <f t="shared" si="69"/>
        <v>2832.3900000000003</v>
      </c>
    </row>
    <row r="4452" spans="1:8" x14ac:dyDescent="0.25">
      <c r="A4452" s="1" t="s">
        <v>4465</v>
      </c>
      <c r="B4452" s="5">
        <v>45843.416666666664</v>
      </c>
      <c r="C4452" s="1" t="s">
        <v>11</v>
      </c>
      <c r="D4452" s="1" t="s">
        <v>19</v>
      </c>
      <c r="E4452" s="1">
        <v>8</v>
      </c>
      <c r="F4452" s="1">
        <v>329.8</v>
      </c>
      <c r="G4452" s="1">
        <v>6.17</v>
      </c>
      <c r="H4452">
        <f t="shared" si="69"/>
        <v>2638.4</v>
      </c>
    </row>
    <row r="4453" spans="1:8" x14ac:dyDescent="0.25">
      <c r="A4453" s="1" t="s">
        <v>4466</v>
      </c>
      <c r="B4453" s="5">
        <v>45843.458333333336</v>
      </c>
      <c r="C4453" s="1" t="s">
        <v>11</v>
      </c>
      <c r="D4453" s="1" t="s">
        <v>9</v>
      </c>
      <c r="E4453" s="1">
        <v>13</v>
      </c>
      <c r="F4453" s="1">
        <v>181.34</v>
      </c>
      <c r="G4453" s="1">
        <v>23.21</v>
      </c>
      <c r="H4453">
        <f t="shared" si="69"/>
        <v>2357.42</v>
      </c>
    </row>
    <row r="4454" spans="1:8" x14ac:dyDescent="0.25">
      <c r="A4454" s="1" t="s">
        <v>4467</v>
      </c>
      <c r="B4454" s="5">
        <v>45843.5</v>
      </c>
      <c r="C4454" s="1" t="s">
        <v>13</v>
      </c>
      <c r="D4454" s="1" t="s">
        <v>16</v>
      </c>
      <c r="E4454" s="1">
        <v>15</v>
      </c>
      <c r="F4454" s="1">
        <v>154.15</v>
      </c>
      <c r="G4454" s="1">
        <v>11.97</v>
      </c>
      <c r="H4454">
        <f t="shared" si="69"/>
        <v>2312.25</v>
      </c>
    </row>
    <row r="4455" spans="1:8" x14ac:dyDescent="0.25">
      <c r="A4455" s="1" t="s">
        <v>4468</v>
      </c>
      <c r="B4455" s="5">
        <v>45843.541666666664</v>
      </c>
      <c r="C4455" s="1" t="s">
        <v>23</v>
      </c>
      <c r="D4455" s="1" t="s">
        <v>37</v>
      </c>
      <c r="E4455" s="1">
        <v>3</v>
      </c>
      <c r="F4455" s="1">
        <v>386.06</v>
      </c>
      <c r="G4455" s="1">
        <v>29.39</v>
      </c>
      <c r="H4455">
        <f t="shared" si="69"/>
        <v>1158.18</v>
      </c>
    </row>
    <row r="4456" spans="1:8" x14ac:dyDescent="0.25">
      <c r="A4456" s="1" t="s">
        <v>4469</v>
      </c>
      <c r="B4456" s="5">
        <v>45843.583333333336</v>
      </c>
      <c r="C4456" s="1" t="s">
        <v>8</v>
      </c>
      <c r="D4456" s="1" t="s">
        <v>16</v>
      </c>
      <c r="E4456" s="1">
        <v>14</v>
      </c>
      <c r="F4456" s="1">
        <v>111.13</v>
      </c>
      <c r="G4456" s="1">
        <v>42.93</v>
      </c>
      <c r="H4456">
        <f t="shared" si="69"/>
        <v>1555.82</v>
      </c>
    </row>
    <row r="4457" spans="1:8" x14ac:dyDescent="0.25">
      <c r="A4457" s="1" t="s">
        <v>4470</v>
      </c>
      <c r="B4457" s="5">
        <v>45843.625</v>
      </c>
      <c r="C4457" s="1" t="s">
        <v>13</v>
      </c>
      <c r="D4457" s="1" t="s">
        <v>37</v>
      </c>
      <c r="E4457" s="1">
        <v>15</v>
      </c>
      <c r="F4457" s="1">
        <v>93.82</v>
      </c>
      <c r="G4457" s="1">
        <v>28.61</v>
      </c>
      <c r="H4457">
        <f t="shared" si="69"/>
        <v>1407.3</v>
      </c>
    </row>
    <row r="4458" spans="1:8" x14ac:dyDescent="0.25">
      <c r="A4458" s="1" t="s">
        <v>4471</v>
      </c>
      <c r="B4458" s="5">
        <v>45843.666666666664</v>
      </c>
      <c r="C4458" s="1" t="s">
        <v>8</v>
      </c>
      <c r="D4458" s="1" t="s">
        <v>37</v>
      </c>
      <c r="E4458" s="1">
        <v>2</v>
      </c>
      <c r="F4458" s="1">
        <v>22.28</v>
      </c>
      <c r="G4458" s="1">
        <v>6.62</v>
      </c>
      <c r="H4458">
        <f t="shared" si="69"/>
        <v>44.56</v>
      </c>
    </row>
    <row r="4459" spans="1:8" x14ac:dyDescent="0.25">
      <c r="A4459" s="1" t="s">
        <v>4472</v>
      </c>
      <c r="B4459" s="5">
        <v>45843.708333333336</v>
      </c>
      <c r="C4459" s="1" t="s">
        <v>13</v>
      </c>
      <c r="D4459" s="1" t="s">
        <v>37</v>
      </c>
      <c r="E4459" s="1">
        <v>19</v>
      </c>
      <c r="F4459" s="1">
        <v>107</v>
      </c>
      <c r="G4459" s="1">
        <v>6.33</v>
      </c>
      <c r="H4459">
        <f t="shared" si="69"/>
        <v>2033</v>
      </c>
    </row>
    <row r="4460" spans="1:8" x14ac:dyDescent="0.25">
      <c r="A4460" s="1" t="s">
        <v>4473</v>
      </c>
      <c r="B4460" s="5">
        <v>45843.75</v>
      </c>
      <c r="C4460" s="1" t="s">
        <v>8</v>
      </c>
      <c r="D4460" s="1" t="s">
        <v>9</v>
      </c>
      <c r="E4460" s="1">
        <v>12</v>
      </c>
      <c r="F4460" s="1">
        <v>240.8</v>
      </c>
      <c r="G4460" s="1">
        <v>32.25</v>
      </c>
      <c r="H4460">
        <f t="shared" si="69"/>
        <v>2889.6000000000004</v>
      </c>
    </row>
    <row r="4461" spans="1:8" x14ac:dyDescent="0.25">
      <c r="A4461" s="1" t="s">
        <v>4474</v>
      </c>
      <c r="B4461" s="5">
        <v>45843.791666666664</v>
      </c>
      <c r="C4461" s="1" t="s">
        <v>23</v>
      </c>
      <c r="D4461" s="1" t="s">
        <v>19</v>
      </c>
      <c r="E4461" s="1">
        <v>4</v>
      </c>
      <c r="F4461" s="1">
        <v>249.48</v>
      </c>
      <c r="G4461" s="1">
        <v>19.760000000000002</v>
      </c>
      <c r="H4461">
        <f t="shared" si="69"/>
        <v>997.92</v>
      </c>
    </row>
    <row r="4462" spans="1:8" x14ac:dyDescent="0.25">
      <c r="A4462" s="1" t="s">
        <v>4475</v>
      </c>
      <c r="B4462" s="5">
        <v>45843.833333333336</v>
      </c>
      <c r="C4462" s="1" t="s">
        <v>23</v>
      </c>
      <c r="D4462" s="1" t="s">
        <v>37</v>
      </c>
      <c r="E4462" s="1">
        <v>3</v>
      </c>
      <c r="F4462" s="1">
        <v>126.05</v>
      </c>
      <c r="G4462" s="1">
        <v>30.77</v>
      </c>
      <c r="H4462">
        <f t="shared" si="69"/>
        <v>378.15</v>
      </c>
    </row>
    <row r="4463" spans="1:8" x14ac:dyDescent="0.25">
      <c r="A4463" s="1" t="s">
        <v>4476</v>
      </c>
      <c r="B4463" s="5">
        <v>45843.875</v>
      </c>
      <c r="C4463" s="1" t="s">
        <v>13</v>
      </c>
      <c r="D4463" s="1" t="s">
        <v>9</v>
      </c>
      <c r="E4463" s="1">
        <v>5</v>
      </c>
      <c r="F4463" s="1">
        <v>46.9</v>
      </c>
      <c r="G4463" s="1">
        <v>12.36</v>
      </c>
      <c r="H4463">
        <f t="shared" si="69"/>
        <v>234.5</v>
      </c>
    </row>
    <row r="4464" spans="1:8" x14ac:dyDescent="0.25">
      <c r="A4464" s="1" t="s">
        <v>4477</v>
      </c>
      <c r="B4464" s="5">
        <v>45843.916666666664</v>
      </c>
      <c r="C4464" s="1" t="s">
        <v>11</v>
      </c>
      <c r="D4464" s="1" t="s">
        <v>37</v>
      </c>
      <c r="E4464" s="1">
        <v>3</v>
      </c>
      <c r="F4464" s="1">
        <v>339.05</v>
      </c>
      <c r="G4464" s="1">
        <v>39.96</v>
      </c>
      <c r="H4464">
        <f t="shared" si="69"/>
        <v>1017.1500000000001</v>
      </c>
    </row>
    <row r="4465" spans="1:8" x14ac:dyDescent="0.25">
      <c r="A4465" s="1" t="s">
        <v>4478</v>
      </c>
      <c r="B4465" s="5">
        <v>45843.958333333336</v>
      </c>
      <c r="C4465" s="1" t="s">
        <v>8</v>
      </c>
      <c r="D4465" s="1" t="s">
        <v>19</v>
      </c>
      <c r="E4465" s="1">
        <v>15</v>
      </c>
      <c r="F4465" s="1">
        <v>344.84</v>
      </c>
      <c r="G4465" s="1">
        <v>43.73</v>
      </c>
      <c r="H4465">
        <f t="shared" si="69"/>
        <v>5172.5999999999995</v>
      </c>
    </row>
    <row r="4466" spans="1:8" x14ac:dyDescent="0.25">
      <c r="A4466" s="1" t="s">
        <v>4479</v>
      </c>
      <c r="B4466" s="5">
        <v>45844</v>
      </c>
      <c r="C4466" s="1" t="s">
        <v>11</v>
      </c>
      <c r="D4466" s="1" t="s">
        <v>37</v>
      </c>
      <c r="E4466" s="1">
        <v>19</v>
      </c>
      <c r="F4466" s="1">
        <v>449.06</v>
      </c>
      <c r="G4466" s="1">
        <v>45.02</v>
      </c>
      <c r="H4466">
        <f t="shared" si="69"/>
        <v>8532.14</v>
      </c>
    </row>
    <row r="4467" spans="1:8" x14ac:dyDescent="0.25">
      <c r="A4467" s="1" t="s">
        <v>4480</v>
      </c>
      <c r="B4467" s="5">
        <v>45844.041666666664</v>
      </c>
      <c r="C4467" s="1" t="s">
        <v>11</v>
      </c>
      <c r="D4467" s="1" t="s">
        <v>9</v>
      </c>
      <c r="E4467" s="1">
        <v>2</v>
      </c>
      <c r="F4467" s="1">
        <v>406.56</v>
      </c>
      <c r="G4467" s="1">
        <v>18.68</v>
      </c>
      <c r="H4467">
        <f t="shared" si="69"/>
        <v>813.12</v>
      </c>
    </row>
    <row r="4468" spans="1:8" x14ac:dyDescent="0.25">
      <c r="A4468" s="1" t="s">
        <v>4481</v>
      </c>
      <c r="B4468" s="5">
        <v>45844.083333333336</v>
      </c>
      <c r="C4468" s="1" t="s">
        <v>11</v>
      </c>
      <c r="D4468" s="1" t="s">
        <v>19</v>
      </c>
      <c r="E4468" s="1">
        <v>12</v>
      </c>
      <c r="F4468" s="1">
        <v>417.87</v>
      </c>
      <c r="G4468" s="1">
        <v>34.729999999999997</v>
      </c>
      <c r="H4468">
        <f t="shared" si="69"/>
        <v>5014.4400000000005</v>
      </c>
    </row>
    <row r="4469" spans="1:8" x14ac:dyDescent="0.25">
      <c r="A4469" s="1" t="s">
        <v>4482</v>
      </c>
      <c r="B4469" s="5">
        <v>45844.125</v>
      </c>
      <c r="C4469" s="1" t="s">
        <v>23</v>
      </c>
      <c r="D4469" s="1" t="s">
        <v>9</v>
      </c>
      <c r="E4469" s="1">
        <v>5</v>
      </c>
      <c r="F4469" s="1">
        <v>362.32</v>
      </c>
      <c r="G4469" s="1">
        <v>17.559999999999999</v>
      </c>
      <c r="H4469">
        <f t="shared" si="69"/>
        <v>1811.6</v>
      </c>
    </row>
    <row r="4470" spans="1:8" x14ac:dyDescent="0.25">
      <c r="A4470" s="1" t="s">
        <v>4483</v>
      </c>
      <c r="B4470" s="5">
        <v>45844.166666666664</v>
      </c>
      <c r="C4470" s="1" t="s">
        <v>13</v>
      </c>
      <c r="D4470" s="1" t="s">
        <v>19</v>
      </c>
      <c r="E4470" s="1">
        <v>17</v>
      </c>
      <c r="F4470" s="1">
        <v>282.94</v>
      </c>
      <c r="G4470" s="1">
        <v>39.32</v>
      </c>
      <c r="H4470">
        <f t="shared" si="69"/>
        <v>4809.9799999999996</v>
      </c>
    </row>
    <row r="4471" spans="1:8" x14ac:dyDescent="0.25">
      <c r="A4471" s="1" t="s">
        <v>4484</v>
      </c>
      <c r="B4471" s="5">
        <v>45844.208333333336</v>
      </c>
      <c r="C4471" s="1" t="s">
        <v>13</v>
      </c>
      <c r="D4471" s="1" t="s">
        <v>19</v>
      </c>
      <c r="E4471" s="1">
        <v>14</v>
      </c>
      <c r="F4471" s="1">
        <v>71.349999999999994</v>
      </c>
      <c r="G4471" s="1">
        <v>10.42</v>
      </c>
      <c r="H4471">
        <f t="shared" si="69"/>
        <v>998.89999999999986</v>
      </c>
    </row>
    <row r="4472" spans="1:8" x14ac:dyDescent="0.25">
      <c r="A4472" s="1" t="s">
        <v>4485</v>
      </c>
      <c r="B4472" s="5">
        <v>45844.25</v>
      </c>
      <c r="C4472" s="1" t="s">
        <v>23</v>
      </c>
      <c r="D4472" s="1" t="s">
        <v>16</v>
      </c>
      <c r="E4472" s="1">
        <v>10</v>
      </c>
      <c r="F4472" s="1">
        <v>285.89999999999998</v>
      </c>
      <c r="G4472" s="1">
        <v>39.32</v>
      </c>
      <c r="H4472">
        <f t="shared" si="69"/>
        <v>2859</v>
      </c>
    </row>
    <row r="4473" spans="1:8" x14ac:dyDescent="0.25">
      <c r="A4473" s="1" t="s">
        <v>4486</v>
      </c>
      <c r="B4473" s="5">
        <v>45844.291666666664</v>
      </c>
      <c r="C4473" s="1" t="s">
        <v>23</v>
      </c>
      <c r="D4473" s="1" t="s">
        <v>16</v>
      </c>
      <c r="E4473" s="1">
        <v>3</v>
      </c>
      <c r="F4473" s="1">
        <v>39.81</v>
      </c>
      <c r="G4473" s="1">
        <v>24.79</v>
      </c>
      <c r="H4473">
        <f t="shared" si="69"/>
        <v>119.43</v>
      </c>
    </row>
    <row r="4474" spans="1:8" x14ac:dyDescent="0.25">
      <c r="A4474" s="1" t="s">
        <v>4487</v>
      </c>
      <c r="B4474" s="5">
        <v>45844.333333333336</v>
      </c>
      <c r="C4474" s="1" t="s">
        <v>13</v>
      </c>
      <c r="D4474" s="1" t="s">
        <v>16</v>
      </c>
      <c r="E4474" s="1">
        <v>4</v>
      </c>
      <c r="F4474" s="1">
        <v>400.16</v>
      </c>
      <c r="G4474" s="1">
        <v>43.5</v>
      </c>
      <c r="H4474">
        <f t="shared" si="69"/>
        <v>1600.64</v>
      </c>
    </row>
    <row r="4475" spans="1:8" x14ac:dyDescent="0.25">
      <c r="A4475" s="1" t="s">
        <v>4488</v>
      </c>
      <c r="B4475" s="5">
        <v>45844.375</v>
      </c>
      <c r="C4475" s="1" t="s">
        <v>11</v>
      </c>
      <c r="D4475" s="1" t="s">
        <v>19</v>
      </c>
      <c r="E4475" s="1">
        <v>6</v>
      </c>
      <c r="F4475" s="1">
        <v>224.85</v>
      </c>
      <c r="G4475" s="1">
        <v>38.25</v>
      </c>
      <c r="H4475">
        <f t="shared" si="69"/>
        <v>1349.1</v>
      </c>
    </row>
    <row r="4476" spans="1:8" x14ac:dyDescent="0.25">
      <c r="A4476" s="1" t="s">
        <v>4489</v>
      </c>
      <c r="B4476" s="5">
        <v>45844.416666666664</v>
      </c>
      <c r="C4476" s="1" t="s">
        <v>8</v>
      </c>
      <c r="D4476" s="1" t="s">
        <v>37</v>
      </c>
      <c r="E4476" s="1">
        <v>16</v>
      </c>
      <c r="F4476" s="1">
        <v>318.55</v>
      </c>
      <c r="G4476" s="1">
        <v>21.94</v>
      </c>
      <c r="H4476">
        <f t="shared" si="69"/>
        <v>5096.8</v>
      </c>
    </row>
    <row r="4477" spans="1:8" x14ac:dyDescent="0.25">
      <c r="A4477" s="1" t="s">
        <v>4490</v>
      </c>
      <c r="B4477" s="5">
        <v>45844.458333333336</v>
      </c>
      <c r="C4477" s="1" t="s">
        <v>8</v>
      </c>
      <c r="D4477" s="1" t="s">
        <v>9</v>
      </c>
      <c r="E4477" s="1">
        <v>7</v>
      </c>
      <c r="F4477" s="1">
        <v>38.200000000000003</v>
      </c>
      <c r="G4477" s="1">
        <v>45.66</v>
      </c>
      <c r="H4477">
        <f t="shared" si="69"/>
        <v>267.40000000000003</v>
      </c>
    </row>
    <row r="4478" spans="1:8" x14ac:dyDescent="0.25">
      <c r="A4478" s="1" t="s">
        <v>4491</v>
      </c>
      <c r="B4478" s="5">
        <v>45844.5</v>
      </c>
      <c r="C4478" s="1" t="s">
        <v>8</v>
      </c>
      <c r="D4478" s="1" t="s">
        <v>9</v>
      </c>
      <c r="E4478" s="1">
        <v>15</v>
      </c>
      <c r="F4478" s="1">
        <v>247.63</v>
      </c>
      <c r="G4478" s="1">
        <v>17.75</v>
      </c>
      <c r="H4478">
        <f t="shared" si="69"/>
        <v>3714.45</v>
      </c>
    </row>
    <row r="4479" spans="1:8" x14ac:dyDescent="0.25">
      <c r="A4479" s="1" t="s">
        <v>4492</v>
      </c>
      <c r="B4479" s="5">
        <v>45844.541666666664</v>
      </c>
      <c r="C4479" s="1" t="s">
        <v>11</v>
      </c>
      <c r="D4479" s="1" t="s">
        <v>9</v>
      </c>
      <c r="E4479" s="1">
        <v>11</v>
      </c>
      <c r="F4479" s="1">
        <v>146.4</v>
      </c>
      <c r="G4479" s="1">
        <v>48.51</v>
      </c>
      <c r="H4479">
        <f t="shared" si="69"/>
        <v>1610.4</v>
      </c>
    </row>
    <row r="4480" spans="1:8" x14ac:dyDescent="0.25">
      <c r="A4480" s="1" t="s">
        <v>4493</v>
      </c>
      <c r="B4480" s="5">
        <v>45844.583333333336</v>
      </c>
      <c r="C4480" s="1" t="s">
        <v>13</v>
      </c>
      <c r="D4480" s="1" t="s">
        <v>16</v>
      </c>
      <c r="E4480" s="1">
        <v>1</v>
      </c>
      <c r="F4480" s="1">
        <v>139.32</v>
      </c>
      <c r="G4480" s="1">
        <v>39.520000000000003</v>
      </c>
      <c r="H4480">
        <f t="shared" si="69"/>
        <v>139.32</v>
      </c>
    </row>
    <row r="4481" spans="1:8" x14ac:dyDescent="0.25">
      <c r="A4481" s="1" t="s">
        <v>4494</v>
      </c>
      <c r="B4481" s="5">
        <v>45844.625</v>
      </c>
      <c r="C4481" s="1" t="s">
        <v>23</v>
      </c>
      <c r="D4481" s="1" t="s">
        <v>19</v>
      </c>
      <c r="E4481" s="1">
        <v>5</v>
      </c>
      <c r="F4481" s="1">
        <v>184.81</v>
      </c>
      <c r="G4481" s="1">
        <v>49.58</v>
      </c>
      <c r="H4481">
        <f t="shared" si="69"/>
        <v>924.05</v>
      </c>
    </row>
    <row r="4482" spans="1:8" x14ac:dyDescent="0.25">
      <c r="A4482" s="1" t="s">
        <v>4495</v>
      </c>
      <c r="B4482" s="5">
        <v>45844.666666666664</v>
      </c>
      <c r="C4482" s="1" t="s">
        <v>13</v>
      </c>
      <c r="D4482" s="1" t="s">
        <v>16</v>
      </c>
      <c r="E4482" s="1">
        <v>13</v>
      </c>
      <c r="F4482" s="1">
        <v>15.78</v>
      </c>
      <c r="G4482" s="1">
        <v>7.43</v>
      </c>
      <c r="H4482">
        <f t="shared" ref="H4482:H4545" si="70">E4482*F4482</f>
        <v>205.14</v>
      </c>
    </row>
    <row r="4483" spans="1:8" x14ac:dyDescent="0.25">
      <c r="A4483" s="1" t="s">
        <v>4496</v>
      </c>
      <c r="B4483" s="5">
        <v>45844.708333333336</v>
      </c>
      <c r="C4483" s="1" t="s">
        <v>11</v>
      </c>
      <c r="D4483" s="1" t="s">
        <v>37</v>
      </c>
      <c r="E4483" s="1">
        <v>14</v>
      </c>
      <c r="F4483" s="1">
        <v>218.26</v>
      </c>
      <c r="G4483" s="1">
        <v>17.329999999999998</v>
      </c>
      <c r="H4483">
        <f t="shared" si="70"/>
        <v>3055.64</v>
      </c>
    </row>
    <row r="4484" spans="1:8" x14ac:dyDescent="0.25">
      <c r="A4484" s="1" t="s">
        <v>4497</v>
      </c>
      <c r="B4484" s="5">
        <v>45844.75</v>
      </c>
      <c r="C4484" s="1" t="s">
        <v>23</v>
      </c>
      <c r="D4484" s="1" t="s">
        <v>19</v>
      </c>
      <c r="E4484" s="1">
        <v>9</v>
      </c>
      <c r="F4484" s="1">
        <v>226.91</v>
      </c>
      <c r="G4484" s="1">
        <v>38.36</v>
      </c>
      <c r="H4484">
        <f t="shared" si="70"/>
        <v>2042.19</v>
      </c>
    </row>
    <row r="4485" spans="1:8" x14ac:dyDescent="0.25">
      <c r="A4485" s="1" t="s">
        <v>4498</v>
      </c>
      <c r="B4485" s="5">
        <v>45844.791666666664</v>
      </c>
      <c r="C4485" s="1" t="s">
        <v>11</v>
      </c>
      <c r="D4485" s="1" t="s">
        <v>9</v>
      </c>
      <c r="E4485" s="1">
        <v>17</v>
      </c>
      <c r="F4485" s="1">
        <v>390.53</v>
      </c>
      <c r="G4485" s="1">
        <v>46.5</v>
      </c>
      <c r="H4485">
        <f t="shared" si="70"/>
        <v>6639.0099999999993</v>
      </c>
    </row>
    <row r="4486" spans="1:8" x14ac:dyDescent="0.25">
      <c r="A4486" s="1" t="s">
        <v>4499</v>
      </c>
      <c r="B4486" s="5">
        <v>45844.833333333336</v>
      </c>
      <c r="C4486" s="1" t="s">
        <v>8</v>
      </c>
      <c r="D4486" s="1" t="s">
        <v>16</v>
      </c>
      <c r="E4486" s="1">
        <v>15</v>
      </c>
      <c r="F4486" s="1">
        <v>210.38</v>
      </c>
      <c r="G4486" s="1">
        <v>6.29</v>
      </c>
      <c r="H4486">
        <f t="shared" si="70"/>
        <v>3155.7</v>
      </c>
    </row>
    <row r="4487" spans="1:8" x14ac:dyDescent="0.25">
      <c r="A4487" s="1" t="s">
        <v>4500</v>
      </c>
      <c r="B4487" s="5">
        <v>45844.875</v>
      </c>
      <c r="C4487" s="1" t="s">
        <v>8</v>
      </c>
      <c r="D4487" s="1" t="s">
        <v>16</v>
      </c>
      <c r="E4487" s="1">
        <v>7</v>
      </c>
      <c r="F4487" s="1">
        <v>173.47</v>
      </c>
      <c r="G4487" s="1">
        <v>5</v>
      </c>
      <c r="H4487">
        <f t="shared" si="70"/>
        <v>1214.29</v>
      </c>
    </row>
    <row r="4488" spans="1:8" x14ac:dyDescent="0.25">
      <c r="A4488" s="1" t="s">
        <v>4501</v>
      </c>
      <c r="B4488" s="5">
        <v>45844.916666666664</v>
      </c>
      <c r="C4488" s="1" t="s">
        <v>11</v>
      </c>
      <c r="D4488" s="1" t="s">
        <v>37</v>
      </c>
      <c r="E4488" s="1">
        <v>12</v>
      </c>
      <c r="F4488" s="1">
        <v>447.72</v>
      </c>
      <c r="G4488" s="1">
        <v>16.53</v>
      </c>
      <c r="H4488">
        <f t="shared" si="70"/>
        <v>5372.64</v>
      </c>
    </row>
    <row r="4489" spans="1:8" x14ac:dyDescent="0.25">
      <c r="A4489" s="1" t="s">
        <v>4502</v>
      </c>
      <c r="B4489" s="5">
        <v>45844.958333333336</v>
      </c>
      <c r="C4489" s="1" t="s">
        <v>23</v>
      </c>
      <c r="D4489" s="1" t="s">
        <v>37</v>
      </c>
      <c r="E4489" s="1">
        <v>6</v>
      </c>
      <c r="F4489" s="1">
        <v>263.69</v>
      </c>
      <c r="G4489" s="1">
        <v>43.38</v>
      </c>
      <c r="H4489">
        <f t="shared" si="70"/>
        <v>1582.1399999999999</v>
      </c>
    </row>
    <row r="4490" spans="1:8" x14ac:dyDescent="0.25">
      <c r="A4490" s="1" t="s">
        <v>4503</v>
      </c>
      <c r="B4490" s="5">
        <v>45845</v>
      </c>
      <c r="C4490" s="1" t="s">
        <v>23</v>
      </c>
      <c r="D4490" s="1" t="s">
        <v>16</v>
      </c>
      <c r="E4490" s="1">
        <v>16</v>
      </c>
      <c r="F4490" s="1">
        <v>220.85</v>
      </c>
      <c r="G4490" s="1">
        <v>39.520000000000003</v>
      </c>
      <c r="H4490">
        <f t="shared" si="70"/>
        <v>3533.6</v>
      </c>
    </row>
    <row r="4491" spans="1:8" x14ac:dyDescent="0.25">
      <c r="A4491" s="1" t="s">
        <v>4504</v>
      </c>
      <c r="B4491" s="5">
        <v>45845.041666666664</v>
      </c>
      <c r="C4491" s="1" t="s">
        <v>13</v>
      </c>
      <c r="D4491" s="1" t="s">
        <v>37</v>
      </c>
      <c r="E4491" s="1">
        <v>5</v>
      </c>
      <c r="F4491" s="1">
        <v>230.98</v>
      </c>
      <c r="G4491" s="1">
        <v>20.309999999999999</v>
      </c>
      <c r="H4491">
        <f t="shared" si="70"/>
        <v>1154.8999999999999</v>
      </c>
    </row>
    <row r="4492" spans="1:8" x14ac:dyDescent="0.25">
      <c r="A4492" s="1" t="s">
        <v>4505</v>
      </c>
      <c r="B4492" s="5">
        <v>45845.083333333336</v>
      </c>
      <c r="C4492" s="1" t="s">
        <v>8</v>
      </c>
      <c r="D4492" s="1" t="s">
        <v>9</v>
      </c>
      <c r="E4492" s="1">
        <v>9</v>
      </c>
      <c r="F4492" s="1">
        <v>367.09</v>
      </c>
      <c r="G4492" s="1">
        <v>5.09</v>
      </c>
      <c r="H4492">
        <f t="shared" si="70"/>
        <v>3303.81</v>
      </c>
    </row>
    <row r="4493" spans="1:8" x14ac:dyDescent="0.25">
      <c r="A4493" s="1" t="s">
        <v>4506</v>
      </c>
      <c r="B4493" s="5">
        <v>45845.125</v>
      </c>
      <c r="C4493" s="1" t="s">
        <v>13</v>
      </c>
      <c r="D4493" s="1" t="s">
        <v>37</v>
      </c>
      <c r="E4493" s="1">
        <v>14</v>
      </c>
      <c r="F4493" s="1">
        <v>163.52000000000001</v>
      </c>
      <c r="G4493" s="1">
        <v>29.96</v>
      </c>
      <c r="H4493">
        <f t="shared" si="70"/>
        <v>2289.2800000000002</v>
      </c>
    </row>
    <row r="4494" spans="1:8" x14ac:dyDescent="0.25">
      <c r="A4494" s="1" t="s">
        <v>4507</v>
      </c>
      <c r="B4494" s="5">
        <v>45845.166666666664</v>
      </c>
      <c r="C4494" s="1" t="s">
        <v>13</v>
      </c>
      <c r="D4494" s="1" t="s">
        <v>37</v>
      </c>
      <c r="E4494" s="1">
        <v>8</v>
      </c>
      <c r="F4494" s="1">
        <v>184.59</v>
      </c>
      <c r="G4494" s="1">
        <v>15.71</v>
      </c>
      <c r="H4494">
        <f t="shared" si="70"/>
        <v>1476.72</v>
      </c>
    </row>
    <row r="4495" spans="1:8" x14ac:dyDescent="0.25">
      <c r="A4495" s="1" t="s">
        <v>4508</v>
      </c>
      <c r="B4495" s="5">
        <v>45845.208333333336</v>
      </c>
      <c r="C4495" s="1" t="s">
        <v>11</v>
      </c>
      <c r="D4495" s="1" t="s">
        <v>16</v>
      </c>
      <c r="E4495" s="1">
        <v>14</v>
      </c>
      <c r="F4495" s="1">
        <v>343.93</v>
      </c>
      <c r="G4495" s="1">
        <v>38.549999999999997</v>
      </c>
      <c r="H4495">
        <f t="shared" si="70"/>
        <v>4815.0200000000004</v>
      </c>
    </row>
    <row r="4496" spans="1:8" x14ac:dyDescent="0.25">
      <c r="A4496" s="1" t="s">
        <v>4509</v>
      </c>
      <c r="B4496" s="5">
        <v>45845.25</v>
      </c>
      <c r="C4496" s="1" t="s">
        <v>11</v>
      </c>
      <c r="D4496" s="1" t="s">
        <v>16</v>
      </c>
      <c r="E4496" s="1">
        <v>12</v>
      </c>
      <c r="F4496" s="1">
        <v>47.21</v>
      </c>
      <c r="G4496" s="1">
        <v>25.09</v>
      </c>
      <c r="H4496">
        <f t="shared" si="70"/>
        <v>566.52</v>
      </c>
    </row>
    <row r="4497" spans="1:8" x14ac:dyDescent="0.25">
      <c r="A4497" s="1" t="s">
        <v>4510</v>
      </c>
      <c r="B4497" s="5">
        <v>45845.291666666664</v>
      </c>
      <c r="C4497" s="1" t="s">
        <v>13</v>
      </c>
      <c r="D4497" s="1" t="s">
        <v>19</v>
      </c>
      <c r="E4497" s="1">
        <v>10</v>
      </c>
      <c r="F4497" s="1">
        <v>391.42</v>
      </c>
      <c r="G4497" s="1">
        <v>35.54</v>
      </c>
      <c r="H4497">
        <f t="shared" si="70"/>
        <v>3914.2000000000003</v>
      </c>
    </row>
    <row r="4498" spans="1:8" x14ac:dyDescent="0.25">
      <c r="A4498" s="1" t="s">
        <v>4511</v>
      </c>
      <c r="B4498" s="5">
        <v>45845.333333333336</v>
      </c>
      <c r="C4498" s="1" t="s">
        <v>8</v>
      </c>
      <c r="D4498" s="1" t="s">
        <v>19</v>
      </c>
      <c r="E4498" s="1">
        <v>13</v>
      </c>
      <c r="F4498" s="1">
        <v>202.42</v>
      </c>
      <c r="G4498" s="1">
        <v>43.35</v>
      </c>
      <c r="H4498">
        <f t="shared" si="70"/>
        <v>2631.46</v>
      </c>
    </row>
    <row r="4499" spans="1:8" x14ac:dyDescent="0.25">
      <c r="A4499" s="1" t="s">
        <v>4512</v>
      </c>
      <c r="B4499" s="5">
        <v>45845.375</v>
      </c>
      <c r="C4499" s="1" t="s">
        <v>11</v>
      </c>
      <c r="D4499" s="1" t="s">
        <v>16</v>
      </c>
      <c r="E4499" s="1">
        <v>19</v>
      </c>
      <c r="F4499" s="1">
        <v>268.07</v>
      </c>
      <c r="G4499" s="1">
        <v>29.11</v>
      </c>
      <c r="H4499">
        <f t="shared" si="70"/>
        <v>5093.33</v>
      </c>
    </row>
    <row r="4500" spans="1:8" x14ac:dyDescent="0.25">
      <c r="A4500" s="1" t="s">
        <v>4513</v>
      </c>
      <c r="B4500" s="5">
        <v>45845.416666666664</v>
      </c>
      <c r="C4500" s="1" t="s">
        <v>13</v>
      </c>
      <c r="D4500" s="1" t="s">
        <v>37</v>
      </c>
      <c r="E4500" s="1">
        <v>15</v>
      </c>
      <c r="F4500" s="1">
        <v>344.62</v>
      </c>
      <c r="G4500" s="1">
        <v>20.12</v>
      </c>
      <c r="H4500">
        <f t="shared" si="70"/>
        <v>5169.3</v>
      </c>
    </row>
    <row r="4501" spans="1:8" x14ac:dyDescent="0.25">
      <c r="A4501" s="1" t="s">
        <v>4514</v>
      </c>
      <c r="B4501" s="5">
        <v>45845.458333333336</v>
      </c>
      <c r="C4501" s="1" t="s">
        <v>13</v>
      </c>
      <c r="D4501" s="1" t="s">
        <v>37</v>
      </c>
      <c r="E4501" s="1">
        <v>8</v>
      </c>
      <c r="F4501" s="1">
        <v>131.1</v>
      </c>
      <c r="G4501" s="1">
        <v>39.630000000000003</v>
      </c>
      <c r="H4501">
        <f t="shared" si="70"/>
        <v>1048.8</v>
      </c>
    </row>
    <row r="4502" spans="1:8" x14ac:dyDescent="0.25">
      <c r="A4502" s="1" t="s">
        <v>4515</v>
      </c>
      <c r="B4502" s="5">
        <v>45845.5</v>
      </c>
      <c r="C4502" s="1" t="s">
        <v>13</v>
      </c>
      <c r="D4502" s="1" t="s">
        <v>19</v>
      </c>
      <c r="E4502" s="1">
        <v>10</v>
      </c>
      <c r="F4502" s="1">
        <v>402.34</v>
      </c>
      <c r="G4502" s="1">
        <v>16.93</v>
      </c>
      <c r="H4502">
        <f t="shared" si="70"/>
        <v>4023.3999999999996</v>
      </c>
    </row>
    <row r="4503" spans="1:8" x14ac:dyDescent="0.25">
      <c r="A4503" s="1" t="s">
        <v>4516</v>
      </c>
      <c r="B4503" s="5">
        <v>45845.541666666664</v>
      </c>
      <c r="C4503" s="1" t="s">
        <v>13</v>
      </c>
      <c r="D4503" s="1" t="s">
        <v>19</v>
      </c>
      <c r="E4503" s="1">
        <v>3</v>
      </c>
      <c r="F4503" s="1">
        <v>440.97</v>
      </c>
      <c r="G4503" s="1">
        <v>45.12</v>
      </c>
      <c r="H4503">
        <f t="shared" si="70"/>
        <v>1322.91</v>
      </c>
    </row>
    <row r="4504" spans="1:8" x14ac:dyDescent="0.25">
      <c r="A4504" s="1" t="s">
        <v>4517</v>
      </c>
      <c r="B4504" s="5">
        <v>45845.583333333336</v>
      </c>
      <c r="C4504" s="1" t="s">
        <v>13</v>
      </c>
      <c r="D4504" s="1" t="s">
        <v>19</v>
      </c>
      <c r="E4504" s="1">
        <v>3</v>
      </c>
      <c r="F4504" s="1">
        <v>230.26</v>
      </c>
      <c r="G4504" s="1">
        <v>8.2100000000000009</v>
      </c>
      <c r="H4504">
        <f t="shared" si="70"/>
        <v>690.78</v>
      </c>
    </row>
    <row r="4505" spans="1:8" x14ac:dyDescent="0.25">
      <c r="A4505" s="1" t="s">
        <v>4518</v>
      </c>
      <c r="B4505" s="5">
        <v>45845.625</v>
      </c>
      <c r="C4505" s="1" t="s">
        <v>13</v>
      </c>
      <c r="D4505" s="1" t="s">
        <v>9</v>
      </c>
      <c r="E4505" s="1">
        <v>5</v>
      </c>
      <c r="F4505" s="1">
        <v>422.6</v>
      </c>
      <c r="G4505" s="1">
        <v>42.6</v>
      </c>
      <c r="H4505">
        <f t="shared" si="70"/>
        <v>2113</v>
      </c>
    </row>
    <row r="4506" spans="1:8" x14ac:dyDescent="0.25">
      <c r="A4506" s="1" t="s">
        <v>4519</v>
      </c>
      <c r="B4506" s="5">
        <v>45845.666666666664</v>
      </c>
      <c r="C4506" s="1" t="s">
        <v>11</v>
      </c>
      <c r="D4506" s="1" t="s">
        <v>9</v>
      </c>
      <c r="E4506" s="1">
        <v>16</v>
      </c>
      <c r="F4506" s="1">
        <v>15.99</v>
      </c>
      <c r="G4506" s="1">
        <v>9.1199999999999992</v>
      </c>
      <c r="H4506">
        <f t="shared" si="70"/>
        <v>255.84</v>
      </c>
    </row>
    <row r="4507" spans="1:8" x14ac:dyDescent="0.25">
      <c r="A4507" s="1" t="s">
        <v>4520</v>
      </c>
      <c r="B4507" s="5">
        <v>45845.708333333336</v>
      </c>
      <c r="C4507" s="1" t="s">
        <v>8</v>
      </c>
      <c r="D4507" s="1" t="s">
        <v>19</v>
      </c>
      <c r="E4507" s="1">
        <v>17</v>
      </c>
      <c r="F4507" s="1">
        <v>404.05</v>
      </c>
      <c r="G4507" s="1">
        <v>7.53</v>
      </c>
      <c r="H4507">
        <f t="shared" si="70"/>
        <v>6868.85</v>
      </c>
    </row>
    <row r="4508" spans="1:8" x14ac:dyDescent="0.25">
      <c r="A4508" s="1" t="s">
        <v>4521</v>
      </c>
      <c r="B4508" s="5">
        <v>45845.75</v>
      </c>
      <c r="C4508" s="1" t="s">
        <v>13</v>
      </c>
      <c r="D4508" s="1" t="s">
        <v>37</v>
      </c>
      <c r="E4508" s="1">
        <v>6</v>
      </c>
      <c r="F4508" s="1">
        <v>150.65</v>
      </c>
      <c r="G4508" s="1">
        <v>21.35</v>
      </c>
      <c r="H4508">
        <f t="shared" si="70"/>
        <v>903.90000000000009</v>
      </c>
    </row>
    <row r="4509" spans="1:8" x14ac:dyDescent="0.25">
      <c r="A4509" s="1" t="s">
        <v>4522</v>
      </c>
      <c r="B4509" s="5">
        <v>45845.791666666664</v>
      </c>
      <c r="C4509" s="1" t="s">
        <v>23</v>
      </c>
      <c r="D4509" s="1" t="s">
        <v>19</v>
      </c>
      <c r="E4509" s="1">
        <v>16</v>
      </c>
      <c r="F4509" s="1">
        <v>150.84</v>
      </c>
      <c r="G4509" s="1">
        <v>48.04</v>
      </c>
      <c r="H4509">
        <f t="shared" si="70"/>
        <v>2413.44</v>
      </c>
    </row>
    <row r="4510" spans="1:8" x14ac:dyDescent="0.25">
      <c r="A4510" s="1" t="s">
        <v>4523</v>
      </c>
      <c r="B4510" s="5">
        <v>45845.833333333336</v>
      </c>
      <c r="C4510" s="1" t="s">
        <v>11</v>
      </c>
      <c r="D4510" s="1" t="s">
        <v>9</v>
      </c>
      <c r="E4510" s="1">
        <v>2</v>
      </c>
      <c r="F4510" s="1">
        <v>114.6</v>
      </c>
      <c r="G4510" s="1">
        <v>49.26</v>
      </c>
      <c r="H4510">
        <f t="shared" si="70"/>
        <v>229.2</v>
      </c>
    </row>
    <row r="4511" spans="1:8" x14ac:dyDescent="0.25">
      <c r="A4511" s="1" t="s">
        <v>4524</v>
      </c>
      <c r="B4511" s="5">
        <v>45845.875</v>
      </c>
      <c r="C4511" s="1" t="s">
        <v>11</v>
      </c>
      <c r="D4511" s="1" t="s">
        <v>37</v>
      </c>
      <c r="E4511" s="1">
        <v>15</v>
      </c>
      <c r="F4511" s="1">
        <v>153.24</v>
      </c>
      <c r="G4511" s="1">
        <v>14.09</v>
      </c>
      <c r="H4511">
        <f t="shared" si="70"/>
        <v>2298.6000000000004</v>
      </c>
    </row>
    <row r="4512" spans="1:8" x14ac:dyDescent="0.25">
      <c r="A4512" s="1" t="s">
        <v>4525</v>
      </c>
      <c r="B4512" s="5">
        <v>45845.916666666664</v>
      </c>
      <c r="C4512" s="1" t="s">
        <v>13</v>
      </c>
      <c r="D4512" s="1" t="s">
        <v>9</v>
      </c>
      <c r="E4512" s="1">
        <v>18</v>
      </c>
      <c r="F4512" s="1">
        <v>108.26</v>
      </c>
      <c r="G4512" s="1">
        <v>11.69</v>
      </c>
      <c r="H4512">
        <f t="shared" si="70"/>
        <v>1948.68</v>
      </c>
    </row>
    <row r="4513" spans="1:8" x14ac:dyDescent="0.25">
      <c r="A4513" s="1" t="s">
        <v>4526</v>
      </c>
      <c r="B4513" s="5">
        <v>45845.958333333336</v>
      </c>
      <c r="C4513" s="1" t="s">
        <v>11</v>
      </c>
      <c r="D4513" s="1" t="s">
        <v>37</v>
      </c>
      <c r="E4513" s="1">
        <v>1</v>
      </c>
      <c r="F4513" s="1">
        <v>409.1</v>
      </c>
      <c r="G4513" s="1">
        <v>20.88</v>
      </c>
      <c r="H4513">
        <f t="shared" si="70"/>
        <v>409.1</v>
      </c>
    </row>
    <row r="4514" spans="1:8" x14ac:dyDescent="0.25">
      <c r="A4514" s="1" t="s">
        <v>4527</v>
      </c>
      <c r="B4514" s="5">
        <v>45846</v>
      </c>
      <c r="C4514" s="1" t="s">
        <v>13</v>
      </c>
      <c r="D4514" s="1" t="s">
        <v>9</v>
      </c>
      <c r="E4514" s="1">
        <v>19</v>
      </c>
      <c r="F4514" s="1">
        <v>406.13</v>
      </c>
      <c r="G4514" s="1">
        <v>20.170000000000002</v>
      </c>
      <c r="H4514">
        <f t="shared" si="70"/>
        <v>7716.47</v>
      </c>
    </row>
    <row r="4515" spans="1:8" x14ac:dyDescent="0.25">
      <c r="A4515" s="1" t="s">
        <v>4528</v>
      </c>
      <c r="B4515" s="5">
        <v>45846.041666666664</v>
      </c>
      <c r="C4515" s="1" t="s">
        <v>8</v>
      </c>
      <c r="D4515" s="1" t="s">
        <v>37</v>
      </c>
      <c r="E4515" s="1">
        <v>12</v>
      </c>
      <c r="F4515" s="1">
        <v>59.91</v>
      </c>
      <c r="G4515" s="1">
        <v>39.18</v>
      </c>
      <c r="H4515">
        <f t="shared" si="70"/>
        <v>718.92</v>
      </c>
    </row>
    <row r="4516" spans="1:8" x14ac:dyDescent="0.25">
      <c r="A4516" s="1" t="s">
        <v>4529</v>
      </c>
      <c r="B4516" s="5">
        <v>45846.083333333336</v>
      </c>
      <c r="C4516" s="1" t="s">
        <v>8</v>
      </c>
      <c r="D4516" s="1" t="s">
        <v>37</v>
      </c>
      <c r="E4516" s="1">
        <v>8</v>
      </c>
      <c r="F4516" s="1">
        <v>77.569999999999993</v>
      </c>
      <c r="G4516" s="1">
        <v>24.98</v>
      </c>
      <c r="H4516">
        <f t="shared" si="70"/>
        <v>620.55999999999995</v>
      </c>
    </row>
    <row r="4517" spans="1:8" x14ac:dyDescent="0.25">
      <c r="A4517" s="1" t="s">
        <v>4530</v>
      </c>
      <c r="B4517" s="5">
        <v>45846.125</v>
      </c>
      <c r="C4517" s="1" t="s">
        <v>11</v>
      </c>
      <c r="D4517" s="1" t="s">
        <v>37</v>
      </c>
      <c r="E4517" s="1">
        <v>6</v>
      </c>
      <c r="F4517" s="1">
        <v>390.05</v>
      </c>
      <c r="G4517" s="1">
        <v>40.090000000000003</v>
      </c>
      <c r="H4517">
        <f t="shared" si="70"/>
        <v>2340.3000000000002</v>
      </c>
    </row>
    <row r="4518" spans="1:8" x14ac:dyDescent="0.25">
      <c r="A4518" s="1" t="s">
        <v>4531</v>
      </c>
      <c r="B4518" s="5">
        <v>45846.166666666664</v>
      </c>
      <c r="C4518" s="1" t="s">
        <v>11</v>
      </c>
      <c r="D4518" s="1" t="s">
        <v>37</v>
      </c>
      <c r="E4518" s="1">
        <v>12</v>
      </c>
      <c r="F4518" s="1">
        <v>188.84</v>
      </c>
      <c r="G4518" s="1">
        <v>38.69</v>
      </c>
      <c r="H4518">
        <f t="shared" si="70"/>
        <v>2266.08</v>
      </c>
    </row>
    <row r="4519" spans="1:8" x14ac:dyDescent="0.25">
      <c r="A4519" s="1" t="s">
        <v>4532</v>
      </c>
      <c r="B4519" s="5">
        <v>45846.208333333336</v>
      </c>
      <c r="C4519" s="1" t="s">
        <v>23</v>
      </c>
      <c r="D4519" s="1" t="s">
        <v>16</v>
      </c>
      <c r="E4519" s="1">
        <v>7</v>
      </c>
      <c r="F4519" s="1">
        <v>89.05</v>
      </c>
      <c r="G4519" s="1">
        <v>31.02</v>
      </c>
      <c r="H4519">
        <f t="shared" si="70"/>
        <v>623.35</v>
      </c>
    </row>
    <row r="4520" spans="1:8" x14ac:dyDescent="0.25">
      <c r="A4520" s="1" t="s">
        <v>4533</v>
      </c>
      <c r="B4520" s="5">
        <v>45846.25</v>
      </c>
      <c r="C4520" s="1" t="s">
        <v>11</v>
      </c>
      <c r="D4520" s="1" t="s">
        <v>9</v>
      </c>
      <c r="E4520" s="1">
        <v>18</v>
      </c>
      <c r="F4520" s="1">
        <v>237.39</v>
      </c>
      <c r="G4520" s="1">
        <v>42.51</v>
      </c>
      <c r="H4520">
        <f t="shared" si="70"/>
        <v>4273.0199999999995</v>
      </c>
    </row>
    <row r="4521" spans="1:8" x14ac:dyDescent="0.25">
      <c r="A4521" s="1" t="s">
        <v>4534</v>
      </c>
      <c r="B4521" s="5">
        <v>45846.291666666664</v>
      </c>
      <c r="C4521" s="1" t="s">
        <v>23</v>
      </c>
      <c r="D4521" s="1" t="s">
        <v>9</v>
      </c>
      <c r="E4521" s="1">
        <v>14</v>
      </c>
      <c r="F4521" s="1">
        <v>196.54</v>
      </c>
      <c r="G4521" s="1">
        <v>13.8</v>
      </c>
      <c r="H4521">
        <f t="shared" si="70"/>
        <v>2751.56</v>
      </c>
    </row>
    <row r="4522" spans="1:8" x14ac:dyDescent="0.25">
      <c r="A4522" s="1" t="s">
        <v>4535</v>
      </c>
      <c r="B4522" s="5">
        <v>45846.333333333336</v>
      </c>
      <c r="C4522" s="1" t="s">
        <v>8</v>
      </c>
      <c r="D4522" s="1" t="s">
        <v>16</v>
      </c>
      <c r="E4522" s="1">
        <v>8</v>
      </c>
      <c r="F4522" s="1">
        <v>110.73</v>
      </c>
      <c r="G4522" s="1">
        <v>12.28</v>
      </c>
      <c r="H4522">
        <f t="shared" si="70"/>
        <v>885.84</v>
      </c>
    </row>
    <row r="4523" spans="1:8" x14ac:dyDescent="0.25">
      <c r="A4523" s="1" t="s">
        <v>4536</v>
      </c>
      <c r="B4523" s="5">
        <v>45846.375</v>
      </c>
      <c r="C4523" s="1" t="s">
        <v>8</v>
      </c>
      <c r="D4523" s="1" t="s">
        <v>37</v>
      </c>
      <c r="E4523" s="1">
        <v>14</v>
      </c>
      <c r="F4523" s="1">
        <v>328.67</v>
      </c>
      <c r="G4523" s="1">
        <v>38.78</v>
      </c>
      <c r="H4523">
        <f t="shared" si="70"/>
        <v>4601.38</v>
      </c>
    </row>
    <row r="4524" spans="1:8" x14ac:dyDescent="0.25">
      <c r="A4524" s="1" t="s">
        <v>4537</v>
      </c>
      <c r="B4524" s="5">
        <v>45846.416666666664</v>
      </c>
      <c r="C4524" s="1" t="s">
        <v>13</v>
      </c>
      <c r="D4524" s="1" t="s">
        <v>37</v>
      </c>
      <c r="E4524" s="1">
        <v>5</v>
      </c>
      <c r="F4524" s="1">
        <v>289.8</v>
      </c>
      <c r="G4524" s="1">
        <v>16.02</v>
      </c>
      <c r="H4524">
        <f t="shared" si="70"/>
        <v>1449</v>
      </c>
    </row>
    <row r="4525" spans="1:8" x14ac:dyDescent="0.25">
      <c r="A4525" s="1" t="s">
        <v>4538</v>
      </c>
      <c r="B4525" s="5">
        <v>45846.458333333336</v>
      </c>
      <c r="C4525" s="1" t="s">
        <v>8</v>
      </c>
      <c r="D4525" s="1" t="s">
        <v>9</v>
      </c>
      <c r="E4525" s="1">
        <v>9</v>
      </c>
      <c r="F4525" s="1">
        <v>58.8</v>
      </c>
      <c r="G4525" s="1">
        <v>5.13</v>
      </c>
      <c r="H4525">
        <f t="shared" si="70"/>
        <v>529.19999999999993</v>
      </c>
    </row>
    <row r="4526" spans="1:8" x14ac:dyDescent="0.25">
      <c r="A4526" s="1" t="s">
        <v>4539</v>
      </c>
      <c r="B4526" s="5">
        <v>45846.5</v>
      </c>
      <c r="C4526" s="1" t="s">
        <v>23</v>
      </c>
      <c r="D4526" s="1" t="s">
        <v>16</v>
      </c>
      <c r="E4526" s="1">
        <v>8</v>
      </c>
      <c r="F4526" s="1">
        <v>417.58</v>
      </c>
      <c r="G4526" s="1">
        <v>46.04</v>
      </c>
      <c r="H4526">
        <f t="shared" si="70"/>
        <v>3340.64</v>
      </c>
    </row>
    <row r="4527" spans="1:8" x14ac:dyDescent="0.25">
      <c r="A4527" s="1" t="s">
        <v>4540</v>
      </c>
      <c r="B4527" s="5">
        <v>45846.541666666664</v>
      </c>
      <c r="C4527" s="1" t="s">
        <v>11</v>
      </c>
      <c r="D4527" s="1" t="s">
        <v>37</v>
      </c>
      <c r="E4527" s="1">
        <v>2</v>
      </c>
      <c r="F4527" s="1">
        <v>258.16000000000003</v>
      </c>
      <c r="G4527" s="1">
        <v>33.03</v>
      </c>
      <c r="H4527">
        <f t="shared" si="70"/>
        <v>516.32000000000005</v>
      </c>
    </row>
    <row r="4528" spans="1:8" x14ac:dyDescent="0.25">
      <c r="A4528" s="1" t="s">
        <v>4541</v>
      </c>
      <c r="B4528" s="5">
        <v>45846.583333333336</v>
      </c>
      <c r="C4528" s="1" t="s">
        <v>13</v>
      </c>
      <c r="D4528" s="1" t="s">
        <v>37</v>
      </c>
      <c r="E4528" s="1">
        <v>16</v>
      </c>
      <c r="F4528" s="1">
        <v>124.21</v>
      </c>
      <c r="G4528" s="1">
        <v>25.02</v>
      </c>
      <c r="H4528">
        <f t="shared" si="70"/>
        <v>1987.36</v>
      </c>
    </row>
    <row r="4529" spans="1:8" x14ac:dyDescent="0.25">
      <c r="A4529" s="1" t="s">
        <v>4542</v>
      </c>
      <c r="B4529" s="5">
        <v>45846.625</v>
      </c>
      <c r="C4529" s="1" t="s">
        <v>23</v>
      </c>
      <c r="D4529" s="1" t="s">
        <v>37</v>
      </c>
      <c r="E4529" s="1">
        <v>13</v>
      </c>
      <c r="F4529" s="1">
        <v>105.13</v>
      </c>
      <c r="G4529" s="1">
        <v>37.659999999999997</v>
      </c>
      <c r="H4529">
        <f t="shared" si="70"/>
        <v>1366.69</v>
      </c>
    </row>
    <row r="4530" spans="1:8" x14ac:dyDescent="0.25">
      <c r="A4530" s="1" t="s">
        <v>4543</v>
      </c>
      <c r="B4530" s="5">
        <v>45846.666666666664</v>
      </c>
      <c r="C4530" s="1" t="s">
        <v>11</v>
      </c>
      <c r="D4530" s="1" t="s">
        <v>19</v>
      </c>
      <c r="E4530" s="1">
        <v>7</v>
      </c>
      <c r="F4530" s="1">
        <v>74.569999999999993</v>
      </c>
      <c r="G4530" s="1">
        <v>20</v>
      </c>
      <c r="H4530">
        <f t="shared" si="70"/>
        <v>521.99</v>
      </c>
    </row>
    <row r="4531" spans="1:8" x14ac:dyDescent="0.25">
      <c r="A4531" s="1" t="s">
        <v>4544</v>
      </c>
      <c r="B4531" s="5">
        <v>45846.708333333336</v>
      </c>
      <c r="C4531" s="1" t="s">
        <v>13</v>
      </c>
      <c r="D4531" s="1" t="s">
        <v>16</v>
      </c>
      <c r="E4531" s="1">
        <v>16</v>
      </c>
      <c r="F4531" s="1">
        <v>200</v>
      </c>
      <c r="G4531" s="1">
        <v>47.91</v>
      </c>
      <c r="H4531">
        <f t="shared" si="70"/>
        <v>3200</v>
      </c>
    </row>
    <row r="4532" spans="1:8" x14ac:dyDescent="0.25">
      <c r="A4532" s="1" t="s">
        <v>4545</v>
      </c>
      <c r="B4532" s="5">
        <v>45846.75</v>
      </c>
      <c r="C4532" s="1" t="s">
        <v>8</v>
      </c>
      <c r="D4532" s="1" t="s">
        <v>37</v>
      </c>
      <c r="E4532" s="1">
        <v>7</v>
      </c>
      <c r="F4532" s="1">
        <v>74.39</v>
      </c>
      <c r="G4532" s="1">
        <v>8.09</v>
      </c>
      <c r="H4532">
        <f t="shared" si="70"/>
        <v>520.73</v>
      </c>
    </row>
    <row r="4533" spans="1:8" x14ac:dyDescent="0.25">
      <c r="A4533" s="1" t="s">
        <v>4546</v>
      </c>
      <c r="B4533" s="5">
        <v>45846.791666666664</v>
      </c>
      <c r="C4533" s="1" t="s">
        <v>23</v>
      </c>
      <c r="D4533" s="1" t="s">
        <v>19</v>
      </c>
      <c r="E4533" s="1">
        <v>14</v>
      </c>
      <c r="F4533" s="1">
        <v>196.17</v>
      </c>
      <c r="G4533" s="1">
        <v>33.840000000000003</v>
      </c>
      <c r="H4533">
        <f t="shared" si="70"/>
        <v>2746.3799999999997</v>
      </c>
    </row>
    <row r="4534" spans="1:8" x14ac:dyDescent="0.25">
      <c r="A4534" s="1" t="s">
        <v>4547</v>
      </c>
      <c r="B4534" s="5">
        <v>45846.833333333336</v>
      </c>
      <c r="C4534" s="1" t="s">
        <v>11</v>
      </c>
      <c r="D4534" s="1" t="s">
        <v>16</v>
      </c>
      <c r="E4534" s="1">
        <v>14</v>
      </c>
      <c r="F4534" s="1">
        <v>80.14</v>
      </c>
      <c r="G4534" s="1">
        <v>39.979999999999997</v>
      </c>
      <c r="H4534">
        <f t="shared" si="70"/>
        <v>1121.96</v>
      </c>
    </row>
    <row r="4535" spans="1:8" x14ac:dyDescent="0.25">
      <c r="A4535" s="1" t="s">
        <v>4548</v>
      </c>
      <c r="B4535" s="5">
        <v>45846.875</v>
      </c>
      <c r="C4535" s="1" t="s">
        <v>13</v>
      </c>
      <c r="D4535" s="1" t="s">
        <v>37</v>
      </c>
      <c r="E4535" s="1">
        <v>12</v>
      </c>
      <c r="F4535" s="1">
        <v>300.88</v>
      </c>
      <c r="G4535" s="1">
        <v>26.11</v>
      </c>
      <c r="H4535">
        <f t="shared" si="70"/>
        <v>3610.56</v>
      </c>
    </row>
    <row r="4536" spans="1:8" x14ac:dyDescent="0.25">
      <c r="A4536" s="1" t="s">
        <v>4549</v>
      </c>
      <c r="B4536" s="5">
        <v>45846.916666666664</v>
      </c>
      <c r="C4536" s="1" t="s">
        <v>13</v>
      </c>
      <c r="D4536" s="1" t="s">
        <v>9</v>
      </c>
      <c r="E4536" s="1">
        <v>1</v>
      </c>
      <c r="F4536" s="1">
        <v>356.69</v>
      </c>
      <c r="G4536" s="1">
        <v>38.97</v>
      </c>
      <c r="H4536">
        <f t="shared" si="70"/>
        <v>356.69</v>
      </c>
    </row>
    <row r="4537" spans="1:8" x14ac:dyDescent="0.25">
      <c r="A4537" s="1" t="s">
        <v>4550</v>
      </c>
      <c r="B4537" s="5">
        <v>45846.958333333336</v>
      </c>
      <c r="C4537" s="1" t="s">
        <v>8</v>
      </c>
      <c r="D4537" s="1" t="s">
        <v>19</v>
      </c>
      <c r="E4537" s="1">
        <v>1</v>
      </c>
      <c r="F4537" s="1">
        <v>254.27</v>
      </c>
      <c r="G4537" s="1">
        <v>46.71</v>
      </c>
      <c r="H4537">
        <f t="shared" si="70"/>
        <v>254.27</v>
      </c>
    </row>
    <row r="4538" spans="1:8" x14ac:dyDescent="0.25">
      <c r="A4538" s="1" t="s">
        <v>4551</v>
      </c>
      <c r="B4538" s="5">
        <v>45847</v>
      </c>
      <c r="C4538" s="1" t="s">
        <v>11</v>
      </c>
      <c r="D4538" s="1" t="s">
        <v>19</v>
      </c>
      <c r="E4538" s="1">
        <v>12</v>
      </c>
      <c r="F4538" s="1">
        <v>310.98</v>
      </c>
      <c r="G4538" s="1">
        <v>38.479999999999997</v>
      </c>
      <c r="H4538">
        <f t="shared" si="70"/>
        <v>3731.76</v>
      </c>
    </row>
    <row r="4539" spans="1:8" x14ac:dyDescent="0.25">
      <c r="A4539" s="1" t="s">
        <v>4552</v>
      </c>
      <c r="B4539" s="5">
        <v>45847.041666666664</v>
      </c>
      <c r="C4539" s="1" t="s">
        <v>8</v>
      </c>
      <c r="D4539" s="1" t="s">
        <v>37</v>
      </c>
      <c r="E4539" s="1">
        <v>15</v>
      </c>
      <c r="F4539" s="1">
        <v>423.23</v>
      </c>
      <c r="G4539" s="1">
        <v>18.920000000000002</v>
      </c>
      <c r="H4539">
        <f t="shared" si="70"/>
        <v>6348.4500000000007</v>
      </c>
    </row>
    <row r="4540" spans="1:8" x14ac:dyDescent="0.25">
      <c r="A4540" s="1" t="s">
        <v>4553</v>
      </c>
      <c r="B4540" s="5">
        <v>45847.083333333336</v>
      </c>
      <c r="C4540" s="1" t="s">
        <v>8</v>
      </c>
      <c r="D4540" s="1" t="s">
        <v>37</v>
      </c>
      <c r="E4540" s="1">
        <v>4</v>
      </c>
      <c r="F4540" s="1">
        <v>292.87</v>
      </c>
      <c r="G4540" s="1">
        <v>30.28</v>
      </c>
      <c r="H4540">
        <f t="shared" si="70"/>
        <v>1171.48</v>
      </c>
    </row>
    <row r="4541" spans="1:8" x14ac:dyDescent="0.25">
      <c r="A4541" s="1" t="s">
        <v>4554</v>
      </c>
      <c r="B4541" s="5">
        <v>45847.125</v>
      </c>
      <c r="C4541" s="1" t="s">
        <v>11</v>
      </c>
      <c r="D4541" s="1" t="s">
        <v>19</v>
      </c>
      <c r="E4541" s="1">
        <v>7</v>
      </c>
      <c r="F4541" s="1">
        <v>173.73</v>
      </c>
      <c r="G4541" s="1">
        <v>46.02</v>
      </c>
      <c r="H4541">
        <f t="shared" si="70"/>
        <v>1216.1099999999999</v>
      </c>
    </row>
    <row r="4542" spans="1:8" x14ac:dyDescent="0.25">
      <c r="A4542" s="1" t="s">
        <v>4555</v>
      </c>
      <c r="B4542" s="5">
        <v>45847.166666666664</v>
      </c>
      <c r="C4542" s="1" t="s">
        <v>11</v>
      </c>
      <c r="D4542" s="1" t="s">
        <v>9</v>
      </c>
      <c r="E4542" s="1">
        <v>16</v>
      </c>
      <c r="F4542" s="1">
        <v>210.8</v>
      </c>
      <c r="G4542" s="1">
        <v>25.21</v>
      </c>
      <c r="H4542">
        <f t="shared" si="70"/>
        <v>3372.8</v>
      </c>
    </row>
    <row r="4543" spans="1:8" x14ac:dyDescent="0.25">
      <c r="A4543" s="1" t="s">
        <v>4556</v>
      </c>
      <c r="B4543" s="5">
        <v>45847.208333333336</v>
      </c>
      <c r="C4543" s="1" t="s">
        <v>11</v>
      </c>
      <c r="D4543" s="1" t="s">
        <v>9</v>
      </c>
      <c r="E4543" s="1">
        <v>3</v>
      </c>
      <c r="F4543" s="1">
        <v>389.4</v>
      </c>
      <c r="G4543" s="1">
        <v>35.68</v>
      </c>
      <c r="H4543">
        <f t="shared" si="70"/>
        <v>1168.1999999999998</v>
      </c>
    </row>
    <row r="4544" spans="1:8" x14ac:dyDescent="0.25">
      <c r="A4544" s="1" t="s">
        <v>4557</v>
      </c>
      <c r="B4544" s="5">
        <v>45847.25</v>
      </c>
      <c r="C4544" s="1" t="s">
        <v>23</v>
      </c>
      <c r="D4544" s="1" t="s">
        <v>16</v>
      </c>
      <c r="E4544" s="1">
        <v>7</v>
      </c>
      <c r="F4544" s="1">
        <v>72.3</v>
      </c>
      <c r="G4544" s="1">
        <v>25.95</v>
      </c>
      <c r="H4544">
        <f t="shared" si="70"/>
        <v>506.09999999999997</v>
      </c>
    </row>
    <row r="4545" spans="1:8" x14ac:dyDescent="0.25">
      <c r="A4545" s="1" t="s">
        <v>4558</v>
      </c>
      <c r="B4545" s="5">
        <v>45847.291666666664</v>
      </c>
      <c r="C4545" s="1" t="s">
        <v>11</v>
      </c>
      <c r="D4545" s="1" t="s">
        <v>37</v>
      </c>
      <c r="E4545" s="1">
        <v>6</v>
      </c>
      <c r="F4545" s="1">
        <v>157.03</v>
      </c>
      <c r="G4545" s="1">
        <v>10.46</v>
      </c>
      <c r="H4545">
        <f t="shared" si="70"/>
        <v>942.18000000000006</v>
      </c>
    </row>
    <row r="4546" spans="1:8" x14ac:dyDescent="0.25">
      <c r="A4546" s="1" t="s">
        <v>4559</v>
      </c>
      <c r="B4546" s="5">
        <v>45847.333333333336</v>
      </c>
      <c r="C4546" s="1" t="s">
        <v>13</v>
      </c>
      <c r="D4546" s="1" t="s">
        <v>9</v>
      </c>
      <c r="E4546" s="1">
        <v>16</v>
      </c>
      <c r="F4546" s="1">
        <v>266.33</v>
      </c>
      <c r="G4546" s="1">
        <v>7.64</v>
      </c>
      <c r="H4546">
        <f t="shared" ref="H4546:H4609" si="71">E4546*F4546</f>
        <v>4261.28</v>
      </c>
    </row>
    <row r="4547" spans="1:8" x14ac:dyDescent="0.25">
      <c r="A4547" s="1" t="s">
        <v>4560</v>
      </c>
      <c r="B4547" s="5">
        <v>45847.375</v>
      </c>
      <c r="C4547" s="1" t="s">
        <v>8</v>
      </c>
      <c r="D4547" s="1" t="s">
        <v>16</v>
      </c>
      <c r="E4547" s="1">
        <v>8</v>
      </c>
      <c r="F4547" s="1">
        <v>309.39</v>
      </c>
      <c r="G4547" s="1">
        <v>47.85</v>
      </c>
      <c r="H4547">
        <f t="shared" si="71"/>
        <v>2475.12</v>
      </c>
    </row>
    <row r="4548" spans="1:8" x14ac:dyDescent="0.25">
      <c r="A4548" s="1" t="s">
        <v>4561</v>
      </c>
      <c r="B4548" s="5">
        <v>45847.416666666664</v>
      </c>
      <c r="C4548" s="1" t="s">
        <v>23</v>
      </c>
      <c r="D4548" s="1" t="s">
        <v>9</v>
      </c>
      <c r="E4548" s="1">
        <v>6</v>
      </c>
      <c r="F4548" s="1">
        <v>347.24</v>
      </c>
      <c r="G4548" s="1">
        <v>32.56</v>
      </c>
      <c r="H4548">
        <f t="shared" si="71"/>
        <v>2083.44</v>
      </c>
    </row>
    <row r="4549" spans="1:8" x14ac:dyDescent="0.25">
      <c r="A4549" s="1" t="s">
        <v>4562</v>
      </c>
      <c r="B4549" s="5">
        <v>45847.458333333336</v>
      </c>
      <c r="C4549" s="1" t="s">
        <v>11</v>
      </c>
      <c r="D4549" s="1" t="s">
        <v>37</v>
      </c>
      <c r="E4549" s="1">
        <v>10</v>
      </c>
      <c r="F4549" s="1">
        <v>153.76</v>
      </c>
      <c r="G4549" s="1">
        <v>9.67</v>
      </c>
      <c r="H4549">
        <f t="shared" si="71"/>
        <v>1537.6</v>
      </c>
    </row>
    <row r="4550" spans="1:8" x14ac:dyDescent="0.25">
      <c r="A4550" s="1" t="s">
        <v>4563</v>
      </c>
      <c r="B4550" s="5">
        <v>45847.5</v>
      </c>
      <c r="C4550" s="1" t="s">
        <v>23</v>
      </c>
      <c r="D4550" s="1" t="s">
        <v>16</v>
      </c>
      <c r="E4550" s="1">
        <v>16</v>
      </c>
      <c r="F4550" s="1">
        <v>78.88</v>
      </c>
      <c r="G4550" s="1">
        <v>43.58</v>
      </c>
      <c r="H4550">
        <f t="shared" si="71"/>
        <v>1262.08</v>
      </c>
    </row>
    <row r="4551" spans="1:8" x14ac:dyDescent="0.25">
      <c r="A4551" s="1" t="s">
        <v>4564</v>
      </c>
      <c r="B4551" s="5">
        <v>45847.541666666664</v>
      </c>
      <c r="C4551" s="1" t="s">
        <v>11</v>
      </c>
      <c r="D4551" s="1" t="s">
        <v>16</v>
      </c>
      <c r="E4551" s="1">
        <v>11</v>
      </c>
      <c r="F4551" s="1">
        <v>430.38</v>
      </c>
      <c r="G4551" s="1">
        <v>28.52</v>
      </c>
      <c r="H4551">
        <f t="shared" si="71"/>
        <v>4734.18</v>
      </c>
    </row>
    <row r="4552" spans="1:8" x14ac:dyDescent="0.25">
      <c r="A4552" s="1" t="s">
        <v>4565</v>
      </c>
      <c r="B4552" s="5">
        <v>45847.583333333336</v>
      </c>
      <c r="C4552" s="1" t="s">
        <v>23</v>
      </c>
      <c r="D4552" s="1" t="s">
        <v>16</v>
      </c>
      <c r="E4552" s="1">
        <v>13</v>
      </c>
      <c r="F4552" s="1">
        <v>48.69</v>
      </c>
      <c r="G4552" s="1">
        <v>39.74</v>
      </c>
      <c r="H4552">
        <f t="shared" si="71"/>
        <v>632.97</v>
      </c>
    </row>
    <row r="4553" spans="1:8" x14ac:dyDescent="0.25">
      <c r="A4553" s="1" t="s">
        <v>4566</v>
      </c>
      <c r="B4553" s="5">
        <v>45847.625</v>
      </c>
      <c r="C4553" s="1" t="s">
        <v>8</v>
      </c>
      <c r="D4553" s="1" t="s">
        <v>9</v>
      </c>
      <c r="E4553" s="1">
        <v>6</v>
      </c>
      <c r="F4553" s="1">
        <v>57.13</v>
      </c>
      <c r="G4553" s="1">
        <v>10.7</v>
      </c>
      <c r="H4553">
        <f t="shared" si="71"/>
        <v>342.78000000000003</v>
      </c>
    </row>
    <row r="4554" spans="1:8" x14ac:dyDescent="0.25">
      <c r="A4554" s="1" t="s">
        <v>4567</v>
      </c>
      <c r="B4554" s="5">
        <v>45847.666666666664</v>
      </c>
      <c r="C4554" s="1" t="s">
        <v>8</v>
      </c>
      <c r="D4554" s="1" t="s">
        <v>37</v>
      </c>
      <c r="E4554" s="1">
        <v>1</v>
      </c>
      <c r="F4554" s="1">
        <v>230.55</v>
      </c>
      <c r="G4554" s="1">
        <v>45.81</v>
      </c>
      <c r="H4554">
        <f t="shared" si="71"/>
        <v>230.55</v>
      </c>
    </row>
    <row r="4555" spans="1:8" x14ac:dyDescent="0.25">
      <c r="A4555" s="1" t="s">
        <v>4568</v>
      </c>
      <c r="B4555" s="5">
        <v>45847.708333333336</v>
      </c>
      <c r="C4555" s="1" t="s">
        <v>13</v>
      </c>
      <c r="D4555" s="1" t="s">
        <v>16</v>
      </c>
      <c r="E4555" s="1">
        <v>19</v>
      </c>
      <c r="F4555" s="1">
        <v>371.47</v>
      </c>
      <c r="G4555" s="1">
        <v>31.57</v>
      </c>
      <c r="H4555">
        <f t="shared" si="71"/>
        <v>7057.93</v>
      </c>
    </row>
    <row r="4556" spans="1:8" x14ac:dyDescent="0.25">
      <c r="A4556" s="1" t="s">
        <v>4569</v>
      </c>
      <c r="B4556" s="5">
        <v>45847.75</v>
      </c>
      <c r="C4556" s="1" t="s">
        <v>13</v>
      </c>
      <c r="D4556" s="1" t="s">
        <v>19</v>
      </c>
      <c r="E4556" s="1">
        <v>12</v>
      </c>
      <c r="F4556" s="1">
        <v>352.02</v>
      </c>
      <c r="G4556" s="1">
        <v>38.22</v>
      </c>
      <c r="H4556">
        <f t="shared" si="71"/>
        <v>4224.24</v>
      </c>
    </row>
    <row r="4557" spans="1:8" x14ac:dyDescent="0.25">
      <c r="A4557" s="1" t="s">
        <v>4570</v>
      </c>
      <c r="B4557" s="5">
        <v>45847.791666666664</v>
      </c>
      <c r="C4557" s="1" t="s">
        <v>11</v>
      </c>
      <c r="D4557" s="1" t="s">
        <v>37</v>
      </c>
      <c r="E4557" s="1">
        <v>6</v>
      </c>
      <c r="F4557" s="1">
        <v>422.93</v>
      </c>
      <c r="G4557" s="1">
        <v>6.41</v>
      </c>
      <c r="H4557">
        <f t="shared" si="71"/>
        <v>2537.58</v>
      </c>
    </row>
    <row r="4558" spans="1:8" x14ac:dyDescent="0.25">
      <c r="A4558" s="1" t="s">
        <v>4571</v>
      </c>
      <c r="B4558" s="5">
        <v>45847.833333333336</v>
      </c>
      <c r="C4558" s="1" t="s">
        <v>8</v>
      </c>
      <c r="D4558" s="1" t="s">
        <v>19</v>
      </c>
      <c r="E4558" s="1">
        <v>18</v>
      </c>
      <c r="F4558" s="1">
        <v>77.03</v>
      </c>
      <c r="G4558" s="1">
        <v>19.190000000000001</v>
      </c>
      <c r="H4558">
        <f t="shared" si="71"/>
        <v>1386.54</v>
      </c>
    </row>
    <row r="4559" spans="1:8" x14ac:dyDescent="0.25">
      <c r="A4559" s="1" t="s">
        <v>4572</v>
      </c>
      <c r="B4559" s="5">
        <v>45847.875</v>
      </c>
      <c r="C4559" s="1" t="s">
        <v>23</v>
      </c>
      <c r="D4559" s="1" t="s">
        <v>19</v>
      </c>
      <c r="E4559" s="1">
        <v>13</v>
      </c>
      <c r="F4559" s="1">
        <v>178.75</v>
      </c>
      <c r="G4559" s="1">
        <v>17.04</v>
      </c>
      <c r="H4559">
        <f t="shared" si="71"/>
        <v>2323.75</v>
      </c>
    </row>
    <row r="4560" spans="1:8" x14ac:dyDescent="0.25">
      <c r="A4560" s="1" t="s">
        <v>4573</v>
      </c>
      <c r="B4560" s="5">
        <v>45847.916666666664</v>
      </c>
      <c r="C4560" s="1" t="s">
        <v>23</v>
      </c>
      <c r="D4560" s="1" t="s">
        <v>16</v>
      </c>
      <c r="E4560" s="1">
        <v>7</v>
      </c>
      <c r="F4560" s="1">
        <v>138.09</v>
      </c>
      <c r="G4560" s="1">
        <v>47.73</v>
      </c>
      <c r="H4560">
        <f t="shared" si="71"/>
        <v>966.63</v>
      </c>
    </row>
    <row r="4561" spans="1:8" x14ac:dyDescent="0.25">
      <c r="A4561" s="1" t="s">
        <v>4574</v>
      </c>
      <c r="B4561" s="5">
        <v>45847.958333333336</v>
      </c>
      <c r="C4561" s="1" t="s">
        <v>23</v>
      </c>
      <c r="D4561" s="1" t="s">
        <v>16</v>
      </c>
      <c r="E4561" s="1">
        <v>13</v>
      </c>
      <c r="F4561" s="1">
        <v>389.55</v>
      </c>
      <c r="G4561" s="1">
        <v>13.34</v>
      </c>
      <c r="H4561">
        <f t="shared" si="71"/>
        <v>5064.1500000000005</v>
      </c>
    </row>
    <row r="4562" spans="1:8" x14ac:dyDescent="0.25">
      <c r="A4562" s="1" t="s">
        <v>4575</v>
      </c>
      <c r="B4562" s="5">
        <v>45848</v>
      </c>
      <c r="C4562" s="1" t="s">
        <v>13</v>
      </c>
      <c r="D4562" s="1" t="s">
        <v>9</v>
      </c>
      <c r="E4562" s="1">
        <v>8</v>
      </c>
      <c r="F4562" s="1">
        <v>227.69</v>
      </c>
      <c r="G4562" s="1">
        <v>36.82</v>
      </c>
      <c r="H4562">
        <f t="shared" si="71"/>
        <v>1821.52</v>
      </c>
    </row>
    <row r="4563" spans="1:8" x14ac:dyDescent="0.25">
      <c r="A4563" s="1" t="s">
        <v>4576</v>
      </c>
      <c r="B4563" s="5">
        <v>45848.041666666664</v>
      </c>
      <c r="C4563" s="1" t="s">
        <v>23</v>
      </c>
      <c r="D4563" s="1" t="s">
        <v>9</v>
      </c>
      <c r="E4563" s="1">
        <v>17</v>
      </c>
      <c r="F4563" s="1">
        <v>27.17</v>
      </c>
      <c r="G4563" s="1">
        <v>6.92</v>
      </c>
      <c r="H4563">
        <f t="shared" si="71"/>
        <v>461.89000000000004</v>
      </c>
    </row>
    <row r="4564" spans="1:8" x14ac:dyDescent="0.25">
      <c r="A4564" s="1" t="s">
        <v>4577</v>
      </c>
      <c r="B4564" s="5">
        <v>45848.083333333336</v>
      </c>
      <c r="C4564" s="1" t="s">
        <v>13</v>
      </c>
      <c r="D4564" s="1" t="s">
        <v>9</v>
      </c>
      <c r="E4564" s="1">
        <v>9</v>
      </c>
      <c r="F4564" s="1">
        <v>323.11</v>
      </c>
      <c r="G4564" s="1">
        <v>13.9</v>
      </c>
      <c r="H4564">
        <f t="shared" si="71"/>
        <v>2907.9900000000002</v>
      </c>
    </row>
    <row r="4565" spans="1:8" x14ac:dyDescent="0.25">
      <c r="A4565" s="1" t="s">
        <v>4578</v>
      </c>
      <c r="B4565" s="5">
        <v>45848.125</v>
      </c>
      <c r="C4565" s="1" t="s">
        <v>13</v>
      </c>
      <c r="D4565" s="1" t="s">
        <v>37</v>
      </c>
      <c r="E4565" s="1">
        <v>13</v>
      </c>
      <c r="F4565" s="1">
        <v>184.39</v>
      </c>
      <c r="G4565" s="1">
        <v>20.239999999999998</v>
      </c>
      <c r="H4565">
        <f t="shared" si="71"/>
        <v>2397.0699999999997</v>
      </c>
    </row>
    <row r="4566" spans="1:8" x14ac:dyDescent="0.25">
      <c r="A4566" s="1" t="s">
        <v>4579</v>
      </c>
      <c r="B4566" s="5">
        <v>45848.166666666664</v>
      </c>
      <c r="C4566" s="1" t="s">
        <v>11</v>
      </c>
      <c r="D4566" s="1" t="s">
        <v>9</v>
      </c>
      <c r="E4566" s="1">
        <v>2</v>
      </c>
      <c r="F4566" s="1">
        <v>246.28</v>
      </c>
      <c r="G4566" s="1">
        <v>40.75</v>
      </c>
      <c r="H4566">
        <f t="shared" si="71"/>
        <v>492.56</v>
      </c>
    </row>
    <row r="4567" spans="1:8" x14ac:dyDescent="0.25">
      <c r="A4567" s="1" t="s">
        <v>4580</v>
      </c>
      <c r="B4567" s="5">
        <v>45848.208333333336</v>
      </c>
      <c r="C4567" s="1" t="s">
        <v>23</v>
      </c>
      <c r="D4567" s="1" t="s">
        <v>19</v>
      </c>
      <c r="E4567" s="1">
        <v>4</v>
      </c>
      <c r="F4567" s="1">
        <v>403.85</v>
      </c>
      <c r="G4567" s="1">
        <v>40.549999999999997</v>
      </c>
      <c r="H4567">
        <f t="shared" si="71"/>
        <v>1615.4</v>
      </c>
    </row>
    <row r="4568" spans="1:8" x14ac:dyDescent="0.25">
      <c r="A4568" s="1" t="s">
        <v>4581</v>
      </c>
      <c r="B4568" s="5">
        <v>45848.25</v>
      </c>
      <c r="C4568" s="1" t="s">
        <v>23</v>
      </c>
      <c r="D4568" s="1" t="s">
        <v>9</v>
      </c>
      <c r="E4568" s="1">
        <v>2</v>
      </c>
      <c r="F4568" s="1">
        <v>127.05</v>
      </c>
      <c r="G4568" s="1">
        <v>47.87</v>
      </c>
      <c r="H4568">
        <f t="shared" si="71"/>
        <v>254.1</v>
      </c>
    </row>
    <row r="4569" spans="1:8" x14ac:dyDescent="0.25">
      <c r="A4569" s="1" t="s">
        <v>4582</v>
      </c>
      <c r="B4569" s="5">
        <v>45848.291666666664</v>
      </c>
      <c r="C4569" s="1" t="s">
        <v>8</v>
      </c>
      <c r="D4569" s="1" t="s">
        <v>16</v>
      </c>
      <c r="E4569" s="1">
        <v>4</v>
      </c>
      <c r="F4569" s="1">
        <v>119.9</v>
      </c>
      <c r="G4569" s="1">
        <v>46.25</v>
      </c>
      <c r="H4569">
        <f t="shared" si="71"/>
        <v>479.6</v>
      </c>
    </row>
    <row r="4570" spans="1:8" x14ac:dyDescent="0.25">
      <c r="A4570" s="1" t="s">
        <v>4583</v>
      </c>
      <c r="B4570" s="5">
        <v>45848.333333333336</v>
      </c>
      <c r="C4570" s="1" t="s">
        <v>11</v>
      </c>
      <c r="D4570" s="1" t="s">
        <v>9</v>
      </c>
      <c r="E4570" s="1">
        <v>18</v>
      </c>
      <c r="F4570" s="1">
        <v>129.86000000000001</v>
      </c>
      <c r="G4570" s="1">
        <v>8.67</v>
      </c>
      <c r="H4570">
        <f t="shared" si="71"/>
        <v>2337.4800000000005</v>
      </c>
    </row>
    <row r="4571" spans="1:8" x14ac:dyDescent="0.25">
      <c r="A4571" s="1" t="s">
        <v>4584</v>
      </c>
      <c r="B4571" s="5">
        <v>45848.375</v>
      </c>
      <c r="C4571" s="1" t="s">
        <v>8</v>
      </c>
      <c r="D4571" s="1" t="s">
        <v>37</v>
      </c>
      <c r="E4571" s="1">
        <v>5</v>
      </c>
      <c r="F4571" s="1">
        <v>162.41</v>
      </c>
      <c r="G4571" s="1">
        <v>42.34</v>
      </c>
      <c r="H4571">
        <f t="shared" si="71"/>
        <v>812.05</v>
      </c>
    </row>
    <row r="4572" spans="1:8" x14ac:dyDescent="0.25">
      <c r="A4572" s="1" t="s">
        <v>4585</v>
      </c>
      <c r="B4572" s="5">
        <v>45848.416666666664</v>
      </c>
      <c r="C4572" s="1" t="s">
        <v>11</v>
      </c>
      <c r="D4572" s="1" t="s">
        <v>37</v>
      </c>
      <c r="E4572" s="1">
        <v>19</v>
      </c>
      <c r="F4572" s="1">
        <v>62.15</v>
      </c>
      <c r="G4572" s="1">
        <v>25.3</v>
      </c>
      <c r="H4572">
        <f t="shared" si="71"/>
        <v>1180.8499999999999</v>
      </c>
    </row>
    <row r="4573" spans="1:8" x14ac:dyDescent="0.25">
      <c r="A4573" s="1" t="s">
        <v>4586</v>
      </c>
      <c r="B4573" s="5">
        <v>45848.458333333336</v>
      </c>
      <c r="C4573" s="1" t="s">
        <v>23</v>
      </c>
      <c r="D4573" s="1" t="s">
        <v>19</v>
      </c>
      <c r="E4573" s="1">
        <v>10</v>
      </c>
      <c r="F4573" s="1">
        <v>318.44</v>
      </c>
      <c r="G4573" s="1">
        <v>43.96</v>
      </c>
      <c r="H4573">
        <f t="shared" si="71"/>
        <v>3184.4</v>
      </c>
    </row>
    <row r="4574" spans="1:8" x14ac:dyDescent="0.25">
      <c r="A4574" s="1" t="s">
        <v>4587</v>
      </c>
      <c r="B4574" s="5">
        <v>45848.5</v>
      </c>
      <c r="C4574" s="1" t="s">
        <v>13</v>
      </c>
      <c r="D4574" s="1" t="s">
        <v>37</v>
      </c>
      <c r="E4574" s="1">
        <v>18</v>
      </c>
      <c r="F4574" s="1">
        <v>105.61</v>
      </c>
      <c r="G4574" s="1">
        <v>9.02</v>
      </c>
      <c r="H4574">
        <f t="shared" si="71"/>
        <v>1900.98</v>
      </c>
    </row>
    <row r="4575" spans="1:8" x14ac:dyDescent="0.25">
      <c r="A4575" s="1" t="s">
        <v>4588</v>
      </c>
      <c r="B4575" s="5">
        <v>45848.541666666664</v>
      </c>
      <c r="C4575" s="1" t="s">
        <v>13</v>
      </c>
      <c r="D4575" s="1" t="s">
        <v>9</v>
      </c>
      <c r="E4575" s="1">
        <v>10</v>
      </c>
      <c r="F4575" s="1">
        <v>417.91</v>
      </c>
      <c r="G4575" s="1">
        <v>42.02</v>
      </c>
      <c r="H4575">
        <f t="shared" si="71"/>
        <v>4179.1000000000004</v>
      </c>
    </row>
    <row r="4576" spans="1:8" x14ac:dyDescent="0.25">
      <c r="A4576" s="1" t="s">
        <v>4589</v>
      </c>
      <c r="B4576" s="5">
        <v>45848.583333333336</v>
      </c>
      <c r="C4576" s="1" t="s">
        <v>13</v>
      </c>
      <c r="D4576" s="1" t="s">
        <v>16</v>
      </c>
      <c r="E4576" s="1">
        <v>5</v>
      </c>
      <c r="F4576" s="1">
        <v>109.22</v>
      </c>
      <c r="G4576" s="1">
        <v>12.18</v>
      </c>
      <c r="H4576">
        <f t="shared" si="71"/>
        <v>546.1</v>
      </c>
    </row>
    <row r="4577" spans="1:8" x14ac:dyDescent="0.25">
      <c r="A4577" s="1" t="s">
        <v>4590</v>
      </c>
      <c r="B4577" s="5">
        <v>45848.625</v>
      </c>
      <c r="C4577" s="1" t="s">
        <v>13</v>
      </c>
      <c r="D4577" s="1" t="s">
        <v>37</v>
      </c>
      <c r="E4577" s="1">
        <v>17</v>
      </c>
      <c r="F4577" s="1">
        <v>126.58</v>
      </c>
      <c r="G4577" s="1">
        <v>20.02</v>
      </c>
      <c r="H4577">
        <f t="shared" si="71"/>
        <v>2151.86</v>
      </c>
    </row>
    <row r="4578" spans="1:8" x14ac:dyDescent="0.25">
      <c r="A4578" s="1" t="s">
        <v>4591</v>
      </c>
      <c r="B4578" s="5">
        <v>45848.666666666664</v>
      </c>
      <c r="C4578" s="1" t="s">
        <v>13</v>
      </c>
      <c r="D4578" s="1" t="s">
        <v>19</v>
      </c>
      <c r="E4578" s="1">
        <v>13</v>
      </c>
      <c r="F4578" s="1">
        <v>144.56</v>
      </c>
      <c r="G4578" s="1">
        <v>6.3</v>
      </c>
      <c r="H4578">
        <f t="shared" si="71"/>
        <v>1879.28</v>
      </c>
    </row>
    <row r="4579" spans="1:8" x14ac:dyDescent="0.25">
      <c r="A4579" s="1" t="s">
        <v>4592</v>
      </c>
      <c r="B4579" s="5">
        <v>45848.708333333336</v>
      </c>
      <c r="C4579" s="1" t="s">
        <v>8</v>
      </c>
      <c r="D4579" s="1" t="s">
        <v>9</v>
      </c>
      <c r="E4579" s="1">
        <v>17</v>
      </c>
      <c r="F4579" s="1">
        <v>349.43</v>
      </c>
      <c r="G4579" s="1">
        <v>10.57</v>
      </c>
      <c r="H4579">
        <f t="shared" si="71"/>
        <v>5940.31</v>
      </c>
    </row>
    <row r="4580" spans="1:8" x14ac:dyDescent="0.25">
      <c r="A4580" s="1" t="s">
        <v>4593</v>
      </c>
      <c r="B4580" s="5">
        <v>45848.75</v>
      </c>
      <c r="C4580" s="1" t="s">
        <v>11</v>
      </c>
      <c r="D4580" s="1" t="s">
        <v>19</v>
      </c>
      <c r="E4580" s="1">
        <v>9</v>
      </c>
      <c r="F4580" s="1">
        <v>201.3</v>
      </c>
      <c r="G4580" s="1">
        <v>25.06</v>
      </c>
      <c r="H4580">
        <f t="shared" si="71"/>
        <v>1811.7</v>
      </c>
    </row>
    <row r="4581" spans="1:8" x14ac:dyDescent="0.25">
      <c r="A4581" s="1" t="s">
        <v>4594</v>
      </c>
      <c r="B4581" s="5">
        <v>45848.791666666664</v>
      </c>
      <c r="C4581" s="1" t="s">
        <v>23</v>
      </c>
      <c r="D4581" s="1" t="s">
        <v>37</v>
      </c>
      <c r="E4581" s="1">
        <v>12</v>
      </c>
      <c r="F4581" s="1">
        <v>371.5</v>
      </c>
      <c r="G4581" s="1">
        <v>41.83</v>
      </c>
      <c r="H4581">
        <f t="shared" si="71"/>
        <v>4458</v>
      </c>
    </row>
    <row r="4582" spans="1:8" x14ac:dyDescent="0.25">
      <c r="A4582" s="1" t="s">
        <v>4595</v>
      </c>
      <c r="B4582" s="5">
        <v>45848.833333333336</v>
      </c>
      <c r="C4582" s="1" t="s">
        <v>8</v>
      </c>
      <c r="D4582" s="1" t="s">
        <v>37</v>
      </c>
      <c r="E4582" s="1">
        <v>14</v>
      </c>
      <c r="F4582" s="1">
        <v>356.52</v>
      </c>
      <c r="G4582" s="1">
        <v>39.82</v>
      </c>
      <c r="H4582">
        <f t="shared" si="71"/>
        <v>4991.28</v>
      </c>
    </row>
    <row r="4583" spans="1:8" x14ac:dyDescent="0.25">
      <c r="A4583" s="1" t="s">
        <v>4596</v>
      </c>
      <c r="B4583" s="5">
        <v>45848.875</v>
      </c>
      <c r="C4583" s="1" t="s">
        <v>11</v>
      </c>
      <c r="D4583" s="1" t="s">
        <v>19</v>
      </c>
      <c r="E4583" s="1">
        <v>14</v>
      </c>
      <c r="F4583" s="1">
        <v>419.36</v>
      </c>
      <c r="G4583" s="1">
        <v>15.59</v>
      </c>
      <c r="H4583">
        <f t="shared" si="71"/>
        <v>5871.04</v>
      </c>
    </row>
    <row r="4584" spans="1:8" x14ac:dyDescent="0.25">
      <c r="A4584" s="1" t="s">
        <v>4597</v>
      </c>
      <c r="B4584" s="5">
        <v>45848.916666666664</v>
      </c>
      <c r="C4584" s="1" t="s">
        <v>13</v>
      </c>
      <c r="D4584" s="1" t="s">
        <v>9</v>
      </c>
      <c r="E4584" s="1">
        <v>8</v>
      </c>
      <c r="F4584" s="1">
        <v>344.24</v>
      </c>
      <c r="G4584" s="1">
        <v>11.83</v>
      </c>
      <c r="H4584">
        <f t="shared" si="71"/>
        <v>2753.92</v>
      </c>
    </row>
    <row r="4585" spans="1:8" x14ac:dyDescent="0.25">
      <c r="A4585" s="1" t="s">
        <v>4598</v>
      </c>
      <c r="B4585" s="5">
        <v>45848.958333333336</v>
      </c>
      <c r="C4585" s="1" t="s">
        <v>11</v>
      </c>
      <c r="D4585" s="1" t="s">
        <v>37</v>
      </c>
      <c r="E4585" s="1">
        <v>5</v>
      </c>
      <c r="F4585" s="1">
        <v>38.06</v>
      </c>
      <c r="G4585" s="1">
        <v>22.52</v>
      </c>
      <c r="H4585">
        <f t="shared" si="71"/>
        <v>190.3</v>
      </c>
    </row>
    <row r="4586" spans="1:8" x14ac:dyDescent="0.25">
      <c r="A4586" s="1" t="s">
        <v>4599</v>
      </c>
      <c r="B4586" s="5">
        <v>45849</v>
      </c>
      <c r="C4586" s="1" t="s">
        <v>11</v>
      </c>
      <c r="D4586" s="1" t="s">
        <v>16</v>
      </c>
      <c r="E4586" s="1">
        <v>19</v>
      </c>
      <c r="F4586" s="1">
        <v>379.3</v>
      </c>
      <c r="G4586" s="1">
        <v>44.75</v>
      </c>
      <c r="H4586">
        <f t="shared" si="71"/>
        <v>7206.7</v>
      </c>
    </row>
    <row r="4587" spans="1:8" x14ac:dyDescent="0.25">
      <c r="A4587" s="1" t="s">
        <v>4600</v>
      </c>
      <c r="B4587" s="5">
        <v>45849.041666666664</v>
      </c>
      <c r="C4587" s="1" t="s">
        <v>13</v>
      </c>
      <c r="D4587" s="1" t="s">
        <v>37</v>
      </c>
      <c r="E4587" s="1">
        <v>14</v>
      </c>
      <c r="F4587" s="1">
        <v>423.09</v>
      </c>
      <c r="G4587" s="1">
        <v>9.11</v>
      </c>
      <c r="H4587">
        <f t="shared" si="71"/>
        <v>5923.2599999999993</v>
      </c>
    </row>
    <row r="4588" spans="1:8" x14ac:dyDescent="0.25">
      <c r="A4588" s="1" t="s">
        <v>4601</v>
      </c>
      <c r="B4588" s="5">
        <v>45849.083333333336</v>
      </c>
      <c r="C4588" s="1" t="s">
        <v>13</v>
      </c>
      <c r="D4588" s="1" t="s">
        <v>9</v>
      </c>
      <c r="E4588" s="1">
        <v>9</v>
      </c>
      <c r="F4588" s="1">
        <v>447.26</v>
      </c>
      <c r="G4588" s="1">
        <v>29.43</v>
      </c>
      <c r="H4588">
        <f t="shared" si="71"/>
        <v>4025.34</v>
      </c>
    </row>
    <row r="4589" spans="1:8" x14ac:dyDescent="0.25">
      <c r="A4589" s="1" t="s">
        <v>4602</v>
      </c>
      <c r="B4589" s="5">
        <v>45849.125</v>
      </c>
      <c r="C4589" s="1" t="s">
        <v>13</v>
      </c>
      <c r="D4589" s="1" t="s">
        <v>37</v>
      </c>
      <c r="E4589" s="1">
        <v>7</v>
      </c>
      <c r="F4589" s="1">
        <v>69.930000000000007</v>
      </c>
      <c r="G4589" s="1">
        <v>9</v>
      </c>
      <c r="H4589">
        <f t="shared" si="71"/>
        <v>489.51000000000005</v>
      </c>
    </row>
    <row r="4590" spans="1:8" x14ac:dyDescent="0.25">
      <c r="A4590" s="1" t="s">
        <v>4603</v>
      </c>
      <c r="B4590" s="5">
        <v>45849.166666666664</v>
      </c>
      <c r="C4590" s="1" t="s">
        <v>23</v>
      </c>
      <c r="D4590" s="1" t="s">
        <v>19</v>
      </c>
      <c r="E4590" s="1">
        <v>8</v>
      </c>
      <c r="F4590" s="1">
        <v>281.97000000000003</v>
      </c>
      <c r="G4590" s="1">
        <v>26.16</v>
      </c>
      <c r="H4590">
        <f t="shared" si="71"/>
        <v>2255.7600000000002</v>
      </c>
    </row>
    <row r="4591" spans="1:8" x14ac:dyDescent="0.25">
      <c r="A4591" s="1" t="s">
        <v>4604</v>
      </c>
      <c r="B4591" s="5">
        <v>45849.208333333336</v>
      </c>
      <c r="C4591" s="1" t="s">
        <v>13</v>
      </c>
      <c r="D4591" s="1" t="s">
        <v>37</v>
      </c>
      <c r="E4591" s="1">
        <v>14</v>
      </c>
      <c r="F4591" s="1">
        <v>102.16</v>
      </c>
      <c r="G4591" s="1">
        <v>10.71</v>
      </c>
      <c r="H4591">
        <f t="shared" si="71"/>
        <v>1430.24</v>
      </c>
    </row>
    <row r="4592" spans="1:8" x14ac:dyDescent="0.25">
      <c r="A4592" s="1" t="s">
        <v>4605</v>
      </c>
      <c r="B4592" s="5">
        <v>45849.25</v>
      </c>
      <c r="C4592" s="1" t="s">
        <v>23</v>
      </c>
      <c r="D4592" s="1" t="s">
        <v>37</v>
      </c>
      <c r="E4592" s="1">
        <v>14</v>
      </c>
      <c r="F4592" s="1">
        <v>129.56</v>
      </c>
      <c r="G4592" s="1">
        <v>8.6199999999999992</v>
      </c>
      <c r="H4592">
        <f t="shared" si="71"/>
        <v>1813.8400000000001</v>
      </c>
    </row>
    <row r="4593" spans="1:8" x14ac:dyDescent="0.25">
      <c r="A4593" s="1" t="s">
        <v>4606</v>
      </c>
      <c r="B4593" s="5">
        <v>45849.291666666664</v>
      </c>
      <c r="C4593" s="1" t="s">
        <v>13</v>
      </c>
      <c r="D4593" s="1" t="s">
        <v>9</v>
      </c>
      <c r="E4593" s="1">
        <v>11</v>
      </c>
      <c r="F4593" s="1">
        <v>339.46</v>
      </c>
      <c r="G4593" s="1">
        <v>13.59</v>
      </c>
      <c r="H4593">
        <f t="shared" si="71"/>
        <v>3734.06</v>
      </c>
    </row>
    <row r="4594" spans="1:8" x14ac:dyDescent="0.25">
      <c r="A4594" s="1" t="s">
        <v>4607</v>
      </c>
      <c r="B4594" s="5">
        <v>45849.333333333336</v>
      </c>
      <c r="C4594" s="1" t="s">
        <v>23</v>
      </c>
      <c r="D4594" s="1" t="s">
        <v>19</v>
      </c>
      <c r="E4594" s="1">
        <v>14</v>
      </c>
      <c r="F4594" s="1">
        <v>440.3</v>
      </c>
      <c r="G4594" s="1">
        <v>16.489999999999998</v>
      </c>
      <c r="H4594">
        <f t="shared" si="71"/>
        <v>6164.2</v>
      </c>
    </row>
    <row r="4595" spans="1:8" x14ac:dyDescent="0.25">
      <c r="A4595" s="1" t="s">
        <v>4608</v>
      </c>
      <c r="B4595" s="5">
        <v>45849.375</v>
      </c>
      <c r="C4595" s="1" t="s">
        <v>11</v>
      </c>
      <c r="D4595" s="1" t="s">
        <v>9</v>
      </c>
      <c r="E4595" s="1">
        <v>8</v>
      </c>
      <c r="F4595" s="1">
        <v>273.95999999999998</v>
      </c>
      <c r="G4595" s="1">
        <v>17.43</v>
      </c>
      <c r="H4595">
        <f t="shared" si="71"/>
        <v>2191.6799999999998</v>
      </c>
    </row>
    <row r="4596" spans="1:8" x14ac:dyDescent="0.25">
      <c r="A4596" s="1" t="s">
        <v>4609</v>
      </c>
      <c r="B4596" s="5">
        <v>45849.416666666664</v>
      </c>
      <c r="C4596" s="1" t="s">
        <v>8</v>
      </c>
      <c r="D4596" s="1" t="s">
        <v>37</v>
      </c>
      <c r="E4596" s="1">
        <v>3</v>
      </c>
      <c r="F4596" s="1">
        <v>385.08</v>
      </c>
      <c r="G4596" s="1">
        <v>34.04</v>
      </c>
      <c r="H4596">
        <f t="shared" si="71"/>
        <v>1155.24</v>
      </c>
    </row>
    <row r="4597" spans="1:8" x14ac:dyDescent="0.25">
      <c r="A4597" s="1" t="s">
        <v>4610</v>
      </c>
      <c r="B4597" s="5">
        <v>45849.458333333336</v>
      </c>
      <c r="C4597" s="1" t="s">
        <v>11</v>
      </c>
      <c r="D4597" s="1" t="s">
        <v>16</v>
      </c>
      <c r="E4597" s="1">
        <v>18</v>
      </c>
      <c r="F4597" s="1">
        <v>19.36</v>
      </c>
      <c r="G4597" s="1">
        <v>7.47</v>
      </c>
      <c r="H4597">
        <f t="shared" si="71"/>
        <v>348.48</v>
      </c>
    </row>
    <row r="4598" spans="1:8" x14ac:dyDescent="0.25">
      <c r="A4598" s="1" t="s">
        <v>4611</v>
      </c>
      <c r="B4598" s="5">
        <v>45849.5</v>
      </c>
      <c r="C4598" s="1" t="s">
        <v>11</v>
      </c>
      <c r="D4598" s="1" t="s">
        <v>37</v>
      </c>
      <c r="E4598" s="1">
        <v>3</v>
      </c>
      <c r="F4598" s="1">
        <v>31.42</v>
      </c>
      <c r="G4598" s="1">
        <v>8.64</v>
      </c>
      <c r="H4598">
        <f t="shared" si="71"/>
        <v>94.26</v>
      </c>
    </row>
    <row r="4599" spans="1:8" x14ac:dyDescent="0.25">
      <c r="A4599" s="1" t="s">
        <v>4612</v>
      </c>
      <c r="B4599" s="5">
        <v>45849.541666666664</v>
      </c>
      <c r="C4599" s="1" t="s">
        <v>13</v>
      </c>
      <c r="D4599" s="1" t="s">
        <v>9</v>
      </c>
      <c r="E4599" s="1">
        <v>13</v>
      </c>
      <c r="F4599" s="1">
        <v>274.77999999999997</v>
      </c>
      <c r="G4599" s="1">
        <v>13.49</v>
      </c>
      <c r="H4599">
        <f t="shared" si="71"/>
        <v>3572.1399999999994</v>
      </c>
    </row>
    <row r="4600" spans="1:8" x14ac:dyDescent="0.25">
      <c r="A4600" s="1" t="s">
        <v>4613</v>
      </c>
      <c r="B4600" s="5">
        <v>45849.583333333336</v>
      </c>
      <c r="C4600" s="1" t="s">
        <v>23</v>
      </c>
      <c r="D4600" s="1" t="s">
        <v>16</v>
      </c>
      <c r="E4600" s="1">
        <v>12</v>
      </c>
      <c r="F4600" s="1">
        <v>184.51</v>
      </c>
      <c r="G4600" s="1">
        <v>44.24</v>
      </c>
      <c r="H4600">
        <f t="shared" si="71"/>
        <v>2214.12</v>
      </c>
    </row>
    <row r="4601" spans="1:8" x14ac:dyDescent="0.25">
      <c r="A4601" s="1" t="s">
        <v>4614</v>
      </c>
      <c r="B4601" s="5">
        <v>45849.625</v>
      </c>
      <c r="C4601" s="1" t="s">
        <v>8</v>
      </c>
      <c r="D4601" s="1" t="s">
        <v>9</v>
      </c>
      <c r="E4601" s="1">
        <v>15</v>
      </c>
      <c r="F4601" s="1">
        <v>402.1</v>
      </c>
      <c r="G4601" s="1">
        <v>33.29</v>
      </c>
      <c r="H4601">
        <f t="shared" si="71"/>
        <v>6031.5</v>
      </c>
    </row>
    <row r="4602" spans="1:8" x14ac:dyDescent="0.25">
      <c r="A4602" s="1" t="s">
        <v>4615</v>
      </c>
      <c r="B4602" s="5">
        <v>45849.666666666664</v>
      </c>
      <c r="C4602" s="1" t="s">
        <v>13</v>
      </c>
      <c r="D4602" s="1" t="s">
        <v>9</v>
      </c>
      <c r="E4602" s="1">
        <v>18</v>
      </c>
      <c r="F4602" s="1">
        <v>146.71</v>
      </c>
      <c r="G4602" s="1">
        <v>37.869999999999997</v>
      </c>
      <c r="H4602">
        <f t="shared" si="71"/>
        <v>2640.78</v>
      </c>
    </row>
    <row r="4603" spans="1:8" x14ac:dyDescent="0.25">
      <c r="A4603" s="1" t="s">
        <v>4616</v>
      </c>
      <c r="B4603" s="5">
        <v>45849.708333333336</v>
      </c>
      <c r="C4603" s="1" t="s">
        <v>13</v>
      </c>
      <c r="D4603" s="1" t="s">
        <v>19</v>
      </c>
      <c r="E4603" s="1">
        <v>5</v>
      </c>
      <c r="F4603" s="1">
        <v>203.23</v>
      </c>
      <c r="G4603" s="1">
        <v>21.67</v>
      </c>
      <c r="H4603">
        <f t="shared" si="71"/>
        <v>1016.15</v>
      </c>
    </row>
    <row r="4604" spans="1:8" x14ac:dyDescent="0.25">
      <c r="A4604" s="1" t="s">
        <v>4617</v>
      </c>
      <c r="B4604" s="5">
        <v>45849.75</v>
      </c>
      <c r="C4604" s="1" t="s">
        <v>13</v>
      </c>
      <c r="D4604" s="1" t="s">
        <v>16</v>
      </c>
      <c r="E4604" s="1">
        <v>7</v>
      </c>
      <c r="F4604" s="1">
        <v>244.88</v>
      </c>
      <c r="G4604" s="1">
        <v>14.59</v>
      </c>
      <c r="H4604">
        <f t="shared" si="71"/>
        <v>1714.1599999999999</v>
      </c>
    </row>
    <row r="4605" spans="1:8" x14ac:dyDescent="0.25">
      <c r="A4605" s="1" t="s">
        <v>4618</v>
      </c>
      <c r="B4605" s="5">
        <v>45849.791666666664</v>
      </c>
      <c r="C4605" s="1" t="s">
        <v>11</v>
      </c>
      <c r="D4605" s="1" t="s">
        <v>37</v>
      </c>
      <c r="E4605" s="1">
        <v>11</v>
      </c>
      <c r="F4605" s="1">
        <v>134.13999999999999</v>
      </c>
      <c r="G4605" s="1">
        <v>6.71</v>
      </c>
      <c r="H4605">
        <f t="shared" si="71"/>
        <v>1475.54</v>
      </c>
    </row>
    <row r="4606" spans="1:8" x14ac:dyDescent="0.25">
      <c r="A4606" s="1" t="s">
        <v>4619</v>
      </c>
      <c r="B4606" s="5">
        <v>45849.833333333336</v>
      </c>
      <c r="C4606" s="1" t="s">
        <v>23</v>
      </c>
      <c r="D4606" s="1" t="s">
        <v>9</v>
      </c>
      <c r="E4606" s="1">
        <v>11</v>
      </c>
      <c r="F4606" s="1">
        <v>410.24</v>
      </c>
      <c r="G4606" s="1">
        <v>26.98</v>
      </c>
      <c r="H4606">
        <f t="shared" si="71"/>
        <v>4512.6400000000003</v>
      </c>
    </row>
    <row r="4607" spans="1:8" x14ac:dyDescent="0.25">
      <c r="A4607" s="1" t="s">
        <v>4620</v>
      </c>
      <c r="B4607" s="5">
        <v>45849.875</v>
      </c>
      <c r="C4607" s="1" t="s">
        <v>23</v>
      </c>
      <c r="D4607" s="1" t="s">
        <v>37</v>
      </c>
      <c r="E4607" s="1">
        <v>15</v>
      </c>
      <c r="F4607" s="1">
        <v>217.34</v>
      </c>
      <c r="G4607" s="1">
        <v>30.84</v>
      </c>
      <c r="H4607">
        <f t="shared" si="71"/>
        <v>3260.1</v>
      </c>
    </row>
    <row r="4608" spans="1:8" x14ac:dyDescent="0.25">
      <c r="A4608" s="1" t="s">
        <v>4621</v>
      </c>
      <c r="B4608" s="5">
        <v>45849.916666666664</v>
      </c>
      <c r="C4608" s="1" t="s">
        <v>8</v>
      </c>
      <c r="D4608" s="1" t="s">
        <v>19</v>
      </c>
      <c r="E4608" s="1">
        <v>10</v>
      </c>
      <c r="F4608" s="1">
        <v>199.8</v>
      </c>
      <c r="G4608" s="1">
        <v>45.37</v>
      </c>
      <c r="H4608">
        <f t="shared" si="71"/>
        <v>1998</v>
      </c>
    </row>
    <row r="4609" spans="1:8" x14ac:dyDescent="0.25">
      <c r="A4609" s="1" t="s">
        <v>4622</v>
      </c>
      <c r="B4609" s="5">
        <v>45849.958333333336</v>
      </c>
      <c r="C4609" s="1" t="s">
        <v>23</v>
      </c>
      <c r="D4609" s="1" t="s">
        <v>19</v>
      </c>
      <c r="E4609" s="1">
        <v>15</v>
      </c>
      <c r="F4609" s="1">
        <v>384.72</v>
      </c>
      <c r="G4609" s="1">
        <v>44.69</v>
      </c>
      <c r="H4609">
        <f t="shared" si="71"/>
        <v>5770.8</v>
      </c>
    </row>
    <row r="4610" spans="1:8" x14ac:dyDescent="0.25">
      <c r="A4610" s="1" t="s">
        <v>4623</v>
      </c>
      <c r="B4610" s="5">
        <v>45850</v>
      </c>
      <c r="C4610" s="1" t="s">
        <v>23</v>
      </c>
      <c r="D4610" s="1" t="s">
        <v>16</v>
      </c>
      <c r="E4610" s="1">
        <v>13</v>
      </c>
      <c r="F4610" s="1">
        <v>151.05000000000001</v>
      </c>
      <c r="G4610" s="1">
        <v>24.11</v>
      </c>
      <c r="H4610">
        <f t="shared" ref="H4610:H4673" si="72">E4610*F4610</f>
        <v>1963.65</v>
      </c>
    </row>
    <row r="4611" spans="1:8" x14ac:dyDescent="0.25">
      <c r="A4611" s="1" t="s">
        <v>4624</v>
      </c>
      <c r="B4611" s="5">
        <v>45850.041666666664</v>
      </c>
      <c r="C4611" s="1" t="s">
        <v>13</v>
      </c>
      <c r="D4611" s="1" t="s">
        <v>19</v>
      </c>
      <c r="E4611" s="1">
        <v>14</v>
      </c>
      <c r="F4611" s="1">
        <v>370.69</v>
      </c>
      <c r="G4611" s="1">
        <v>24.06</v>
      </c>
      <c r="H4611">
        <f t="shared" si="72"/>
        <v>5189.66</v>
      </c>
    </row>
    <row r="4612" spans="1:8" x14ac:dyDescent="0.25">
      <c r="A4612" s="1" t="s">
        <v>4625</v>
      </c>
      <c r="B4612" s="5">
        <v>45850.083333333336</v>
      </c>
      <c r="C4612" s="1" t="s">
        <v>13</v>
      </c>
      <c r="D4612" s="1" t="s">
        <v>19</v>
      </c>
      <c r="E4612" s="1">
        <v>17</v>
      </c>
      <c r="F4612" s="1">
        <v>68.63</v>
      </c>
      <c r="G4612" s="1">
        <v>12.25</v>
      </c>
      <c r="H4612">
        <f t="shared" si="72"/>
        <v>1166.71</v>
      </c>
    </row>
    <row r="4613" spans="1:8" x14ac:dyDescent="0.25">
      <c r="A4613" s="1" t="s">
        <v>4626</v>
      </c>
      <c r="B4613" s="5">
        <v>45850.125</v>
      </c>
      <c r="C4613" s="1" t="s">
        <v>11</v>
      </c>
      <c r="D4613" s="1" t="s">
        <v>37</v>
      </c>
      <c r="E4613" s="1">
        <v>13</v>
      </c>
      <c r="F4613" s="1">
        <v>94.92</v>
      </c>
      <c r="G4613" s="1">
        <v>16.59</v>
      </c>
      <c r="H4613">
        <f t="shared" si="72"/>
        <v>1233.96</v>
      </c>
    </row>
    <row r="4614" spans="1:8" x14ac:dyDescent="0.25">
      <c r="A4614" s="1" t="s">
        <v>4627</v>
      </c>
      <c r="B4614" s="5">
        <v>45850.166666666664</v>
      </c>
      <c r="C4614" s="1" t="s">
        <v>13</v>
      </c>
      <c r="D4614" s="1" t="s">
        <v>19</v>
      </c>
      <c r="E4614" s="1">
        <v>10</v>
      </c>
      <c r="F4614" s="1">
        <v>428.64</v>
      </c>
      <c r="G4614" s="1">
        <v>46.65</v>
      </c>
      <c r="H4614">
        <f t="shared" si="72"/>
        <v>4286.3999999999996</v>
      </c>
    </row>
    <row r="4615" spans="1:8" x14ac:dyDescent="0.25">
      <c r="A4615" s="1" t="s">
        <v>4628</v>
      </c>
      <c r="B4615" s="5">
        <v>45850.208333333336</v>
      </c>
      <c r="C4615" s="1" t="s">
        <v>13</v>
      </c>
      <c r="D4615" s="1" t="s">
        <v>19</v>
      </c>
      <c r="E4615" s="1">
        <v>1</v>
      </c>
      <c r="F4615" s="1">
        <v>381.54</v>
      </c>
      <c r="G4615" s="1">
        <v>11.35</v>
      </c>
      <c r="H4615">
        <f t="shared" si="72"/>
        <v>381.54</v>
      </c>
    </row>
    <row r="4616" spans="1:8" x14ac:dyDescent="0.25">
      <c r="A4616" s="1" t="s">
        <v>4629</v>
      </c>
      <c r="B4616" s="5">
        <v>45850.25</v>
      </c>
      <c r="C4616" s="1" t="s">
        <v>13</v>
      </c>
      <c r="D4616" s="1" t="s">
        <v>9</v>
      </c>
      <c r="E4616" s="1">
        <v>1</v>
      </c>
      <c r="F4616" s="1">
        <v>184.04</v>
      </c>
      <c r="G4616" s="1">
        <v>48.59</v>
      </c>
      <c r="H4616">
        <f t="shared" si="72"/>
        <v>184.04</v>
      </c>
    </row>
    <row r="4617" spans="1:8" x14ac:dyDescent="0.25">
      <c r="A4617" s="1" t="s">
        <v>4630</v>
      </c>
      <c r="B4617" s="5">
        <v>45850.291666666664</v>
      </c>
      <c r="C4617" s="1" t="s">
        <v>13</v>
      </c>
      <c r="D4617" s="1" t="s">
        <v>19</v>
      </c>
      <c r="E4617" s="1">
        <v>15</v>
      </c>
      <c r="F4617" s="1">
        <v>292.91000000000003</v>
      </c>
      <c r="G4617" s="1">
        <v>27.71</v>
      </c>
      <c r="H4617">
        <f t="shared" si="72"/>
        <v>4393.6500000000005</v>
      </c>
    </row>
    <row r="4618" spans="1:8" x14ac:dyDescent="0.25">
      <c r="A4618" s="1" t="s">
        <v>4631</v>
      </c>
      <c r="B4618" s="5">
        <v>45850.333333333336</v>
      </c>
      <c r="C4618" s="1" t="s">
        <v>11</v>
      </c>
      <c r="D4618" s="1" t="s">
        <v>9</v>
      </c>
      <c r="E4618" s="1">
        <v>16</v>
      </c>
      <c r="F4618" s="1">
        <v>425.22</v>
      </c>
      <c r="G4618" s="1">
        <v>25.55</v>
      </c>
      <c r="H4618">
        <f t="shared" si="72"/>
        <v>6803.52</v>
      </c>
    </row>
    <row r="4619" spans="1:8" x14ac:dyDescent="0.25">
      <c r="A4619" s="1" t="s">
        <v>4632</v>
      </c>
      <c r="B4619" s="5">
        <v>45850.375</v>
      </c>
      <c r="C4619" s="1" t="s">
        <v>13</v>
      </c>
      <c r="D4619" s="1" t="s">
        <v>19</v>
      </c>
      <c r="E4619" s="1">
        <v>12</v>
      </c>
      <c r="F4619" s="1">
        <v>107.55</v>
      </c>
      <c r="G4619" s="1">
        <v>12.86</v>
      </c>
      <c r="H4619">
        <f t="shared" si="72"/>
        <v>1290.5999999999999</v>
      </c>
    </row>
    <row r="4620" spans="1:8" x14ac:dyDescent="0.25">
      <c r="A4620" s="1" t="s">
        <v>4633</v>
      </c>
      <c r="B4620" s="5">
        <v>45850.416666666664</v>
      </c>
      <c r="C4620" s="1" t="s">
        <v>8</v>
      </c>
      <c r="D4620" s="1" t="s">
        <v>19</v>
      </c>
      <c r="E4620" s="1">
        <v>6</v>
      </c>
      <c r="F4620" s="1">
        <v>41.14</v>
      </c>
      <c r="G4620" s="1">
        <v>34.770000000000003</v>
      </c>
      <c r="H4620">
        <f t="shared" si="72"/>
        <v>246.84</v>
      </c>
    </row>
    <row r="4621" spans="1:8" x14ac:dyDescent="0.25">
      <c r="A4621" s="1" t="s">
        <v>4634</v>
      </c>
      <c r="B4621" s="5">
        <v>45850.458333333336</v>
      </c>
      <c r="C4621" s="1" t="s">
        <v>8</v>
      </c>
      <c r="D4621" s="1" t="s">
        <v>16</v>
      </c>
      <c r="E4621" s="1">
        <v>6</v>
      </c>
      <c r="F4621" s="1">
        <v>249.03</v>
      </c>
      <c r="G4621" s="1">
        <v>25.69</v>
      </c>
      <c r="H4621">
        <f t="shared" si="72"/>
        <v>1494.18</v>
      </c>
    </row>
    <row r="4622" spans="1:8" x14ac:dyDescent="0.25">
      <c r="A4622" s="1" t="s">
        <v>4635</v>
      </c>
      <c r="B4622" s="5">
        <v>45850.5</v>
      </c>
      <c r="C4622" s="1" t="s">
        <v>8</v>
      </c>
      <c r="D4622" s="1" t="s">
        <v>16</v>
      </c>
      <c r="E4622" s="1">
        <v>12</v>
      </c>
      <c r="F4622" s="1">
        <v>77.459999999999994</v>
      </c>
      <c r="G4622" s="1">
        <v>21.68</v>
      </c>
      <c r="H4622">
        <f t="shared" si="72"/>
        <v>929.52</v>
      </c>
    </row>
    <row r="4623" spans="1:8" x14ac:dyDescent="0.25">
      <c r="A4623" s="1" t="s">
        <v>4636</v>
      </c>
      <c r="B4623" s="5">
        <v>45850.541666666664</v>
      </c>
      <c r="C4623" s="1" t="s">
        <v>8</v>
      </c>
      <c r="D4623" s="1" t="s">
        <v>9</v>
      </c>
      <c r="E4623" s="1">
        <v>15</v>
      </c>
      <c r="F4623" s="1">
        <v>96.89</v>
      </c>
      <c r="G4623" s="1">
        <v>16.899999999999999</v>
      </c>
      <c r="H4623">
        <f t="shared" si="72"/>
        <v>1453.35</v>
      </c>
    </row>
    <row r="4624" spans="1:8" x14ac:dyDescent="0.25">
      <c r="A4624" s="1" t="s">
        <v>4637</v>
      </c>
      <c r="B4624" s="5">
        <v>45850.583333333336</v>
      </c>
      <c r="C4624" s="1" t="s">
        <v>13</v>
      </c>
      <c r="D4624" s="1" t="s">
        <v>19</v>
      </c>
      <c r="E4624" s="1">
        <v>4</v>
      </c>
      <c r="F4624" s="1">
        <v>402.87</v>
      </c>
      <c r="G4624" s="1">
        <v>7.99</v>
      </c>
      <c r="H4624">
        <f t="shared" si="72"/>
        <v>1611.48</v>
      </c>
    </row>
    <row r="4625" spans="1:8" x14ac:dyDescent="0.25">
      <c r="A4625" s="1" t="s">
        <v>4638</v>
      </c>
      <c r="B4625" s="5">
        <v>45850.625</v>
      </c>
      <c r="C4625" s="1" t="s">
        <v>8</v>
      </c>
      <c r="D4625" s="1" t="s">
        <v>37</v>
      </c>
      <c r="E4625" s="1">
        <v>4</v>
      </c>
      <c r="F4625" s="1">
        <v>18.72</v>
      </c>
      <c r="G4625" s="1">
        <v>28.37</v>
      </c>
      <c r="H4625">
        <f t="shared" si="72"/>
        <v>74.88</v>
      </c>
    </row>
    <row r="4626" spans="1:8" x14ac:dyDescent="0.25">
      <c r="A4626" s="1" t="s">
        <v>4639</v>
      </c>
      <c r="B4626" s="5">
        <v>45850.666666666664</v>
      </c>
      <c r="C4626" s="1" t="s">
        <v>13</v>
      </c>
      <c r="D4626" s="1" t="s">
        <v>16</v>
      </c>
      <c r="E4626" s="1">
        <v>2</v>
      </c>
      <c r="F4626" s="1">
        <v>370.41</v>
      </c>
      <c r="G4626" s="1">
        <v>19.079999999999998</v>
      </c>
      <c r="H4626">
        <f t="shared" si="72"/>
        <v>740.82</v>
      </c>
    </row>
    <row r="4627" spans="1:8" x14ac:dyDescent="0.25">
      <c r="A4627" s="1" t="s">
        <v>4640</v>
      </c>
      <c r="B4627" s="5">
        <v>45850.708333333336</v>
      </c>
      <c r="C4627" s="1" t="s">
        <v>11</v>
      </c>
      <c r="D4627" s="1" t="s">
        <v>37</v>
      </c>
      <c r="E4627" s="1">
        <v>12</v>
      </c>
      <c r="F4627" s="1">
        <v>240.12</v>
      </c>
      <c r="G4627" s="1">
        <v>36.85</v>
      </c>
      <c r="H4627">
        <f t="shared" si="72"/>
        <v>2881.44</v>
      </c>
    </row>
    <row r="4628" spans="1:8" x14ac:dyDescent="0.25">
      <c r="A4628" s="1" t="s">
        <v>4641</v>
      </c>
      <c r="B4628" s="5">
        <v>45850.75</v>
      </c>
      <c r="C4628" s="1" t="s">
        <v>8</v>
      </c>
      <c r="D4628" s="1" t="s">
        <v>16</v>
      </c>
      <c r="E4628" s="1">
        <v>7</v>
      </c>
      <c r="F4628" s="1">
        <v>258.51</v>
      </c>
      <c r="G4628" s="1">
        <v>37.56</v>
      </c>
      <c r="H4628">
        <f t="shared" si="72"/>
        <v>1809.57</v>
      </c>
    </row>
    <row r="4629" spans="1:8" x14ac:dyDescent="0.25">
      <c r="A4629" s="1" t="s">
        <v>4642</v>
      </c>
      <c r="B4629" s="5">
        <v>45850.791666666664</v>
      </c>
      <c r="C4629" s="1" t="s">
        <v>23</v>
      </c>
      <c r="D4629" s="1" t="s">
        <v>16</v>
      </c>
      <c r="E4629" s="1">
        <v>9</v>
      </c>
      <c r="F4629" s="1">
        <v>307.38</v>
      </c>
      <c r="G4629" s="1">
        <v>19.940000000000001</v>
      </c>
      <c r="H4629">
        <f t="shared" si="72"/>
        <v>2766.42</v>
      </c>
    </row>
    <row r="4630" spans="1:8" x14ac:dyDescent="0.25">
      <c r="A4630" s="1" t="s">
        <v>4643</v>
      </c>
      <c r="B4630" s="5">
        <v>45850.833333333336</v>
      </c>
      <c r="C4630" s="1" t="s">
        <v>8</v>
      </c>
      <c r="D4630" s="1" t="s">
        <v>19</v>
      </c>
      <c r="E4630" s="1">
        <v>9</v>
      </c>
      <c r="F4630" s="1">
        <v>202.96</v>
      </c>
      <c r="G4630" s="1">
        <v>35.11</v>
      </c>
      <c r="H4630">
        <f t="shared" si="72"/>
        <v>1826.64</v>
      </c>
    </row>
    <row r="4631" spans="1:8" x14ac:dyDescent="0.25">
      <c r="A4631" s="1" t="s">
        <v>4644</v>
      </c>
      <c r="B4631" s="5">
        <v>45850.875</v>
      </c>
      <c r="C4631" s="1" t="s">
        <v>8</v>
      </c>
      <c r="D4631" s="1" t="s">
        <v>16</v>
      </c>
      <c r="E4631" s="1">
        <v>8</v>
      </c>
      <c r="F4631" s="1">
        <v>65.73</v>
      </c>
      <c r="G4631" s="1">
        <v>16.64</v>
      </c>
      <c r="H4631">
        <f t="shared" si="72"/>
        <v>525.84</v>
      </c>
    </row>
    <row r="4632" spans="1:8" x14ac:dyDescent="0.25">
      <c r="A4632" s="1" t="s">
        <v>4645</v>
      </c>
      <c r="B4632" s="5">
        <v>45850.916666666664</v>
      </c>
      <c r="C4632" s="1" t="s">
        <v>13</v>
      </c>
      <c r="D4632" s="1" t="s">
        <v>37</v>
      </c>
      <c r="E4632" s="1">
        <v>14</v>
      </c>
      <c r="F4632" s="1">
        <v>60.18</v>
      </c>
      <c r="G4632" s="1">
        <v>37.72</v>
      </c>
      <c r="H4632">
        <f t="shared" si="72"/>
        <v>842.52</v>
      </c>
    </row>
    <row r="4633" spans="1:8" x14ac:dyDescent="0.25">
      <c r="A4633" s="1" t="s">
        <v>4646</v>
      </c>
      <c r="B4633" s="5">
        <v>45850.958333333336</v>
      </c>
      <c r="C4633" s="1" t="s">
        <v>8</v>
      </c>
      <c r="D4633" s="1" t="s">
        <v>16</v>
      </c>
      <c r="E4633" s="1">
        <v>1</v>
      </c>
      <c r="F4633" s="1">
        <v>343.27</v>
      </c>
      <c r="G4633" s="1">
        <v>5.72</v>
      </c>
      <c r="H4633">
        <f t="shared" si="72"/>
        <v>343.27</v>
      </c>
    </row>
    <row r="4634" spans="1:8" x14ac:dyDescent="0.25">
      <c r="A4634" s="1" t="s">
        <v>4647</v>
      </c>
      <c r="B4634" s="5">
        <v>45851</v>
      </c>
      <c r="C4634" s="1" t="s">
        <v>23</v>
      </c>
      <c r="D4634" s="1" t="s">
        <v>9</v>
      </c>
      <c r="E4634" s="1">
        <v>12</v>
      </c>
      <c r="F4634" s="1">
        <v>111.54</v>
      </c>
      <c r="G4634" s="1">
        <v>11.82</v>
      </c>
      <c r="H4634">
        <f t="shared" si="72"/>
        <v>1338.48</v>
      </c>
    </row>
    <row r="4635" spans="1:8" x14ac:dyDescent="0.25">
      <c r="A4635" s="1" t="s">
        <v>4648</v>
      </c>
      <c r="B4635" s="5">
        <v>45851.041666666664</v>
      </c>
      <c r="C4635" s="1" t="s">
        <v>13</v>
      </c>
      <c r="D4635" s="1" t="s">
        <v>19</v>
      </c>
      <c r="E4635" s="1">
        <v>2</v>
      </c>
      <c r="F4635" s="1">
        <v>27.71</v>
      </c>
      <c r="G4635" s="1">
        <v>16.03</v>
      </c>
      <c r="H4635">
        <f t="shared" si="72"/>
        <v>55.42</v>
      </c>
    </row>
    <row r="4636" spans="1:8" x14ac:dyDescent="0.25">
      <c r="A4636" s="1" t="s">
        <v>4649</v>
      </c>
      <c r="B4636" s="5">
        <v>45851.083333333336</v>
      </c>
      <c r="C4636" s="1" t="s">
        <v>13</v>
      </c>
      <c r="D4636" s="1" t="s">
        <v>19</v>
      </c>
      <c r="E4636" s="1">
        <v>13</v>
      </c>
      <c r="F4636" s="1">
        <v>441.14</v>
      </c>
      <c r="G4636" s="1">
        <v>39.78</v>
      </c>
      <c r="H4636">
        <f t="shared" si="72"/>
        <v>5734.82</v>
      </c>
    </row>
    <row r="4637" spans="1:8" x14ac:dyDescent="0.25">
      <c r="A4637" s="1" t="s">
        <v>4650</v>
      </c>
      <c r="B4637" s="5">
        <v>45851.125</v>
      </c>
      <c r="C4637" s="1" t="s">
        <v>11</v>
      </c>
      <c r="D4637" s="1" t="s">
        <v>9</v>
      </c>
      <c r="E4637" s="1">
        <v>4</v>
      </c>
      <c r="F4637" s="1">
        <v>441.48</v>
      </c>
      <c r="G4637" s="1">
        <v>7.99</v>
      </c>
      <c r="H4637">
        <f t="shared" si="72"/>
        <v>1765.92</v>
      </c>
    </row>
    <row r="4638" spans="1:8" x14ac:dyDescent="0.25">
      <c r="A4638" s="1" t="s">
        <v>4651</v>
      </c>
      <c r="B4638" s="5">
        <v>45851.166666666664</v>
      </c>
      <c r="C4638" s="1" t="s">
        <v>11</v>
      </c>
      <c r="D4638" s="1" t="s">
        <v>9</v>
      </c>
      <c r="E4638" s="1">
        <v>18</v>
      </c>
      <c r="F4638" s="1">
        <v>179.8</v>
      </c>
      <c r="G4638" s="1">
        <v>13.46</v>
      </c>
      <c r="H4638">
        <f t="shared" si="72"/>
        <v>3236.4</v>
      </c>
    </row>
    <row r="4639" spans="1:8" x14ac:dyDescent="0.25">
      <c r="A4639" s="1" t="s">
        <v>4652</v>
      </c>
      <c r="B4639" s="5">
        <v>45851.208333333336</v>
      </c>
      <c r="C4639" s="1" t="s">
        <v>8</v>
      </c>
      <c r="D4639" s="1" t="s">
        <v>9</v>
      </c>
      <c r="E4639" s="1">
        <v>19</v>
      </c>
      <c r="F4639" s="1">
        <v>26.59</v>
      </c>
      <c r="G4639" s="1">
        <v>21.14</v>
      </c>
      <c r="H4639">
        <f t="shared" si="72"/>
        <v>505.21</v>
      </c>
    </row>
    <row r="4640" spans="1:8" x14ac:dyDescent="0.25">
      <c r="A4640" s="1" t="s">
        <v>4653</v>
      </c>
      <c r="B4640" s="5">
        <v>45851.25</v>
      </c>
      <c r="C4640" s="1" t="s">
        <v>11</v>
      </c>
      <c r="D4640" s="1" t="s">
        <v>16</v>
      </c>
      <c r="E4640" s="1">
        <v>16</v>
      </c>
      <c r="F4640" s="1">
        <v>331.5</v>
      </c>
      <c r="G4640" s="1">
        <v>5.41</v>
      </c>
      <c r="H4640">
        <f t="shared" si="72"/>
        <v>5304</v>
      </c>
    </row>
    <row r="4641" spans="1:8" x14ac:dyDescent="0.25">
      <c r="A4641" s="1" t="s">
        <v>4654</v>
      </c>
      <c r="B4641" s="5">
        <v>45851.291666666664</v>
      </c>
      <c r="C4641" s="1" t="s">
        <v>11</v>
      </c>
      <c r="D4641" s="1" t="s">
        <v>19</v>
      </c>
      <c r="E4641" s="1">
        <v>14</v>
      </c>
      <c r="F4641" s="1">
        <v>376.57</v>
      </c>
      <c r="G4641" s="1">
        <v>39.299999999999997</v>
      </c>
      <c r="H4641">
        <f t="shared" si="72"/>
        <v>5271.98</v>
      </c>
    </row>
    <row r="4642" spans="1:8" x14ac:dyDescent="0.25">
      <c r="A4642" s="1" t="s">
        <v>4655</v>
      </c>
      <c r="B4642" s="5">
        <v>45851.333333333336</v>
      </c>
      <c r="C4642" s="1" t="s">
        <v>11</v>
      </c>
      <c r="D4642" s="1" t="s">
        <v>9</v>
      </c>
      <c r="E4642" s="1">
        <v>8</v>
      </c>
      <c r="F4642" s="1">
        <v>69.819999999999993</v>
      </c>
      <c r="G4642" s="1">
        <v>30.2</v>
      </c>
      <c r="H4642">
        <f t="shared" si="72"/>
        <v>558.55999999999995</v>
      </c>
    </row>
    <row r="4643" spans="1:8" x14ac:dyDescent="0.25">
      <c r="A4643" s="1" t="s">
        <v>4656</v>
      </c>
      <c r="B4643" s="5">
        <v>45851.375</v>
      </c>
      <c r="C4643" s="1" t="s">
        <v>13</v>
      </c>
      <c r="D4643" s="1" t="s">
        <v>16</v>
      </c>
      <c r="E4643" s="1">
        <v>12</v>
      </c>
      <c r="F4643" s="1">
        <v>74.36</v>
      </c>
      <c r="G4643" s="1">
        <v>45.53</v>
      </c>
      <c r="H4643">
        <f t="shared" si="72"/>
        <v>892.31999999999994</v>
      </c>
    </row>
    <row r="4644" spans="1:8" x14ac:dyDescent="0.25">
      <c r="A4644" s="1" t="s">
        <v>4657</v>
      </c>
      <c r="B4644" s="5">
        <v>45851.416666666664</v>
      </c>
      <c r="C4644" s="1" t="s">
        <v>13</v>
      </c>
      <c r="D4644" s="1" t="s">
        <v>9</v>
      </c>
      <c r="E4644" s="1">
        <v>9</v>
      </c>
      <c r="F4644" s="1">
        <v>372.76</v>
      </c>
      <c r="G4644" s="1">
        <v>6.4</v>
      </c>
      <c r="H4644">
        <f t="shared" si="72"/>
        <v>3354.84</v>
      </c>
    </row>
    <row r="4645" spans="1:8" x14ac:dyDescent="0.25">
      <c r="A4645" s="1" t="s">
        <v>4658</v>
      </c>
      <c r="B4645" s="5">
        <v>45851.458333333336</v>
      </c>
      <c r="C4645" s="1" t="s">
        <v>13</v>
      </c>
      <c r="D4645" s="1" t="s">
        <v>37</v>
      </c>
      <c r="E4645" s="1">
        <v>6</v>
      </c>
      <c r="F4645" s="1">
        <v>416.07</v>
      </c>
      <c r="G4645" s="1">
        <v>17.21</v>
      </c>
      <c r="H4645">
        <f t="shared" si="72"/>
        <v>2496.42</v>
      </c>
    </row>
    <row r="4646" spans="1:8" x14ac:dyDescent="0.25">
      <c r="A4646" s="1" t="s">
        <v>4659</v>
      </c>
      <c r="B4646" s="5">
        <v>45851.5</v>
      </c>
      <c r="C4646" s="1" t="s">
        <v>11</v>
      </c>
      <c r="D4646" s="1" t="s">
        <v>37</v>
      </c>
      <c r="E4646" s="1">
        <v>18</v>
      </c>
      <c r="F4646" s="1">
        <v>359.08</v>
      </c>
      <c r="G4646" s="1">
        <v>37.909999999999997</v>
      </c>
      <c r="H4646">
        <f t="shared" si="72"/>
        <v>6463.44</v>
      </c>
    </row>
    <row r="4647" spans="1:8" x14ac:dyDescent="0.25">
      <c r="A4647" s="1" t="s">
        <v>4660</v>
      </c>
      <c r="B4647" s="5">
        <v>45851.541666666664</v>
      </c>
      <c r="C4647" s="1" t="s">
        <v>13</v>
      </c>
      <c r="D4647" s="1" t="s">
        <v>19</v>
      </c>
      <c r="E4647" s="1">
        <v>2</v>
      </c>
      <c r="F4647" s="1">
        <v>102.72</v>
      </c>
      <c r="G4647" s="1">
        <v>35.380000000000003</v>
      </c>
      <c r="H4647">
        <f t="shared" si="72"/>
        <v>205.44</v>
      </c>
    </row>
    <row r="4648" spans="1:8" x14ac:dyDescent="0.25">
      <c r="A4648" s="1" t="s">
        <v>4661</v>
      </c>
      <c r="B4648" s="5">
        <v>45851.583333333336</v>
      </c>
      <c r="C4648" s="1" t="s">
        <v>11</v>
      </c>
      <c r="D4648" s="1" t="s">
        <v>16</v>
      </c>
      <c r="E4648" s="1">
        <v>8</v>
      </c>
      <c r="F4648" s="1">
        <v>194.31</v>
      </c>
      <c r="G4648" s="1">
        <v>15.94</v>
      </c>
      <c r="H4648">
        <f t="shared" si="72"/>
        <v>1554.48</v>
      </c>
    </row>
    <row r="4649" spans="1:8" x14ac:dyDescent="0.25">
      <c r="A4649" s="1" t="s">
        <v>4662</v>
      </c>
      <c r="B4649" s="5">
        <v>45851.625</v>
      </c>
      <c r="C4649" s="1" t="s">
        <v>13</v>
      </c>
      <c r="D4649" s="1" t="s">
        <v>37</v>
      </c>
      <c r="E4649" s="1">
        <v>14</v>
      </c>
      <c r="F4649" s="1">
        <v>276.57</v>
      </c>
      <c r="G4649" s="1">
        <v>31.81</v>
      </c>
      <c r="H4649">
        <f t="shared" si="72"/>
        <v>3871.98</v>
      </c>
    </row>
    <row r="4650" spans="1:8" x14ac:dyDescent="0.25">
      <c r="A4650" s="1" t="s">
        <v>4663</v>
      </c>
      <c r="B4650" s="5">
        <v>45851.666666666664</v>
      </c>
      <c r="C4650" s="1" t="s">
        <v>13</v>
      </c>
      <c r="D4650" s="1" t="s">
        <v>37</v>
      </c>
      <c r="E4650" s="1">
        <v>6</v>
      </c>
      <c r="F4650" s="1">
        <v>85.15</v>
      </c>
      <c r="G4650" s="1">
        <v>40.72</v>
      </c>
      <c r="H4650">
        <f t="shared" si="72"/>
        <v>510.90000000000003</v>
      </c>
    </row>
    <row r="4651" spans="1:8" x14ac:dyDescent="0.25">
      <c r="A4651" s="1" t="s">
        <v>4664</v>
      </c>
      <c r="B4651" s="5">
        <v>45851.708333333336</v>
      </c>
      <c r="C4651" s="1" t="s">
        <v>23</v>
      </c>
      <c r="D4651" s="1" t="s">
        <v>16</v>
      </c>
      <c r="E4651" s="1">
        <v>10</v>
      </c>
      <c r="F4651" s="1">
        <v>107.01</v>
      </c>
      <c r="G4651" s="1">
        <v>6.5</v>
      </c>
      <c r="H4651">
        <f t="shared" si="72"/>
        <v>1070.1000000000001</v>
      </c>
    </row>
    <row r="4652" spans="1:8" x14ac:dyDescent="0.25">
      <c r="A4652" s="1" t="s">
        <v>4665</v>
      </c>
      <c r="B4652" s="5">
        <v>45851.75</v>
      </c>
      <c r="C4652" s="1" t="s">
        <v>8</v>
      </c>
      <c r="D4652" s="1" t="s">
        <v>9</v>
      </c>
      <c r="E4652" s="1">
        <v>8</v>
      </c>
      <c r="F4652" s="1">
        <v>138.41</v>
      </c>
      <c r="G4652" s="1">
        <v>37.29</v>
      </c>
      <c r="H4652">
        <f t="shared" si="72"/>
        <v>1107.28</v>
      </c>
    </row>
    <row r="4653" spans="1:8" x14ac:dyDescent="0.25">
      <c r="A4653" s="1" t="s">
        <v>4666</v>
      </c>
      <c r="B4653" s="5">
        <v>45851.791666666664</v>
      </c>
      <c r="C4653" s="1" t="s">
        <v>11</v>
      </c>
      <c r="D4653" s="1" t="s">
        <v>16</v>
      </c>
      <c r="E4653" s="1">
        <v>17</v>
      </c>
      <c r="F4653" s="1">
        <v>236.88</v>
      </c>
      <c r="G4653" s="1">
        <v>16.34</v>
      </c>
      <c r="H4653">
        <f t="shared" si="72"/>
        <v>4026.96</v>
      </c>
    </row>
    <row r="4654" spans="1:8" x14ac:dyDescent="0.25">
      <c r="A4654" s="1" t="s">
        <v>4667</v>
      </c>
      <c r="B4654" s="5">
        <v>45851.833333333336</v>
      </c>
      <c r="C4654" s="1" t="s">
        <v>23</v>
      </c>
      <c r="D4654" s="1" t="s">
        <v>9</v>
      </c>
      <c r="E4654" s="1">
        <v>12</v>
      </c>
      <c r="F4654" s="1">
        <v>237.44</v>
      </c>
      <c r="G4654" s="1">
        <v>47.65</v>
      </c>
      <c r="H4654">
        <f t="shared" si="72"/>
        <v>2849.2799999999997</v>
      </c>
    </row>
    <row r="4655" spans="1:8" x14ac:dyDescent="0.25">
      <c r="A4655" s="1" t="s">
        <v>4668</v>
      </c>
      <c r="B4655" s="5">
        <v>45851.875</v>
      </c>
      <c r="C4655" s="1" t="s">
        <v>13</v>
      </c>
      <c r="D4655" s="1" t="s">
        <v>37</v>
      </c>
      <c r="E4655" s="1">
        <v>17</v>
      </c>
      <c r="F4655" s="1">
        <v>369.31</v>
      </c>
      <c r="G4655" s="1">
        <v>29.22</v>
      </c>
      <c r="H4655">
        <f t="shared" si="72"/>
        <v>6278.27</v>
      </c>
    </row>
    <row r="4656" spans="1:8" x14ac:dyDescent="0.25">
      <c r="A4656" s="1" t="s">
        <v>4669</v>
      </c>
      <c r="B4656" s="5">
        <v>45851.916666666664</v>
      </c>
      <c r="C4656" s="1" t="s">
        <v>11</v>
      </c>
      <c r="D4656" s="1" t="s">
        <v>37</v>
      </c>
      <c r="E4656" s="1">
        <v>13</v>
      </c>
      <c r="F4656" s="1">
        <v>342.68</v>
      </c>
      <c r="G4656" s="1">
        <v>6.5</v>
      </c>
      <c r="H4656">
        <f t="shared" si="72"/>
        <v>4454.84</v>
      </c>
    </row>
    <row r="4657" spans="1:8" x14ac:dyDescent="0.25">
      <c r="A4657" s="1" t="s">
        <v>4670</v>
      </c>
      <c r="B4657" s="5">
        <v>45851.958333333336</v>
      </c>
      <c r="C4657" s="1" t="s">
        <v>13</v>
      </c>
      <c r="D4657" s="1" t="s">
        <v>37</v>
      </c>
      <c r="E4657" s="1">
        <v>19</v>
      </c>
      <c r="F4657" s="1">
        <v>412.52</v>
      </c>
      <c r="G4657" s="1">
        <v>23.15</v>
      </c>
      <c r="H4657">
        <f t="shared" si="72"/>
        <v>7837.8799999999992</v>
      </c>
    </row>
    <row r="4658" spans="1:8" x14ac:dyDescent="0.25">
      <c r="A4658" s="1" t="s">
        <v>4671</v>
      </c>
      <c r="B4658" s="5">
        <v>45852</v>
      </c>
      <c r="C4658" s="1" t="s">
        <v>8</v>
      </c>
      <c r="D4658" s="1" t="s">
        <v>19</v>
      </c>
      <c r="E4658" s="1">
        <v>12</v>
      </c>
      <c r="F4658" s="1">
        <v>377.4</v>
      </c>
      <c r="G4658" s="1">
        <v>48.48</v>
      </c>
      <c r="H4658">
        <f t="shared" si="72"/>
        <v>4528.7999999999993</v>
      </c>
    </row>
    <row r="4659" spans="1:8" x14ac:dyDescent="0.25">
      <c r="A4659" s="1" t="s">
        <v>4672</v>
      </c>
      <c r="B4659" s="5">
        <v>45852.041666666664</v>
      </c>
      <c r="C4659" s="1" t="s">
        <v>23</v>
      </c>
      <c r="D4659" s="1" t="s">
        <v>19</v>
      </c>
      <c r="E4659" s="1">
        <v>16</v>
      </c>
      <c r="F4659" s="1">
        <v>125.81</v>
      </c>
      <c r="G4659" s="1">
        <v>37.869999999999997</v>
      </c>
      <c r="H4659">
        <f t="shared" si="72"/>
        <v>2012.96</v>
      </c>
    </row>
    <row r="4660" spans="1:8" x14ac:dyDescent="0.25">
      <c r="A4660" s="1" t="s">
        <v>4673</v>
      </c>
      <c r="B4660" s="5">
        <v>45852.083333333336</v>
      </c>
      <c r="C4660" s="1" t="s">
        <v>8</v>
      </c>
      <c r="D4660" s="1" t="s">
        <v>19</v>
      </c>
      <c r="E4660" s="1">
        <v>5</v>
      </c>
      <c r="F4660" s="1">
        <v>159.44999999999999</v>
      </c>
      <c r="G4660" s="1">
        <v>18.52</v>
      </c>
      <c r="H4660">
        <f t="shared" si="72"/>
        <v>797.25</v>
      </c>
    </row>
    <row r="4661" spans="1:8" x14ac:dyDescent="0.25">
      <c r="A4661" s="1" t="s">
        <v>4674</v>
      </c>
      <c r="B4661" s="5">
        <v>45852.125</v>
      </c>
      <c r="C4661" s="1" t="s">
        <v>23</v>
      </c>
      <c r="D4661" s="1" t="s">
        <v>16</v>
      </c>
      <c r="E4661" s="1">
        <v>16</v>
      </c>
      <c r="F4661" s="1">
        <v>232.93</v>
      </c>
      <c r="G4661" s="1">
        <v>30.89</v>
      </c>
      <c r="H4661">
        <f t="shared" si="72"/>
        <v>3726.88</v>
      </c>
    </row>
    <row r="4662" spans="1:8" x14ac:dyDescent="0.25">
      <c r="A4662" s="1" t="s">
        <v>4675</v>
      </c>
      <c r="B4662" s="5">
        <v>45852.166666666664</v>
      </c>
      <c r="C4662" s="1" t="s">
        <v>13</v>
      </c>
      <c r="D4662" s="1" t="s">
        <v>37</v>
      </c>
      <c r="E4662" s="1">
        <v>6</v>
      </c>
      <c r="F4662" s="1">
        <v>21.7</v>
      </c>
      <c r="G4662" s="1">
        <v>31.96</v>
      </c>
      <c r="H4662">
        <f t="shared" si="72"/>
        <v>130.19999999999999</v>
      </c>
    </row>
    <row r="4663" spans="1:8" x14ac:dyDescent="0.25">
      <c r="A4663" s="1" t="s">
        <v>4676</v>
      </c>
      <c r="B4663" s="5">
        <v>45852.208333333336</v>
      </c>
      <c r="C4663" s="1" t="s">
        <v>8</v>
      </c>
      <c r="D4663" s="1" t="s">
        <v>37</v>
      </c>
      <c r="E4663" s="1">
        <v>11</v>
      </c>
      <c r="F4663" s="1">
        <v>408.25</v>
      </c>
      <c r="G4663" s="1">
        <v>6.05</v>
      </c>
      <c r="H4663">
        <f t="shared" si="72"/>
        <v>4490.75</v>
      </c>
    </row>
    <row r="4664" spans="1:8" x14ac:dyDescent="0.25">
      <c r="A4664" s="1" t="s">
        <v>4677</v>
      </c>
      <c r="B4664" s="5">
        <v>45852.25</v>
      </c>
      <c r="C4664" s="1" t="s">
        <v>8</v>
      </c>
      <c r="D4664" s="1" t="s">
        <v>16</v>
      </c>
      <c r="E4664" s="1">
        <v>17</v>
      </c>
      <c r="F4664" s="1">
        <v>34.770000000000003</v>
      </c>
      <c r="G4664" s="1">
        <v>13.05</v>
      </c>
      <c r="H4664">
        <f t="shared" si="72"/>
        <v>591.09</v>
      </c>
    </row>
    <row r="4665" spans="1:8" x14ac:dyDescent="0.25">
      <c r="A4665" s="1" t="s">
        <v>4678</v>
      </c>
      <c r="B4665" s="5">
        <v>45852.291666666664</v>
      </c>
      <c r="C4665" s="1" t="s">
        <v>13</v>
      </c>
      <c r="D4665" s="1" t="s">
        <v>19</v>
      </c>
      <c r="E4665" s="1">
        <v>14</v>
      </c>
      <c r="F4665" s="1">
        <v>155.6</v>
      </c>
      <c r="G4665" s="1">
        <v>29.83</v>
      </c>
      <c r="H4665">
        <f t="shared" si="72"/>
        <v>2178.4</v>
      </c>
    </row>
    <row r="4666" spans="1:8" x14ac:dyDescent="0.25">
      <c r="A4666" s="1" t="s">
        <v>4679</v>
      </c>
      <c r="B4666" s="5">
        <v>45852.333333333336</v>
      </c>
      <c r="C4666" s="1" t="s">
        <v>8</v>
      </c>
      <c r="D4666" s="1" t="s">
        <v>16</v>
      </c>
      <c r="E4666" s="1">
        <v>6</v>
      </c>
      <c r="F4666" s="1">
        <v>262.81</v>
      </c>
      <c r="G4666" s="1">
        <v>23.12</v>
      </c>
      <c r="H4666">
        <f t="shared" si="72"/>
        <v>1576.8600000000001</v>
      </c>
    </row>
    <row r="4667" spans="1:8" x14ac:dyDescent="0.25">
      <c r="A4667" s="1" t="s">
        <v>4680</v>
      </c>
      <c r="B4667" s="5">
        <v>45852.375</v>
      </c>
      <c r="C4667" s="1" t="s">
        <v>11</v>
      </c>
      <c r="D4667" s="1" t="s">
        <v>19</v>
      </c>
      <c r="E4667" s="1">
        <v>11</v>
      </c>
      <c r="F4667" s="1">
        <v>240.5</v>
      </c>
      <c r="G4667" s="1">
        <v>13.55</v>
      </c>
      <c r="H4667">
        <f t="shared" si="72"/>
        <v>2645.5</v>
      </c>
    </row>
    <row r="4668" spans="1:8" x14ac:dyDescent="0.25">
      <c r="A4668" s="1" t="s">
        <v>4681</v>
      </c>
      <c r="B4668" s="5">
        <v>45852.416666666664</v>
      </c>
      <c r="C4668" s="1" t="s">
        <v>23</v>
      </c>
      <c r="D4668" s="1" t="s">
        <v>37</v>
      </c>
      <c r="E4668" s="1">
        <v>12</v>
      </c>
      <c r="F4668" s="1">
        <v>299.86</v>
      </c>
      <c r="G4668" s="1">
        <v>39.770000000000003</v>
      </c>
      <c r="H4668">
        <f t="shared" si="72"/>
        <v>3598.32</v>
      </c>
    </row>
    <row r="4669" spans="1:8" x14ac:dyDescent="0.25">
      <c r="A4669" s="1" t="s">
        <v>4682</v>
      </c>
      <c r="B4669" s="5">
        <v>45852.458333333336</v>
      </c>
      <c r="C4669" s="1" t="s">
        <v>23</v>
      </c>
      <c r="D4669" s="1" t="s">
        <v>9</v>
      </c>
      <c r="E4669" s="1">
        <v>13</v>
      </c>
      <c r="F4669" s="1">
        <v>244.71</v>
      </c>
      <c r="G4669" s="1">
        <v>27</v>
      </c>
      <c r="H4669">
        <f t="shared" si="72"/>
        <v>3181.23</v>
      </c>
    </row>
    <row r="4670" spans="1:8" x14ac:dyDescent="0.25">
      <c r="A4670" s="1" t="s">
        <v>4683</v>
      </c>
      <c r="B4670" s="5">
        <v>45852.5</v>
      </c>
      <c r="C4670" s="1" t="s">
        <v>23</v>
      </c>
      <c r="D4670" s="1" t="s">
        <v>19</v>
      </c>
      <c r="E4670" s="1">
        <v>4</v>
      </c>
      <c r="F4670" s="1">
        <v>115</v>
      </c>
      <c r="G4670" s="1">
        <v>18.95</v>
      </c>
      <c r="H4670">
        <f t="shared" si="72"/>
        <v>460</v>
      </c>
    </row>
    <row r="4671" spans="1:8" x14ac:dyDescent="0.25">
      <c r="A4671" s="1" t="s">
        <v>4684</v>
      </c>
      <c r="B4671" s="5">
        <v>45852.541666666664</v>
      </c>
      <c r="C4671" s="1" t="s">
        <v>11</v>
      </c>
      <c r="D4671" s="1" t="s">
        <v>37</v>
      </c>
      <c r="E4671" s="1">
        <v>7</v>
      </c>
      <c r="F4671" s="1">
        <v>102.87</v>
      </c>
      <c r="G4671" s="1">
        <v>12.28</v>
      </c>
      <c r="H4671">
        <f t="shared" si="72"/>
        <v>720.09</v>
      </c>
    </row>
    <row r="4672" spans="1:8" x14ac:dyDescent="0.25">
      <c r="A4672" s="1" t="s">
        <v>4685</v>
      </c>
      <c r="B4672" s="5">
        <v>45852.583333333336</v>
      </c>
      <c r="C4672" s="1" t="s">
        <v>23</v>
      </c>
      <c r="D4672" s="1" t="s">
        <v>37</v>
      </c>
      <c r="E4672" s="1">
        <v>2</v>
      </c>
      <c r="F4672" s="1">
        <v>409.7</v>
      </c>
      <c r="G4672" s="1">
        <v>32.5</v>
      </c>
      <c r="H4672">
        <f t="shared" si="72"/>
        <v>819.4</v>
      </c>
    </row>
    <row r="4673" spans="1:8" x14ac:dyDescent="0.25">
      <c r="A4673" s="1" t="s">
        <v>4686</v>
      </c>
      <c r="B4673" s="5">
        <v>45852.625</v>
      </c>
      <c r="C4673" s="1" t="s">
        <v>13</v>
      </c>
      <c r="D4673" s="1" t="s">
        <v>9</v>
      </c>
      <c r="E4673" s="1">
        <v>6</v>
      </c>
      <c r="F4673" s="1">
        <v>130.19</v>
      </c>
      <c r="G4673" s="1">
        <v>34.979999999999997</v>
      </c>
      <c r="H4673">
        <f t="shared" si="72"/>
        <v>781.14</v>
      </c>
    </row>
    <row r="4674" spans="1:8" x14ac:dyDescent="0.25">
      <c r="A4674" s="1" t="s">
        <v>4687</v>
      </c>
      <c r="B4674" s="5">
        <v>45852.666666666664</v>
      </c>
      <c r="C4674" s="1" t="s">
        <v>8</v>
      </c>
      <c r="D4674" s="1" t="s">
        <v>37</v>
      </c>
      <c r="E4674" s="1">
        <v>6</v>
      </c>
      <c r="F4674" s="1">
        <v>137.58000000000001</v>
      </c>
      <c r="G4674" s="1">
        <v>35.130000000000003</v>
      </c>
      <c r="H4674">
        <f t="shared" ref="H4674:H4737" si="73">E4674*F4674</f>
        <v>825.48</v>
      </c>
    </row>
    <row r="4675" spans="1:8" x14ac:dyDescent="0.25">
      <c r="A4675" s="1" t="s">
        <v>4688</v>
      </c>
      <c r="B4675" s="5">
        <v>45852.708333333336</v>
      </c>
      <c r="C4675" s="1" t="s">
        <v>11</v>
      </c>
      <c r="D4675" s="1" t="s">
        <v>37</v>
      </c>
      <c r="E4675" s="1">
        <v>18</v>
      </c>
      <c r="F4675" s="1">
        <v>194.93</v>
      </c>
      <c r="G4675" s="1">
        <v>14.91</v>
      </c>
      <c r="H4675">
        <f t="shared" si="73"/>
        <v>3508.7400000000002</v>
      </c>
    </row>
    <row r="4676" spans="1:8" x14ac:dyDescent="0.25">
      <c r="A4676" s="1" t="s">
        <v>4689</v>
      </c>
      <c r="B4676" s="5">
        <v>45852.75</v>
      </c>
      <c r="C4676" s="1" t="s">
        <v>23</v>
      </c>
      <c r="D4676" s="1" t="s">
        <v>19</v>
      </c>
      <c r="E4676" s="1">
        <v>8</v>
      </c>
      <c r="F4676" s="1">
        <v>76.09</v>
      </c>
      <c r="G4676" s="1">
        <v>31.79</v>
      </c>
      <c r="H4676">
        <f t="shared" si="73"/>
        <v>608.72</v>
      </c>
    </row>
    <row r="4677" spans="1:8" x14ac:dyDescent="0.25">
      <c r="A4677" s="1" t="s">
        <v>4690</v>
      </c>
      <c r="B4677" s="5">
        <v>45852.791666666664</v>
      </c>
      <c r="C4677" s="1" t="s">
        <v>13</v>
      </c>
      <c r="D4677" s="1" t="s">
        <v>19</v>
      </c>
      <c r="E4677" s="1">
        <v>8</v>
      </c>
      <c r="F4677" s="1">
        <v>235.91</v>
      </c>
      <c r="G4677" s="1">
        <v>45.74</v>
      </c>
      <c r="H4677">
        <f t="shared" si="73"/>
        <v>1887.28</v>
      </c>
    </row>
    <row r="4678" spans="1:8" x14ac:dyDescent="0.25">
      <c r="A4678" s="1" t="s">
        <v>4691</v>
      </c>
      <c r="B4678" s="5">
        <v>45852.833333333336</v>
      </c>
      <c r="C4678" s="1" t="s">
        <v>8</v>
      </c>
      <c r="D4678" s="1" t="s">
        <v>9</v>
      </c>
      <c r="E4678" s="1">
        <v>8</v>
      </c>
      <c r="F4678" s="1">
        <v>304.45999999999998</v>
      </c>
      <c r="G4678" s="1">
        <v>20.89</v>
      </c>
      <c r="H4678">
        <f t="shared" si="73"/>
        <v>2435.6799999999998</v>
      </c>
    </row>
    <row r="4679" spans="1:8" x14ac:dyDescent="0.25">
      <c r="A4679" s="1" t="s">
        <v>4692</v>
      </c>
      <c r="B4679" s="5">
        <v>45852.875</v>
      </c>
      <c r="C4679" s="1" t="s">
        <v>8</v>
      </c>
      <c r="D4679" s="1" t="s">
        <v>9</v>
      </c>
      <c r="E4679" s="1">
        <v>8</v>
      </c>
      <c r="F4679" s="1">
        <v>357.02</v>
      </c>
      <c r="G4679" s="1">
        <v>14.48</v>
      </c>
      <c r="H4679">
        <f t="shared" si="73"/>
        <v>2856.16</v>
      </c>
    </row>
    <row r="4680" spans="1:8" x14ac:dyDescent="0.25">
      <c r="A4680" s="1" t="s">
        <v>4693</v>
      </c>
      <c r="B4680" s="5">
        <v>45852.916666666664</v>
      </c>
      <c r="C4680" s="1" t="s">
        <v>11</v>
      </c>
      <c r="D4680" s="1" t="s">
        <v>37</v>
      </c>
      <c r="E4680" s="1">
        <v>1</v>
      </c>
      <c r="F4680" s="1">
        <v>324.63</v>
      </c>
      <c r="G4680" s="1">
        <v>39.75</v>
      </c>
      <c r="H4680">
        <f t="shared" si="73"/>
        <v>324.63</v>
      </c>
    </row>
    <row r="4681" spans="1:8" x14ac:dyDescent="0.25">
      <c r="A4681" s="1" t="s">
        <v>4694</v>
      </c>
      <c r="B4681" s="5">
        <v>45852.958333333336</v>
      </c>
      <c r="C4681" s="1" t="s">
        <v>11</v>
      </c>
      <c r="D4681" s="1" t="s">
        <v>19</v>
      </c>
      <c r="E4681" s="1">
        <v>2</v>
      </c>
      <c r="F4681" s="1">
        <v>79.650000000000006</v>
      </c>
      <c r="G4681" s="1">
        <v>12.96</v>
      </c>
      <c r="H4681">
        <f t="shared" si="73"/>
        <v>159.30000000000001</v>
      </c>
    </row>
    <row r="4682" spans="1:8" x14ac:dyDescent="0.25">
      <c r="A4682" s="1" t="s">
        <v>4695</v>
      </c>
      <c r="B4682" s="5">
        <v>45853</v>
      </c>
      <c r="C4682" s="1" t="s">
        <v>11</v>
      </c>
      <c r="D4682" s="1" t="s">
        <v>9</v>
      </c>
      <c r="E4682" s="1">
        <v>12</v>
      </c>
      <c r="F4682" s="1">
        <v>213.66</v>
      </c>
      <c r="G4682" s="1">
        <v>16.420000000000002</v>
      </c>
      <c r="H4682">
        <f t="shared" si="73"/>
        <v>2563.92</v>
      </c>
    </row>
    <row r="4683" spans="1:8" x14ac:dyDescent="0.25">
      <c r="A4683" s="1" t="s">
        <v>4696</v>
      </c>
      <c r="B4683" s="5">
        <v>45853.041666666664</v>
      </c>
      <c r="C4683" s="1" t="s">
        <v>13</v>
      </c>
      <c r="D4683" s="1" t="s">
        <v>9</v>
      </c>
      <c r="E4683" s="1">
        <v>15</v>
      </c>
      <c r="F4683" s="1">
        <v>32.270000000000003</v>
      </c>
      <c r="G4683" s="1">
        <v>9.5299999999999994</v>
      </c>
      <c r="H4683">
        <f t="shared" si="73"/>
        <v>484.05000000000007</v>
      </c>
    </row>
    <row r="4684" spans="1:8" x14ac:dyDescent="0.25">
      <c r="A4684" s="1" t="s">
        <v>4697</v>
      </c>
      <c r="B4684" s="5">
        <v>45853.083333333336</v>
      </c>
      <c r="C4684" s="1" t="s">
        <v>13</v>
      </c>
      <c r="D4684" s="1" t="s">
        <v>16</v>
      </c>
      <c r="E4684" s="1">
        <v>4</v>
      </c>
      <c r="F4684" s="1">
        <v>23.23</v>
      </c>
      <c r="G4684" s="1">
        <v>17.05</v>
      </c>
      <c r="H4684">
        <f t="shared" si="73"/>
        <v>92.92</v>
      </c>
    </row>
    <row r="4685" spans="1:8" x14ac:dyDescent="0.25">
      <c r="A4685" s="1" t="s">
        <v>4698</v>
      </c>
      <c r="B4685" s="5">
        <v>45853.125</v>
      </c>
      <c r="C4685" s="1" t="s">
        <v>11</v>
      </c>
      <c r="D4685" s="1" t="s">
        <v>9</v>
      </c>
      <c r="E4685" s="1">
        <v>3</v>
      </c>
      <c r="F4685" s="1">
        <v>206.74</v>
      </c>
      <c r="G4685" s="1">
        <v>23.47</v>
      </c>
      <c r="H4685">
        <f t="shared" si="73"/>
        <v>620.22</v>
      </c>
    </row>
    <row r="4686" spans="1:8" x14ac:dyDescent="0.25">
      <c r="A4686" s="1" t="s">
        <v>4699</v>
      </c>
      <c r="B4686" s="5">
        <v>45853.166666666664</v>
      </c>
      <c r="C4686" s="1" t="s">
        <v>23</v>
      </c>
      <c r="D4686" s="1" t="s">
        <v>37</v>
      </c>
      <c r="E4686" s="1">
        <v>14</v>
      </c>
      <c r="F4686" s="1">
        <v>125.41</v>
      </c>
      <c r="G4686" s="1">
        <v>7.89</v>
      </c>
      <c r="H4686">
        <f t="shared" si="73"/>
        <v>1755.74</v>
      </c>
    </row>
    <row r="4687" spans="1:8" x14ac:dyDescent="0.25">
      <c r="A4687" s="1" t="s">
        <v>4700</v>
      </c>
      <c r="B4687" s="5">
        <v>45853.208333333336</v>
      </c>
      <c r="C4687" s="1" t="s">
        <v>8</v>
      </c>
      <c r="D4687" s="1" t="s">
        <v>19</v>
      </c>
      <c r="E4687" s="1">
        <v>8</v>
      </c>
      <c r="F4687" s="1">
        <v>312.42</v>
      </c>
      <c r="G4687" s="1">
        <v>44.23</v>
      </c>
      <c r="H4687">
        <f t="shared" si="73"/>
        <v>2499.36</v>
      </c>
    </row>
    <row r="4688" spans="1:8" x14ac:dyDescent="0.25">
      <c r="A4688" s="1" t="s">
        <v>4701</v>
      </c>
      <c r="B4688" s="5">
        <v>45853.25</v>
      </c>
      <c r="C4688" s="1" t="s">
        <v>8</v>
      </c>
      <c r="D4688" s="1" t="s">
        <v>9</v>
      </c>
      <c r="E4688" s="1">
        <v>13</v>
      </c>
      <c r="F4688" s="1">
        <v>330.18</v>
      </c>
      <c r="G4688" s="1">
        <v>28.12</v>
      </c>
      <c r="H4688">
        <f t="shared" si="73"/>
        <v>4292.34</v>
      </c>
    </row>
    <row r="4689" spans="1:8" x14ac:dyDescent="0.25">
      <c r="A4689" s="1" t="s">
        <v>4702</v>
      </c>
      <c r="B4689" s="5">
        <v>45853.291666666664</v>
      </c>
      <c r="C4689" s="1" t="s">
        <v>13</v>
      </c>
      <c r="D4689" s="1" t="s">
        <v>16</v>
      </c>
      <c r="E4689" s="1">
        <v>19</v>
      </c>
      <c r="F4689" s="1">
        <v>404.55</v>
      </c>
      <c r="G4689" s="1">
        <v>31.46</v>
      </c>
      <c r="H4689">
        <f t="shared" si="73"/>
        <v>7686.45</v>
      </c>
    </row>
    <row r="4690" spans="1:8" x14ac:dyDescent="0.25">
      <c r="A4690" s="1" t="s">
        <v>4703</v>
      </c>
      <c r="B4690" s="5">
        <v>45853.333333333336</v>
      </c>
      <c r="C4690" s="1" t="s">
        <v>8</v>
      </c>
      <c r="D4690" s="1" t="s">
        <v>19</v>
      </c>
      <c r="E4690" s="1">
        <v>5</v>
      </c>
      <c r="F4690" s="1">
        <v>346.02</v>
      </c>
      <c r="G4690" s="1">
        <v>21.71</v>
      </c>
      <c r="H4690">
        <f t="shared" si="73"/>
        <v>1730.1</v>
      </c>
    </row>
    <row r="4691" spans="1:8" x14ac:dyDescent="0.25">
      <c r="A4691" s="1" t="s">
        <v>4704</v>
      </c>
      <c r="B4691" s="5">
        <v>45853.375</v>
      </c>
      <c r="C4691" s="1" t="s">
        <v>23</v>
      </c>
      <c r="D4691" s="1" t="s">
        <v>9</v>
      </c>
      <c r="E4691" s="1">
        <v>13</v>
      </c>
      <c r="F4691" s="1">
        <v>36.46</v>
      </c>
      <c r="G4691" s="1">
        <v>35.14</v>
      </c>
      <c r="H4691">
        <f t="shared" si="73"/>
        <v>473.98</v>
      </c>
    </row>
    <row r="4692" spans="1:8" x14ac:dyDescent="0.25">
      <c r="A4692" s="1" t="s">
        <v>4705</v>
      </c>
      <c r="B4692" s="5">
        <v>45853.416666666664</v>
      </c>
      <c r="C4692" s="1" t="s">
        <v>8</v>
      </c>
      <c r="D4692" s="1" t="s">
        <v>16</v>
      </c>
      <c r="E4692" s="1">
        <v>1</v>
      </c>
      <c r="F4692" s="1">
        <v>176.97</v>
      </c>
      <c r="G4692" s="1">
        <v>24.43</v>
      </c>
      <c r="H4692">
        <f t="shared" si="73"/>
        <v>176.97</v>
      </c>
    </row>
    <row r="4693" spans="1:8" x14ac:dyDescent="0.25">
      <c r="A4693" s="1" t="s">
        <v>4706</v>
      </c>
      <c r="B4693" s="5">
        <v>45853.458333333336</v>
      </c>
      <c r="C4693" s="1" t="s">
        <v>13</v>
      </c>
      <c r="D4693" s="1" t="s">
        <v>9</v>
      </c>
      <c r="E4693" s="1">
        <v>16</v>
      </c>
      <c r="F4693" s="1">
        <v>134.13</v>
      </c>
      <c r="G4693" s="1">
        <v>39.26</v>
      </c>
      <c r="H4693">
        <f t="shared" si="73"/>
        <v>2146.08</v>
      </c>
    </row>
    <row r="4694" spans="1:8" x14ac:dyDescent="0.25">
      <c r="A4694" s="1" t="s">
        <v>4707</v>
      </c>
      <c r="B4694" s="5">
        <v>45853.5</v>
      </c>
      <c r="C4694" s="1" t="s">
        <v>13</v>
      </c>
      <c r="D4694" s="1" t="s">
        <v>19</v>
      </c>
      <c r="E4694" s="1">
        <v>2</v>
      </c>
      <c r="F4694" s="1">
        <v>183.27</v>
      </c>
      <c r="G4694" s="1">
        <v>41.96</v>
      </c>
      <c r="H4694">
        <f t="shared" si="73"/>
        <v>366.54</v>
      </c>
    </row>
    <row r="4695" spans="1:8" x14ac:dyDescent="0.25">
      <c r="A4695" s="1" t="s">
        <v>4708</v>
      </c>
      <c r="B4695" s="5">
        <v>45853.541666666664</v>
      </c>
      <c r="C4695" s="1" t="s">
        <v>23</v>
      </c>
      <c r="D4695" s="1" t="s">
        <v>19</v>
      </c>
      <c r="E4695" s="1">
        <v>7</v>
      </c>
      <c r="F4695" s="1">
        <v>85.05</v>
      </c>
      <c r="G4695" s="1">
        <v>35.229999999999997</v>
      </c>
      <c r="H4695">
        <f t="shared" si="73"/>
        <v>595.35</v>
      </c>
    </row>
    <row r="4696" spans="1:8" x14ac:dyDescent="0.25">
      <c r="A4696" s="1" t="s">
        <v>4709</v>
      </c>
      <c r="B4696" s="5">
        <v>45853.583333333336</v>
      </c>
      <c r="C4696" s="1" t="s">
        <v>23</v>
      </c>
      <c r="D4696" s="1" t="s">
        <v>19</v>
      </c>
      <c r="E4696" s="1">
        <v>6</v>
      </c>
      <c r="F4696" s="1">
        <v>57.95</v>
      </c>
      <c r="G4696" s="1">
        <v>27.11</v>
      </c>
      <c r="H4696">
        <f t="shared" si="73"/>
        <v>347.70000000000005</v>
      </c>
    </row>
    <row r="4697" spans="1:8" x14ac:dyDescent="0.25">
      <c r="A4697" s="1" t="s">
        <v>4710</v>
      </c>
      <c r="B4697" s="5">
        <v>45853.625</v>
      </c>
      <c r="C4697" s="1" t="s">
        <v>8</v>
      </c>
      <c r="D4697" s="1" t="s">
        <v>37</v>
      </c>
      <c r="E4697" s="1">
        <v>5</v>
      </c>
      <c r="F4697" s="1">
        <v>241.87</v>
      </c>
      <c r="G4697" s="1">
        <v>40.200000000000003</v>
      </c>
      <c r="H4697">
        <f t="shared" si="73"/>
        <v>1209.3499999999999</v>
      </c>
    </row>
    <row r="4698" spans="1:8" x14ac:dyDescent="0.25">
      <c r="A4698" s="1" t="s">
        <v>4711</v>
      </c>
      <c r="B4698" s="5">
        <v>45853.666666666664</v>
      </c>
      <c r="C4698" s="1" t="s">
        <v>8</v>
      </c>
      <c r="D4698" s="1" t="s">
        <v>9</v>
      </c>
      <c r="E4698" s="1">
        <v>4</v>
      </c>
      <c r="F4698" s="1">
        <v>328.51</v>
      </c>
      <c r="G4698" s="1">
        <v>27.24</v>
      </c>
      <c r="H4698">
        <f t="shared" si="73"/>
        <v>1314.04</v>
      </c>
    </row>
    <row r="4699" spans="1:8" x14ac:dyDescent="0.25">
      <c r="A4699" s="1" t="s">
        <v>4712</v>
      </c>
      <c r="B4699" s="5">
        <v>45853.708333333336</v>
      </c>
      <c r="C4699" s="1" t="s">
        <v>13</v>
      </c>
      <c r="D4699" s="1" t="s">
        <v>37</v>
      </c>
      <c r="E4699" s="1">
        <v>2</v>
      </c>
      <c r="F4699" s="1">
        <v>320.48</v>
      </c>
      <c r="G4699" s="1">
        <v>10.02</v>
      </c>
      <c r="H4699">
        <f t="shared" si="73"/>
        <v>640.96</v>
      </c>
    </row>
    <row r="4700" spans="1:8" x14ac:dyDescent="0.25">
      <c r="A4700" s="1" t="s">
        <v>4713</v>
      </c>
      <c r="B4700" s="5">
        <v>45853.75</v>
      </c>
      <c r="C4700" s="1" t="s">
        <v>23</v>
      </c>
      <c r="D4700" s="1" t="s">
        <v>19</v>
      </c>
      <c r="E4700" s="1">
        <v>10</v>
      </c>
      <c r="F4700" s="1">
        <v>211.44</v>
      </c>
      <c r="G4700" s="1">
        <v>10.24</v>
      </c>
      <c r="H4700">
        <f t="shared" si="73"/>
        <v>2114.4</v>
      </c>
    </row>
    <row r="4701" spans="1:8" x14ac:dyDescent="0.25">
      <c r="A4701" s="1" t="s">
        <v>4714</v>
      </c>
      <c r="B4701" s="5">
        <v>45853.791666666664</v>
      </c>
      <c r="C4701" s="1" t="s">
        <v>23</v>
      </c>
      <c r="D4701" s="1" t="s">
        <v>16</v>
      </c>
      <c r="E4701" s="1">
        <v>5</v>
      </c>
      <c r="F4701" s="1">
        <v>242.43</v>
      </c>
      <c r="G4701" s="1">
        <v>47.69</v>
      </c>
      <c r="H4701">
        <f t="shared" si="73"/>
        <v>1212.1500000000001</v>
      </c>
    </row>
    <row r="4702" spans="1:8" x14ac:dyDescent="0.25">
      <c r="A4702" s="1" t="s">
        <v>4715</v>
      </c>
      <c r="B4702" s="5">
        <v>45853.833333333336</v>
      </c>
      <c r="C4702" s="1" t="s">
        <v>23</v>
      </c>
      <c r="D4702" s="1" t="s">
        <v>9</v>
      </c>
      <c r="E4702" s="1">
        <v>18</v>
      </c>
      <c r="F4702" s="1">
        <v>239.84</v>
      </c>
      <c r="G4702" s="1">
        <v>14.61</v>
      </c>
      <c r="H4702">
        <f t="shared" si="73"/>
        <v>4317.12</v>
      </c>
    </row>
    <row r="4703" spans="1:8" x14ac:dyDescent="0.25">
      <c r="A4703" s="1" t="s">
        <v>4716</v>
      </c>
      <c r="B4703" s="5">
        <v>45853.875</v>
      </c>
      <c r="C4703" s="1" t="s">
        <v>8</v>
      </c>
      <c r="D4703" s="1" t="s">
        <v>37</v>
      </c>
      <c r="E4703" s="1">
        <v>10</v>
      </c>
      <c r="F4703" s="1">
        <v>315.99</v>
      </c>
      <c r="G4703" s="1">
        <v>41.72</v>
      </c>
      <c r="H4703">
        <f t="shared" si="73"/>
        <v>3159.9</v>
      </c>
    </row>
    <row r="4704" spans="1:8" x14ac:dyDescent="0.25">
      <c r="A4704" s="1" t="s">
        <v>4717</v>
      </c>
      <c r="B4704" s="5">
        <v>45853.916666666664</v>
      </c>
      <c r="C4704" s="1" t="s">
        <v>23</v>
      </c>
      <c r="D4704" s="1" t="s">
        <v>9</v>
      </c>
      <c r="E4704" s="1">
        <v>15</v>
      </c>
      <c r="F4704" s="1">
        <v>36.32</v>
      </c>
      <c r="G4704" s="1">
        <v>16.100000000000001</v>
      </c>
      <c r="H4704">
        <f t="shared" si="73"/>
        <v>544.79999999999995</v>
      </c>
    </row>
    <row r="4705" spans="1:8" x14ac:dyDescent="0.25">
      <c r="A4705" s="1" t="s">
        <v>4718</v>
      </c>
      <c r="B4705" s="5">
        <v>45853.958333333336</v>
      </c>
      <c r="C4705" s="1" t="s">
        <v>13</v>
      </c>
      <c r="D4705" s="1" t="s">
        <v>16</v>
      </c>
      <c r="E4705" s="1">
        <v>9</v>
      </c>
      <c r="F4705" s="1">
        <v>323.95</v>
      </c>
      <c r="G4705" s="1">
        <v>24.39</v>
      </c>
      <c r="H4705">
        <f t="shared" si="73"/>
        <v>2915.5499999999997</v>
      </c>
    </row>
    <row r="4706" spans="1:8" x14ac:dyDescent="0.25">
      <c r="A4706" s="1" t="s">
        <v>4719</v>
      </c>
      <c r="B4706" s="5">
        <v>45854</v>
      </c>
      <c r="C4706" s="1" t="s">
        <v>13</v>
      </c>
      <c r="D4706" s="1" t="s">
        <v>37</v>
      </c>
      <c r="E4706" s="1">
        <v>11</v>
      </c>
      <c r="F4706" s="1">
        <v>268.47000000000003</v>
      </c>
      <c r="G4706" s="1">
        <v>34.47</v>
      </c>
      <c r="H4706">
        <f t="shared" si="73"/>
        <v>2953.17</v>
      </c>
    </row>
    <row r="4707" spans="1:8" x14ac:dyDescent="0.25">
      <c r="A4707" s="1" t="s">
        <v>4720</v>
      </c>
      <c r="B4707" s="5">
        <v>45854.041666666664</v>
      </c>
      <c r="C4707" s="1" t="s">
        <v>8</v>
      </c>
      <c r="D4707" s="1" t="s">
        <v>19</v>
      </c>
      <c r="E4707" s="1">
        <v>17</v>
      </c>
      <c r="F4707" s="1">
        <v>101.58</v>
      </c>
      <c r="G4707" s="1">
        <v>12.15</v>
      </c>
      <c r="H4707">
        <f t="shared" si="73"/>
        <v>1726.86</v>
      </c>
    </row>
    <row r="4708" spans="1:8" x14ac:dyDescent="0.25">
      <c r="A4708" s="1" t="s">
        <v>4721</v>
      </c>
      <c r="B4708" s="5">
        <v>45854.083333333336</v>
      </c>
      <c r="C4708" s="1" t="s">
        <v>11</v>
      </c>
      <c r="D4708" s="1" t="s">
        <v>37</v>
      </c>
      <c r="E4708" s="1">
        <v>9</v>
      </c>
      <c r="F4708" s="1">
        <v>36.82</v>
      </c>
      <c r="G4708" s="1">
        <v>38.18</v>
      </c>
      <c r="H4708">
        <f t="shared" si="73"/>
        <v>331.38</v>
      </c>
    </row>
    <row r="4709" spans="1:8" x14ac:dyDescent="0.25">
      <c r="A4709" s="1" t="s">
        <v>4722</v>
      </c>
      <c r="B4709" s="5">
        <v>45854.125</v>
      </c>
      <c r="C4709" s="1" t="s">
        <v>8</v>
      </c>
      <c r="D4709" s="1" t="s">
        <v>9</v>
      </c>
      <c r="E4709" s="1">
        <v>16</v>
      </c>
      <c r="F4709" s="1">
        <v>62.66</v>
      </c>
      <c r="G4709" s="1">
        <v>36.049999999999997</v>
      </c>
      <c r="H4709">
        <f t="shared" si="73"/>
        <v>1002.56</v>
      </c>
    </row>
    <row r="4710" spans="1:8" x14ac:dyDescent="0.25">
      <c r="A4710" s="1" t="s">
        <v>4723</v>
      </c>
      <c r="B4710" s="5">
        <v>45854.166666666664</v>
      </c>
      <c r="C4710" s="1" t="s">
        <v>11</v>
      </c>
      <c r="D4710" s="1" t="s">
        <v>9</v>
      </c>
      <c r="E4710" s="1">
        <v>6</v>
      </c>
      <c r="F4710" s="1">
        <v>243.48</v>
      </c>
      <c r="G4710" s="1">
        <v>29.44</v>
      </c>
      <c r="H4710">
        <f t="shared" si="73"/>
        <v>1460.8799999999999</v>
      </c>
    </row>
    <row r="4711" spans="1:8" x14ac:dyDescent="0.25">
      <c r="A4711" s="1" t="s">
        <v>4724</v>
      </c>
      <c r="B4711" s="5">
        <v>45854.208333333336</v>
      </c>
      <c r="C4711" s="1" t="s">
        <v>23</v>
      </c>
      <c r="D4711" s="1" t="s">
        <v>9</v>
      </c>
      <c r="E4711" s="1">
        <v>11</v>
      </c>
      <c r="F4711" s="1">
        <v>345.03</v>
      </c>
      <c r="G4711" s="1">
        <v>30.47</v>
      </c>
      <c r="H4711">
        <f t="shared" si="73"/>
        <v>3795.33</v>
      </c>
    </row>
    <row r="4712" spans="1:8" x14ac:dyDescent="0.25">
      <c r="A4712" s="1" t="s">
        <v>4725</v>
      </c>
      <c r="B4712" s="5">
        <v>45854.25</v>
      </c>
      <c r="C4712" s="1" t="s">
        <v>8</v>
      </c>
      <c r="D4712" s="1" t="s">
        <v>9</v>
      </c>
      <c r="E4712" s="1">
        <v>17</v>
      </c>
      <c r="F4712" s="1">
        <v>160.91</v>
      </c>
      <c r="G4712" s="1">
        <v>9.76</v>
      </c>
      <c r="H4712">
        <f t="shared" si="73"/>
        <v>2735.47</v>
      </c>
    </row>
    <row r="4713" spans="1:8" x14ac:dyDescent="0.25">
      <c r="A4713" s="1" t="s">
        <v>4726</v>
      </c>
      <c r="B4713" s="5">
        <v>45854.291666666664</v>
      </c>
      <c r="C4713" s="1" t="s">
        <v>13</v>
      </c>
      <c r="D4713" s="1" t="s">
        <v>19</v>
      </c>
      <c r="E4713" s="1">
        <v>4</v>
      </c>
      <c r="F4713" s="1">
        <v>180.23</v>
      </c>
      <c r="G4713" s="1">
        <v>24.62</v>
      </c>
      <c r="H4713">
        <f t="shared" si="73"/>
        <v>720.92</v>
      </c>
    </row>
    <row r="4714" spans="1:8" x14ac:dyDescent="0.25">
      <c r="A4714" s="1" t="s">
        <v>4727</v>
      </c>
      <c r="B4714" s="5">
        <v>45854.333333333336</v>
      </c>
      <c r="C4714" s="1" t="s">
        <v>23</v>
      </c>
      <c r="D4714" s="1" t="s">
        <v>37</v>
      </c>
      <c r="E4714" s="1">
        <v>15</v>
      </c>
      <c r="F4714" s="1">
        <v>421.39</v>
      </c>
      <c r="G4714" s="1">
        <v>8.9</v>
      </c>
      <c r="H4714">
        <f t="shared" si="73"/>
        <v>6320.8499999999995</v>
      </c>
    </row>
    <row r="4715" spans="1:8" x14ac:dyDescent="0.25">
      <c r="A4715" s="1" t="s">
        <v>4728</v>
      </c>
      <c r="B4715" s="5">
        <v>45854.375</v>
      </c>
      <c r="C4715" s="1" t="s">
        <v>13</v>
      </c>
      <c r="D4715" s="1" t="s">
        <v>19</v>
      </c>
      <c r="E4715" s="1">
        <v>1</v>
      </c>
      <c r="F4715" s="1">
        <v>108.05</v>
      </c>
      <c r="G4715" s="1">
        <v>18.850000000000001</v>
      </c>
      <c r="H4715">
        <f t="shared" si="73"/>
        <v>108.05</v>
      </c>
    </row>
    <row r="4716" spans="1:8" x14ac:dyDescent="0.25">
      <c r="A4716" s="1" t="s">
        <v>4729</v>
      </c>
      <c r="B4716" s="5">
        <v>45854.416666666664</v>
      </c>
      <c r="C4716" s="1" t="s">
        <v>23</v>
      </c>
      <c r="D4716" s="1" t="s">
        <v>19</v>
      </c>
      <c r="E4716" s="1">
        <v>1</v>
      </c>
      <c r="F4716" s="1">
        <v>60.58</v>
      </c>
      <c r="G4716" s="1">
        <v>45.51</v>
      </c>
      <c r="H4716">
        <f t="shared" si="73"/>
        <v>60.58</v>
      </c>
    </row>
    <row r="4717" spans="1:8" x14ac:dyDescent="0.25">
      <c r="A4717" s="1" t="s">
        <v>4730</v>
      </c>
      <c r="B4717" s="5">
        <v>45854.458333333336</v>
      </c>
      <c r="C4717" s="1" t="s">
        <v>8</v>
      </c>
      <c r="D4717" s="1" t="s">
        <v>19</v>
      </c>
      <c r="E4717" s="1">
        <v>9</v>
      </c>
      <c r="F4717" s="1">
        <v>164.71</v>
      </c>
      <c r="G4717" s="1">
        <v>30.85</v>
      </c>
      <c r="H4717">
        <f t="shared" si="73"/>
        <v>1482.39</v>
      </c>
    </row>
    <row r="4718" spans="1:8" x14ac:dyDescent="0.25">
      <c r="A4718" s="1" t="s">
        <v>4731</v>
      </c>
      <c r="B4718" s="5">
        <v>45854.5</v>
      </c>
      <c r="C4718" s="1" t="s">
        <v>11</v>
      </c>
      <c r="D4718" s="1" t="s">
        <v>9</v>
      </c>
      <c r="E4718" s="1">
        <v>12</v>
      </c>
      <c r="F4718" s="1">
        <v>339.6</v>
      </c>
      <c r="G4718" s="1">
        <v>38.42</v>
      </c>
      <c r="H4718">
        <f t="shared" si="73"/>
        <v>4075.2000000000003</v>
      </c>
    </row>
    <row r="4719" spans="1:8" x14ac:dyDescent="0.25">
      <c r="A4719" s="1" t="s">
        <v>4732</v>
      </c>
      <c r="B4719" s="5">
        <v>45854.541666666664</v>
      </c>
      <c r="C4719" s="1" t="s">
        <v>23</v>
      </c>
      <c r="D4719" s="1" t="s">
        <v>9</v>
      </c>
      <c r="E4719" s="1">
        <v>4</v>
      </c>
      <c r="F4719" s="1">
        <v>287.52999999999997</v>
      </c>
      <c r="G4719" s="1">
        <v>30.82</v>
      </c>
      <c r="H4719">
        <f t="shared" si="73"/>
        <v>1150.1199999999999</v>
      </c>
    </row>
    <row r="4720" spans="1:8" x14ac:dyDescent="0.25">
      <c r="A4720" s="1" t="s">
        <v>4733</v>
      </c>
      <c r="B4720" s="5">
        <v>45854.583333333336</v>
      </c>
      <c r="C4720" s="1" t="s">
        <v>11</v>
      </c>
      <c r="D4720" s="1" t="s">
        <v>9</v>
      </c>
      <c r="E4720" s="1">
        <v>13</v>
      </c>
      <c r="F4720" s="1">
        <v>196.16</v>
      </c>
      <c r="G4720" s="1">
        <v>13.74</v>
      </c>
      <c r="H4720">
        <f t="shared" si="73"/>
        <v>2550.08</v>
      </c>
    </row>
    <row r="4721" spans="1:8" x14ac:dyDescent="0.25">
      <c r="A4721" s="1" t="s">
        <v>4734</v>
      </c>
      <c r="B4721" s="5">
        <v>45854.625</v>
      </c>
      <c r="C4721" s="1" t="s">
        <v>23</v>
      </c>
      <c r="D4721" s="1" t="s">
        <v>37</v>
      </c>
      <c r="E4721" s="1">
        <v>7</v>
      </c>
      <c r="F4721" s="1">
        <v>434.68</v>
      </c>
      <c r="G4721" s="1">
        <v>31.77</v>
      </c>
      <c r="H4721">
        <f t="shared" si="73"/>
        <v>3042.76</v>
      </c>
    </row>
    <row r="4722" spans="1:8" x14ac:dyDescent="0.25">
      <c r="A4722" s="1" t="s">
        <v>4735</v>
      </c>
      <c r="B4722" s="5">
        <v>45854.666666666664</v>
      </c>
      <c r="C4722" s="1" t="s">
        <v>13</v>
      </c>
      <c r="D4722" s="1" t="s">
        <v>16</v>
      </c>
      <c r="E4722" s="1">
        <v>8</v>
      </c>
      <c r="F4722" s="1">
        <v>334.86</v>
      </c>
      <c r="G4722" s="1">
        <v>38.99</v>
      </c>
      <c r="H4722">
        <f t="shared" si="73"/>
        <v>2678.88</v>
      </c>
    </row>
    <row r="4723" spans="1:8" x14ac:dyDescent="0.25">
      <c r="A4723" s="1" t="s">
        <v>4736</v>
      </c>
      <c r="B4723" s="5">
        <v>45854.708333333336</v>
      </c>
      <c r="C4723" s="1" t="s">
        <v>13</v>
      </c>
      <c r="D4723" s="1" t="s">
        <v>9</v>
      </c>
      <c r="E4723" s="1">
        <v>13</v>
      </c>
      <c r="F4723" s="1">
        <v>42.38</v>
      </c>
      <c r="G4723" s="1">
        <v>11.23</v>
      </c>
      <c r="H4723">
        <f t="shared" si="73"/>
        <v>550.94000000000005</v>
      </c>
    </row>
    <row r="4724" spans="1:8" x14ac:dyDescent="0.25">
      <c r="A4724" s="1" t="s">
        <v>4737</v>
      </c>
      <c r="B4724" s="5">
        <v>45854.75</v>
      </c>
      <c r="C4724" s="1" t="s">
        <v>23</v>
      </c>
      <c r="D4724" s="1" t="s">
        <v>37</v>
      </c>
      <c r="E4724" s="1">
        <v>11</v>
      </c>
      <c r="F4724" s="1">
        <v>339.04</v>
      </c>
      <c r="G4724" s="1">
        <v>41.76</v>
      </c>
      <c r="H4724">
        <f t="shared" si="73"/>
        <v>3729.44</v>
      </c>
    </row>
    <row r="4725" spans="1:8" x14ac:dyDescent="0.25">
      <c r="A4725" s="1" t="s">
        <v>4738</v>
      </c>
      <c r="B4725" s="5">
        <v>45854.791666666664</v>
      </c>
      <c r="C4725" s="1" t="s">
        <v>11</v>
      </c>
      <c r="D4725" s="1" t="s">
        <v>9</v>
      </c>
      <c r="E4725" s="1">
        <v>9</v>
      </c>
      <c r="F4725" s="1">
        <v>25.94</v>
      </c>
      <c r="G4725" s="1">
        <v>29.99</v>
      </c>
      <c r="H4725">
        <f t="shared" si="73"/>
        <v>233.46</v>
      </c>
    </row>
    <row r="4726" spans="1:8" x14ac:dyDescent="0.25">
      <c r="A4726" s="1" t="s">
        <v>4739</v>
      </c>
      <c r="B4726" s="5">
        <v>45854.833333333336</v>
      </c>
      <c r="C4726" s="1" t="s">
        <v>8</v>
      </c>
      <c r="D4726" s="1" t="s">
        <v>9</v>
      </c>
      <c r="E4726" s="1">
        <v>16</v>
      </c>
      <c r="F4726" s="1">
        <v>298.07</v>
      </c>
      <c r="G4726" s="1">
        <v>5.19</v>
      </c>
      <c r="H4726">
        <f t="shared" si="73"/>
        <v>4769.12</v>
      </c>
    </row>
    <row r="4727" spans="1:8" x14ac:dyDescent="0.25">
      <c r="A4727" s="1" t="s">
        <v>4740</v>
      </c>
      <c r="B4727" s="5">
        <v>45854.875</v>
      </c>
      <c r="C4727" s="1" t="s">
        <v>8</v>
      </c>
      <c r="D4727" s="1" t="s">
        <v>19</v>
      </c>
      <c r="E4727" s="1">
        <v>10</v>
      </c>
      <c r="F4727" s="1">
        <v>106.95</v>
      </c>
      <c r="G4727" s="1">
        <v>28.39</v>
      </c>
      <c r="H4727">
        <f t="shared" si="73"/>
        <v>1069.5</v>
      </c>
    </row>
    <row r="4728" spans="1:8" x14ac:dyDescent="0.25">
      <c r="A4728" s="1" t="s">
        <v>4741</v>
      </c>
      <c r="B4728" s="5">
        <v>45854.916666666664</v>
      </c>
      <c r="C4728" s="1" t="s">
        <v>13</v>
      </c>
      <c r="D4728" s="1" t="s">
        <v>19</v>
      </c>
      <c r="E4728" s="1">
        <v>11</v>
      </c>
      <c r="F4728" s="1">
        <v>318.10000000000002</v>
      </c>
      <c r="G4728" s="1">
        <v>22.81</v>
      </c>
      <c r="H4728">
        <f t="shared" si="73"/>
        <v>3499.1000000000004</v>
      </c>
    </row>
    <row r="4729" spans="1:8" x14ac:dyDescent="0.25">
      <c r="A4729" s="1" t="s">
        <v>4742</v>
      </c>
      <c r="B4729" s="5">
        <v>45854.958333333336</v>
      </c>
      <c r="C4729" s="1" t="s">
        <v>8</v>
      </c>
      <c r="D4729" s="1" t="s">
        <v>19</v>
      </c>
      <c r="E4729" s="1">
        <v>12</v>
      </c>
      <c r="F4729" s="1">
        <v>150.1</v>
      </c>
      <c r="G4729" s="1">
        <v>18.34</v>
      </c>
      <c r="H4729">
        <f t="shared" si="73"/>
        <v>1801.1999999999998</v>
      </c>
    </row>
    <row r="4730" spans="1:8" x14ac:dyDescent="0.25">
      <c r="A4730" s="1" t="s">
        <v>4743</v>
      </c>
      <c r="B4730" s="5">
        <v>45855</v>
      </c>
      <c r="C4730" s="1" t="s">
        <v>13</v>
      </c>
      <c r="D4730" s="1" t="s">
        <v>37</v>
      </c>
      <c r="E4730" s="1">
        <v>14</v>
      </c>
      <c r="F4730" s="1">
        <v>394.82</v>
      </c>
      <c r="G4730" s="1">
        <v>39.71</v>
      </c>
      <c r="H4730">
        <f t="shared" si="73"/>
        <v>5527.48</v>
      </c>
    </row>
    <row r="4731" spans="1:8" x14ac:dyDescent="0.25">
      <c r="A4731" s="1" t="s">
        <v>4744</v>
      </c>
      <c r="B4731" s="5">
        <v>45855.041666666664</v>
      </c>
      <c r="C4731" s="1" t="s">
        <v>8</v>
      </c>
      <c r="D4731" s="1" t="s">
        <v>16</v>
      </c>
      <c r="E4731" s="1">
        <v>19</v>
      </c>
      <c r="F4731" s="1">
        <v>161.88999999999999</v>
      </c>
      <c r="G4731" s="1">
        <v>45.48</v>
      </c>
      <c r="H4731">
        <f t="shared" si="73"/>
        <v>3075.91</v>
      </c>
    </row>
    <row r="4732" spans="1:8" x14ac:dyDescent="0.25">
      <c r="A4732" s="1" t="s">
        <v>4745</v>
      </c>
      <c r="B4732" s="5">
        <v>45855.083333333336</v>
      </c>
      <c r="C4732" s="1" t="s">
        <v>23</v>
      </c>
      <c r="D4732" s="1" t="s">
        <v>16</v>
      </c>
      <c r="E4732" s="1">
        <v>12</v>
      </c>
      <c r="F4732" s="1">
        <v>284.76</v>
      </c>
      <c r="G4732" s="1">
        <v>39.32</v>
      </c>
      <c r="H4732">
        <f t="shared" si="73"/>
        <v>3417.12</v>
      </c>
    </row>
    <row r="4733" spans="1:8" x14ac:dyDescent="0.25">
      <c r="A4733" s="1" t="s">
        <v>4746</v>
      </c>
      <c r="B4733" s="5">
        <v>45855.125</v>
      </c>
      <c r="C4733" s="1" t="s">
        <v>13</v>
      </c>
      <c r="D4733" s="1" t="s">
        <v>37</v>
      </c>
      <c r="E4733" s="1">
        <v>18</v>
      </c>
      <c r="F4733" s="1">
        <v>139.74</v>
      </c>
      <c r="G4733" s="1">
        <v>43.1</v>
      </c>
      <c r="H4733">
        <f t="shared" si="73"/>
        <v>2515.3200000000002</v>
      </c>
    </row>
    <row r="4734" spans="1:8" x14ac:dyDescent="0.25">
      <c r="A4734" s="1" t="s">
        <v>4747</v>
      </c>
      <c r="B4734" s="5">
        <v>45855.166666666664</v>
      </c>
      <c r="C4734" s="1" t="s">
        <v>13</v>
      </c>
      <c r="D4734" s="1" t="s">
        <v>9</v>
      </c>
      <c r="E4734" s="1">
        <v>17</v>
      </c>
      <c r="F4734" s="1">
        <v>414.03</v>
      </c>
      <c r="G4734" s="1">
        <v>45.9</v>
      </c>
      <c r="H4734">
        <f t="shared" si="73"/>
        <v>7038.5099999999993</v>
      </c>
    </row>
    <row r="4735" spans="1:8" x14ac:dyDescent="0.25">
      <c r="A4735" s="1" t="s">
        <v>4748</v>
      </c>
      <c r="B4735" s="5">
        <v>45855.208333333336</v>
      </c>
      <c r="C4735" s="1" t="s">
        <v>23</v>
      </c>
      <c r="D4735" s="1" t="s">
        <v>37</v>
      </c>
      <c r="E4735" s="1">
        <v>3</v>
      </c>
      <c r="F4735" s="1">
        <v>354.84</v>
      </c>
      <c r="G4735" s="1">
        <v>46.07</v>
      </c>
      <c r="H4735">
        <f t="shared" si="73"/>
        <v>1064.52</v>
      </c>
    </row>
    <row r="4736" spans="1:8" x14ac:dyDescent="0.25">
      <c r="A4736" s="1" t="s">
        <v>4749</v>
      </c>
      <c r="B4736" s="5">
        <v>45855.25</v>
      </c>
      <c r="C4736" s="1" t="s">
        <v>13</v>
      </c>
      <c r="D4736" s="1" t="s">
        <v>9</v>
      </c>
      <c r="E4736" s="1">
        <v>1</v>
      </c>
      <c r="F4736" s="1">
        <v>121.22</v>
      </c>
      <c r="G4736" s="1">
        <v>10.16</v>
      </c>
      <c r="H4736">
        <f t="shared" si="73"/>
        <v>121.22</v>
      </c>
    </row>
    <row r="4737" spans="1:8" x14ac:dyDescent="0.25">
      <c r="A4737" s="1" t="s">
        <v>4750</v>
      </c>
      <c r="B4737" s="5">
        <v>45855.291666666664</v>
      </c>
      <c r="C4737" s="1" t="s">
        <v>8</v>
      </c>
      <c r="D4737" s="1" t="s">
        <v>37</v>
      </c>
      <c r="E4737" s="1">
        <v>19</v>
      </c>
      <c r="F4737" s="1">
        <v>427.75</v>
      </c>
      <c r="G4737" s="1">
        <v>25.54</v>
      </c>
      <c r="H4737">
        <f t="shared" si="73"/>
        <v>8127.25</v>
      </c>
    </row>
    <row r="4738" spans="1:8" x14ac:dyDescent="0.25">
      <c r="A4738" s="1" t="s">
        <v>4751</v>
      </c>
      <c r="B4738" s="5">
        <v>45855.333333333336</v>
      </c>
      <c r="C4738" s="1" t="s">
        <v>8</v>
      </c>
      <c r="D4738" s="1" t="s">
        <v>37</v>
      </c>
      <c r="E4738" s="1">
        <v>4</v>
      </c>
      <c r="F4738" s="1">
        <v>170.68</v>
      </c>
      <c r="G4738" s="1">
        <v>5.01</v>
      </c>
      <c r="H4738">
        <f t="shared" ref="H4738:H4801" si="74">E4738*F4738</f>
        <v>682.72</v>
      </c>
    </row>
    <row r="4739" spans="1:8" x14ac:dyDescent="0.25">
      <c r="A4739" s="1" t="s">
        <v>4752</v>
      </c>
      <c r="B4739" s="5">
        <v>45855.375</v>
      </c>
      <c r="C4739" s="1" t="s">
        <v>13</v>
      </c>
      <c r="D4739" s="1" t="s">
        <v>37</v>
      </c>
      <c r="E4739" s="1">
        <v>16</v>
      </c>
      <c r="F4739" s="1">
        <v>298.74</v>
      </c>
      <c r="G4739" s="1">
        <v>27.79</v>
      </c>
      <c r="H4739">
        <f t="shared" si="74"/>
        <v>4779.84</v>
      </c>
    </row>
    <row r="4740" spans="1:8" x14ac:dyDescent="0.25">
      <c r="A4740" s="1" t="s">
        <v>4753</v>
      </c>
      <c r="B4740" s="5">
        <v>45855.416666666664</v>
      </c>
      <c r="C4740" s="1" t="s">
        <v>8</v>
      </c>
      <c r="D4740" s="1" t="s">
        <v>16</v>
      </c>
      <c r="E4740" s="1">
        <v>12</v>
      </c>
      <c r="F4740" s="1">
        <v>338.27</v>
      </c>
      <c r="G4740" s="1">
        <v>46.59</v>
      </c>
      <c r="H4740">
        <f t="shared" si="74"/>
        <v>4059.24</v>
      </c>
    </row>
    <row r="4741" spans="1:8" x14ac:dyDescent="0.25">
      <c r="A4741" s="1" t="s">
        <v>4754</v>
      </c>
      <c r="B4741" s="5">
        <v>45855.458333333336</v>
      </c>
      <c r="C4741" s="1" t="s">
        <v>11</v>
      </c>
      <c r="D4741" s="1" t="s">
        <v>19</v>
      </c>
      <c r="E4741" s="1">
        <v>13</v>
      </c>
      <c r="F4741" s="1">
        <v>25.45</v>
      </c>
      <c r="G4741" s="1">
        <v>13.96</v>
      </c>
      <c r="H4741">
        <f t="shared" si="74"/>
        <v>330.84999999999997</v>
      </c>
    </row>
    <row r="4742" spans="1:8" x14ac:dyDescent="0.25">
      <c r="A4742" s="1" t="s">
        <v>4755</v>
      </c>
      <c r="B4742" s="5">
        <v>45855.5</v>
      </c>
      <c r="C4742" s="1" t="s">
        <v>13</v>
      </c>
      <c r="D4742" s="1" t="s">
        <v>37</v>
      </c>
      <c r="E4742" s="1">
        <v>17</v>
      </c>
      <c r="F4742" s="1">
        <v>432.17</v>
      </c>
      <c r="G4742" s="1">
        <v>33.79</v>
      </c>
      <c r="H4742">
        <f t="shared" si="74"/>
        <v>7346.89</v>
      </c>
    </row>
    <row r="4743" spans="1:8" x14ac:dyDescent="0.25">
      <c r="A4743" s="1" t="s">
        <v>4756</v>
      </c>
      <c r="B4743" s="5">
        <v>45855.541666666664</v>
      </c>
      <c r="C4743" s="1" t="s">
        <v>23</v>
      </c>
      <c r="D4743" s="1" t="s">
        <v>16</v>
      </c>
      <c r="E4743" s="1">
        <v>8</v>
      </c>
      <c r="F4743" s="1">
        <v>165.16</v>
      </c>
      <c r="G4743" s="1">
        <v>34</v>
      </c>
      <c r="H4743">
        <f t="shared" si="74"/>
        <v>1321.28</v>
      </c>
    </row>
    <row r="4744" spans="1:8" x14ac:dyDescent="0.25">
      <c r="A4744" s="1" t="s">
        <v>4757</v>
      </c>
      <c r="B4744" s="5">
        <v>45855.583333333336</v>
      </c>
      <c r="C4744" s="1" t="s">
        <v>11</v>
      </c>
      <c r="D4744" s="1" t="s">
        <v>19</v>
      </c>
      <c r="E4744" s="1">
        <v>13</v>
      </c>
      <c r="F4744" s="1">
        <v>97.96</v>
      </c>
      <c r="G4744" s="1">
        <v>12.22</v>
      </c>
      <c r="H4744">
        <f t="shared" si="74"/>
        <v>1273.48</v>
      </c>
    </row>
    <row r="4745" spans="1:8" x14ac:dyDescent="0.25">
      <c r="A4745" s="1" t="s">
        <v>4758</v>
      </c>
      <c r="B4745" s="5">
        <v>45855.625</v>
      </c>
      <c r="C4745" s="1" t="s">
        <v>13</v>
      </c>
      <c r="D4745" s="1" t="s">
        <v>19</v>
      </c>
      <c r="E4745" s="1">
        <v>5</v>
      </c>
      <c r="F4745" s="1">
        <v>385.13</v>
      </c>
      <c r="G4745" s="1">
        <v>15.73</v>
      </c>
      <c r="H4745">
        <f t="shared" si="74"/>
        <v>1925.65</v>
      </c>
    </row>
    <row r="4746" spans="1:8" x14ac:dyDescent="0.25">
      <c r="A4746" s="1" t="s">
        <v>4759</v>
      </c>
      <c r="B4746" s="5">
        <v>45855.666666666664</v>
      </c>
      <c r="C4746" s="1" t="s">
        <v>23</v>
      </c>
      <c r="D4746" s="1" t="s">
        <v>37</v>
      </c>
      <c r="E4746" s="1">
        <v>18</v>
      </c>
      <c r="F4746" s="1">
        <v>320.91000000000003</v>
      </c>
      <c r="G4746" s="1">
        <v>25.79</v>
      </c>
      <c r="H4746">
        <f t="shared" si="74"/>
        <v>5776.38</v>
      </c>
    </row>
    <row r="4747" spans="1:8" x14ac:dyDescent="0.25">
      <c r="A4747" s="1" t="s">
        <v>4760</v>
      </c>
      <c r="B4747" s="5">
        <v>45855.708333333336</v>
      </c>
      <c r="C4747" s="1" t="s">
        <v>8</v>
      </c>
      <c r="D4747" s="1" t="s">
        <v>9</v>
      </c>
      <c r="E4747" s="1">
        <v>15</v>
      </c>
      <c r="F4747" s="1">
        <v>53.19</v>
      </c>
      <c r="G4747" s="1">
        <v>13.47</v>
      </c>
      <c r="H4747">
        <f t="shared" si="74"/>
        <v>797.84999999999991</v>
      </c>
    </row>
    <row r="4748" spans="1:8" x14ac:dyDescent="0.25">
      <c r="A4748" s="1" t="s">
        <v>4761</v>
      </c>
      <c r="B4748" s="5">
        <v>45855.75</v>
      </c>
      <c r="C4748" s="1" t="s">
        <v>23</v>
      </c>
      <c r="D4748" s="1" t="s">
        <v>9</v>
      </c>
      <c r="E4748" s="1">
        <v>12</v>
      </c>
      <c r="F4748" s="1">
        <v>66.36</v>
      </c>
      <c r="G4748" s="1">
        <v>31.32</v>
      </c>
      <c r="H4748">
        <f t="shared" si="74"/>
        <v>796.31999999999994</v>
      </c>
    </row>
    <row r="4749" spans="1:8" x14ac:dyDescent="0.25">
      <c r="A4749" s="1" t="s">
        <v>4762</v>
      </c>
      <c r="B4749" s="5">
        <v>45855.791666666664</v>
      </c>
      <c r="C4749" s="1" t="s">
        <v>11</v>
      </c>
      <c r="D4749" s="1" t="s">
        <v>9</v>
      </c>
      <c r="E4749" s="1">
        <v>17</v>
      </c>
      <c r="F4749" s="1">
        <v>326.25</v>
      </c>
      <c r="G4749" s="1">
        <v>26.8</v>
      </c>
      <c r="H4749">
        <f t="shared" si="74"/>
        <v>5546.25</v>
      </c>
    </row>
    <row r="4750" spans="1:8" x14ac:dyDescent="0.25">
      <c r="A4750" s="1" t="s">
        <v>4763</v>
      </c>
      <c r="B4750" s="5">
        <v>45855.833333333336</v>
      </c>
      <c r="C4750" s="1" t="s">
        <v>8</v>
      </c>
      <c r="D4750" s="1" t="s">
        <v>37</v>
      </c>
      <c r="E4750" s="1">
        <v>15</v>
      </c>
      <c r="F4750" s="1">
        <v>47.99</v>
      </c>
      <c r="G4750" s="1">
        <v>28.36</v>
      </c>
      <c r="H4750">
        <f t="shared" si="74"/>
        <v>719.85</v>
      </c>
    </row>
    <row r="4751" spans="1:8" x14ac:dyDescent="0.25">
      <c r="A4751" s="1" t="s">
        <v>4764</v>
      </c>
      <c r="B4751" s="5">
        <v>45855.875</v>
      </c>
      <c r="C4751" s="1" t="s">
        <v>13</v>
      </c>
      <c r="D4751" s="1" t="s">
        <v>9</v>
      </c>
      <c r="E4751" s="1">
        <v>2</v>
      </c>
      <c r="F4751" s="1">
        <v>414.01</v>
      </c>
      <c r="G4751" s="1">
        <v>11.05</v>
      </c>
      <c r="H4751">
        <f t="shared" si="74"/>
        <v>828.02</v>
      </c>
    </row>
    <row r="4752" spans="1:8" x14ac:dyDescent="0.25">
      <c r="A4752" s="1" t="s">
        <v>4765</v>
      </c>
      <c r="B4752" s="5">
        <v>45855.916666666664</v>
      </c>
      <c r="C4752" s="1" t="s">
        <v>8</v>
      </c>
      <c r="D4752" s="1" t="s">
        <v>16</v>
      </c>
      <c r="E4752" s="1">
        <v>6</v>
      </c>
      <c r="F4752" s="1">
        <v>337.7</v>
      </c>
      <c r="G4752" s="1">
        <v>28.28</v>
      </c>
      <c r="H4752">
        <f t="shared" si="74"/>
        <v>2026.1999999999998</v>
      </c>
    </row>
    <row r="4753" spans="1:8" x14ac:dyDescent="0.25">
      <c r="A4753" s="1" t="s">
        <v>4766</v>
      </c>
      <c r="B4753" s="5">
        <v>45855.958333333336</v>
      </c>
      <c r="C4753" s="1" t="s">
        <v>13</v>
      </c>
      <c r="D4753" s="1" t="s">
        <v>16</v>
      </c>
      <c r="E4753" s="1">
        <v>17</v>
      </c>
      <c r="F4753" s="1">
        <v>161.27000000000001</v>
      </c>
      <c r="G4753" s="1">
        <v>7.23</v>
      </c>
      <c r="H4753">
        <f t="shared" si="74"/>
        <v>2741.59</v>
      </c>
    </row>
    <row r="4754" spans="1:8" x14ac:dyDescent="0.25">
      <c r="A4754" s="1" t="s">
        <v>4767</v>
      </c>
      <c r="B4754" s="5">
        <v>45856</v>
      </c>
      <c r="C4754" s="1" t="s">
        <v>13</v>
      </c>
      <c r="D4754" s="1" t="s">
        <v>16</v>
      </c>
      <c r="E4754" s="1">
        <v>16</v>
      </c>
      <c r="F4754" s="1">
        <v>173.2</v>
      </c>
      <c r="G4754" s="1">
        <v>44.67</v>
      </c>
      <c r="H4754">
        <f t="shared" si="74"/>
        <v>2771.2</v>
      </c>
    </row>
    <row r="4755" spans="1:8" x14ac:dyDescent="0.25">
      <c r="A4755" s="1" t="s">
        <v>4768</v>
      </c>
      <c r="B4755" s="5">
        <v>45856.041666666664</v>
      </c>
      <c r="C4755" s="1" t="s">
        <v>23</v>
      </c>
      <c r="D4755" s="1" t="s">
        <v>16</v>
      </c>
      <c r="E4755" s="1">
        <v>17</v>
      </c>
      <c r="F4755" s="1">
        <v>235.57</v>
      </c>
      <c r="G4755" s="1">
        <v>20.45</v>
      </c>
      <c r="H4755">
        <f t="shared" si="74"/>
        <v>4004.69</v>
      </c>
    </row>
    <row r="4756" spans="1:8" x14ac:dyDescent="0.25">
      <c r="A4756" s="1" t="s">
        <v>4769</v>
      </c>
      <c r="B4756" s="5">
        <v>45856.083333333336</v>
      </c>
      <c r="C4756" s="1" t="s">
        <v>23</v>
      </c>
      <c r="D4756" s="1" t="s">
        <v>19</v>
      </c>
      <c r="E4756" s="1">
        <v>9</v>
      </c>
      <c r="F4756" s="1">
        <v>172.34</v>
      </c>
      <c r="G4756" s="1">
        <v>43.54</v>
      </c>
      <c r="H4756">
        <f t="shared" si="74"/>
        <v>1551.06</v>
      </c>
    </row>
    <row r="4757" spans="1:8" x14ac:dyDescent="0.25">
      <c r="A4757" s="1" t="s">
        <v>4770</v>
      </c>
      <c r="B4757" s="5">
        <v>45856.125</v>
      </c>
      <c r="C4757" s="1" t="s">
        <v>23</v>
      </c>
      <c r="D4757" s="1" t="s">
        <v>16</v>
      </c>
      <c r="E4757" s="1">
        <v>5</v>
      </c>
      <c r="F4757" s="1">
        <v>355.92</v>
      </c>
      <c r="G4757" s="1">
        <v>36.57</v>
      </c>
      <c r="H4757">
        <f t="shared" si="74"/>
        <v>1779.6000000000001</v>
      </c>
    </row>
    <row r="4758" spans="1:8" x14ac:dyDescent="0.25">
      <c r="A4758" s="1" t="s">
        <v>4771</v>
      </c>
      <c r="B4758" s="5">
        <v>45856.166666666664</v>
      </c>
      <c r="C4758" s="1" t="s">
        <v>11</v>
      </c>
      <c r="D4758" s="1" t="s">
        <v>9</v>
      </c>
      <c r="E4758" s="1">
        <v>1</v>
      </c>
      <c r="F4758" s="1">
        <v>439.02</v>
      </c>
      <c r="G4758" s="1">
        <v>39.479999999999997</v>
      </c>
      <c r="H4758">
        <f t="shared" si="74"/>
        <v>439.02</v>
      </c>
    </row>
    <row r="4759" spans="1:8" x14ac:dyDescent="0.25">
      <c r="A4759" s="1" t="s">
        <v>4772</v>
      </c>
      <c r="B4759" s="5">
        <v>45856.208333333336</v>
      </c>
      <c r="C4759" s="1" t="s">
        <v>11</v>
      </c>
      <c r="D4759" s="1" t="s">
        <v>37</v>
      </c>
      <c r="E4759" s="1">
        <v>6</v>
      </c>
      <c r="F4759" s="1">
        <v>269.47000000000003</v>
      </c>
      <c r="G4759" s="1">
        <v>19.149999999999999</v>
      </c>
      <c r="H4759">
        <f t="shared" si="74"/>
        <v>1616.8200000000002</v>
      </c>
    </row>
    <row r="4760" spans="1:8" x14ac:dyDescent="0.25">
      <c r="A4760" s="1" t="s">
        <v>4773</v>
      </c>
      <c r="B4760" s="5">
        <v>45856.25</v>
      </c>
      <c r="C4760" s="1" t="s">
        <v>23</v>
      </c>
      <c r="D4760" s="1" t="s">
        <v>9</v>
      </c>
      <c r="E4760" s="1">
        <v>14</v>
      </c>
      <c r="F4760" s="1">
        <v>209.3</v>
      </c>
      <c r="G4760" s="1">
        <v>15.25</v>
      </c>
      <c r="H4760">
        <f t="shared" si="74"/>
        <v>2930.2000000000003</v>
      </c>
    </row>
    <row r="4761" spans="1:8" x14ac:dyDescent="0.25">
      <c r="A4761" s="1" t="s">
        <v>4774</v>
      </c>
      <c r="B4761" s="5">
        <v>45856.291666666664</v>
      </c>
      <c r="C4761" s="1" t="s">
        <v>11</v>
      </c>
      <c r="D4761" s="1" t="s">
        <v>16</v>
      </c>
      <c r="E4761" s="1">
        <v>17</v>
      </c>
      <c r="F4761" s="1">
        <v>112.3</v>
      </c>
      <c r="G4761" s="1">
        <v>23.3</v>
      </c>
      <c r="H4761">
        <f t="shared" si="74"/>
        <v>1909.1</v>
      </c>
    </row>
    <row r="4762" spans="1:8" x14ac:dyDescent="0.25">
      <c r="A4762" s="1" t="s">
        <v>4775</v>
      </c>
      <c r="B4762" s="5">
        <v>45856.333333333336</v>
      </c>
      <c r="C4762" s="1" t="s">
        <v>8</v>
      </c>
      <c r="D4762" s="1" t="s">
        <v>19</v>
      </c>
      <c r="E4762" s="1">
        <v>19</v>
      </c>
      <c r="F4762" s="1">
        <v>299.42</v>
      </c>
      <c r="G4762" s="1">
        <v>6.09</v>
      </c>
      <c r="H4762">
        <f t="shared" si="74"/>
        <v>5688.9800000000005</v>
      </c>
    </row>
    <row r="4763" spans="1:8" x14ac:dyDescent="0.25">
      <c r="A4763" s="1" t="s">
        <v>4776</v>
      </c>
      <c r="B4763" s="5">
        <v>45856.375</v>
      </c>
      <c r="C4763" s="1" t="s">
        <v>8</v>
      </c>
      <c r="D4763" s="1" t="s">
        <v>16</v>
      </c>
      <c r="E4763" s="1">
        <v>1</v>
      </c>
      <c r="F4763" s="1">
        <v>313.38</v>
      </c>
      <c r="G4763" s="1">
        <v>46.34</v>
      </c>
      <c r="H4763">
        <f t="shared" si="74"/>
        <v>313.38</v>
      </c>
    </row>
    <row r="4764" spans="1:8" x14ac:dyDescent="0.25">
      <c r="A4764" s="1" t="s">
        <v>4777</v>
      </c>
      <c r="B4764" s="5">
        <v>45856.416666666664</v>
      </c>
      <c r="C4764" s="1" t="s">
        <v>11</v>
      </c>
      <c r="D4764" s="1" t="s">
        <v>37</v>
      </c>
      <c r="E4764" s="1">
        <v>1</v>
      </c>
      <c r="F4764" s="1">
        <v>313.22000000000003</v>
      </c>
      <c r="G4764" s="1">
        <v>22.42</v>
      </c>
      <c r="H4764">
        <f t="shared" si="74"/>
        <v>313.22000000000003</v>
      </c>
    </row>
    <row r="4765" spans="1:8" x14ac:dyDescent="0.25">
      <c r="A4765" s="1" t="s">
        <v>4778</v>
      </c>
      <c r="B4765" s="5">
        <v>45856.458333333336</v>
      </c>
      <c r="C4765" s="1" t="s">
        <v>11</v>
      </c>
      <c r="D4765" s="1" t="s">
        <v>9</v>
      </c>
      <c r="E4765" s="1">
        <v>13</v>
      </c>
      <c r="F4765" s="1">
        <v>27.22</v>
      </c>
      <c r="G4765" s="1">
        <v>49.49</v>
      </c>
      <c r="H4765">
        <f t="shared" si="74"/>
        <v>353.86</v>
      </c>
    </row>
    <row r="4766" spans="1:8" x14ac:dyDescent="0.25">
      <c r="A4766" s="1" t="s">
        <v>4779</v>
      </c>
      <c r="B4766" s="5">
        <v>45856.5</v>
      </c>
      <c r="C4766" s="1" t="s">
        <v>8</v>
      </c>
      <c r="D4766" s="1" t="s">
        <v>37</v>
      </c>
      <c r="E4766" s="1">
        <v>14</v>
      </c>
      <c r="F4766" s="1">
        <v>406.17</v>
      </c>
      <c r="G4766" s="1">
        <v>39.270000000000003</v>
      </c>
      <c r="H4766">
        <f t="shared" si="74"/>
        <v>5686.38</v>
      </c>
    </row>
    <row r="4767" spans="1:8" x14ac:dyDescent="0.25">
      <c r="A4767" s="1" t="s">
        <v>4780</v>
      </c>
      <c r="B4767" s="5">
        <v>45856.541666666664</v>
      </c>
      <c r="C4767" s="1" t="s">
        <v>13</v>
      </c>
      <c r="D4767" s="1" t="s">
        <v>37</v>
      </c>
      <c r="E4767" s="1">
        <v>6</v>
      </c>
      <c r="F4767" s="1">
        <v>162.41</v>
      </c>
      <c r="G4767" s="1">
        <v>8.6199999999999992</v>
      </c>
      <c r="H4767">
        <f t="shared" si="74"/>
        <v>974.46</v>
      </c>
    </row>
    <row r="4768" spans="1:8" x14ac:dyDescent="0.25">
      <c r="A4768" s="1" t="s">
        <v>4781</v>
      </c>
      <c r="B4768" s="5">
        <v>45856.583333333336</v>
      </c>
      <c r="C4768" s="1" t="s">
        <v>8</v>
      </c>
      <c r="D4768" s="1" t="s">
        <v>37</v>
      </c>
      <c r="E4768" s="1">
        <v>6</v>
      </c>
      <c r="F4768" s="1">
        <v>338.84</v>
      </c>
      <c r="G4768" s="1">
        <v>34.71</v>
      </c>
      <c r="H4768">
        <f t="shared" si="74"/>
        <v>2033.04</v>
      </c>
    </row>
    <row r="4769" spans="1:8" x14ac:dyDescent="0.25">
      <c r="A4769" s="1" t="s">
        <v>4782</v>
      </c>
      <c r="B4769" s="5">
        <v>45856.625</v>
      </c>
      <c r="C4769" s="1" t="s">
        <v>8</v>
      </c>
      <c r="D4769" s="1" t="s">
        <v>9</v>
      </c>
      <c r="E4769" s="1">
        <v>1</v>
      </c>
      <c r="F4769" s="1">
        <v>345.64</v>
      </c>
      <c r="G4769" s="1">
        <v>17.190000000000001</v>
      </c>
      <c r="H4769">
        <f t="shared" si="74"/>
        <v>345.64</v>
      </c>
    </row>
    <row r="4770" spans="1:8" x14ac:dyDescent="0.25">
      <c r="A4770" s="1" t="s">
        <v>4783</v>
      </c>
      <c r="B4770" s="5">
        <v>45856.666666666664</v>
      </c>
      <c r="C4770" s="1" t="s">
        <v>11</v>
      </c>
      <c r="D4770" s="1" t="s">
        <v>16</v>
      </c>
      <c r="E4770" s="1">
        <v>14</v>
      </c>
      <c r="F4770" s="1">
        <v>298.17</v>
      </c>
      <c r="G4770" s="1">
        <v>15.97</v>
      </c>
      <c r="H4770">
        <f t="shared" si="74"/>
        <v>4174.38</v>
      </c>
    </row>
    <row r="4771" spans="1:8" x14ac:dyDescent="0.25">
      <c r="A4771" s="1" t="s">
        <v>4784</v>
      </c>
      <c r="B4771" s="5">
        <v>45856.708333333336</v>
      </c>
      <c r="C4771" s="1" t="s">
        <v>8</v>
      </c>
      <c r="D4771" s="1" t="s">
        <v>37</v>
      </c>
      <c r="E4771" s="1">
        <v>3</v>
      </c>
      <c r="F4771" s="1">
        <v>187.07</v>
      </c>
      <c r="G4771" s="1">
        <v>16.55</v>
      </c>
      <c r="H4771">
        <f t="shared" si="74"/>
        <v>561.21</v>
      </c>
    </row>
    <row r="4772" spans="1:8" x14ac:dyDescent="0.25">
      <c r="A4772" s="1" t="s">
        <v>4785</v>
      </c>
      <c r="B4772" s="5">
        <v>45856.75</v>
      </c>
      <c r="C4772" s="1" t="s">
        <v>11</v>
      </c>
      <c r="D4772" s="1" t="s">
        <v>9</v>
      </c>
      <c r="E4772" s="1">
        <v>10</v>
      </c>
      <c r="F4772" s="1">
        <v>279.83999999999997</v>
      </c>
      <c r="G4772" s="1">
        <v>46.22</v>
      </c>
      <c r="H4772">
        <f t="shared" si="74"/>
        <v>2798.3999999999996</v>
      </c>
    </row>
    <row r="4773" spans="1:8" x14ac:dyDescent="0.25">
      <c r="A4773" s="1" t="s">
        <v>4786</v>
      </c>
      <c r="B4773" s="5">
        <v>45856.791666666664</v>
      </c>
      <c r="C4773" s="1" t="s">
        <v>11</v>
      </c>
      <c r="D4773" s="1" t="s">
        <v>19</v>
      </c>
      <c r="E4773" s="1">
        <v>19</v>
      </c>
      <c r="F4773" s="1">
        <v>32.97</v>
      </c>
      <c r="G4773" s="1">
        <v>27.5</v>
      </c>
      <c r="H4773">
        <f t="shared" si="74"/>
        <v>626.42999999999995</v>
      </c>
    </row>
    <row r="4774" spans="1:8" x14ac:dyDescent="0.25">
      <c r="A4774" s="1" t="s">
        <v>4787</v>
      </c>
      <c r="B4774" s="5">
        <v>45856.833333333336</v>
      </c>
      <c r="C4774" s="1" t="s">
        <v>23</v>
      </c>
      <c r="D4774" s="1" t="s">
        <v>9</v>
      </c>
      <c r="E4774" s="1">
        <v>19</v>
      </c>
      <c r="F4774" s="1">
        <v>346.54</v>
      </c>
      <c r="G4774" s="1">
        <v>35.130000000000003</v>
      </c>
      <c r="H4774">
        <f t="shared" si="74"/>
        <v>6584.26</v>
      </c>
    </row>
    <row r="4775" spans="1:8" x14ac:dyDescent="0.25">
      <c r="A4775" s="1" t="s">
        <v>4788</v>
      </c>
      <c r="B4775" s="5">
        <v>45856.875</v>
      </c>
      <c r="C4775" s="1" t="s">
        <v>8</v>
      </c>
      <c r="D4775" s="1" t="s">
        <v>19</v>
      </c>
      <c r="E4775" s="1">
        <v>19</v>
      </c>
      <c r="F4775" s="1">
        <v>58.77</v>
      </c>
      <c r="G4775" s="1">
        <v>17.64</v>
      </c>
      <c r="H4775">
        <f t="shared" si="74"/>
        <v>1116.6300000000001</v>
      </c>
    </row>
    <row r="4776" spans="1:8" x14ac:dyDescent="0.25">
      <c r="A4776" s="1" t="s">
        <v>4789</v>
      </c>
      <c r="B4776" s="5">
        <v>45856.916666666664</v>
      </c>
      <c r="C4776" s="1" t="s">
        <v>13</v>
      </c>
      <c r="D4776" s="1" t="s">
        <v>9</v>
      </c>
      <c r="E4776" s="1">
        <v>4</v>
      </c>
      <c r="F4776" s="1">
        <v>187.89</v>
      </c>
      <c r="G4776" s="1">
        <v>28.53</v>
      </c>
      <c r="H4776">
        <f t="shared" si="74"/>
        <v>751.56</v>
      </c>
    </row>
    <row r="4777" spans="1:8" x14ac:dyDescent="0.25">
      <c r="A4777" s="1" t="s">
        <v>4790</v>
      </c>
      <c r="B4777" s="5">
        <v>45856.958333333336</v>
      </c>
      <c r="C4777" s="1" t="s">
        <v>23</v>
      </c>
      <c r="D4777" s="1" t="s">
        <v>16</v>
      </c>
      <c r="E4777" s="1">
        <v>19</v>
      </c>
      <c r="F4777" s="1">
        <v>60.52</v>
      </c>
      <c r="G4777" s="1">
        <v>20.75</v>
      </c>
      <c r="H4777">
        <f t="shared" si="74"/>
        <v>1149.8800000000001</v>
      </c>
    </row>
    <row r="4778" spans="1:8" x14ac:dyDescent="0.25">
      <c r="A4778" s="1" t="s">
        <v>4791</v>
      </c>
      <c r="B4778" s="5">
        <v>45857</v>
      </c>
      <c r="C4778" s="1" t="s">
        <v>11</v>
      </c>
      <c r="D4778" s="1" t="s">
        <v>37</v>
      </c>
      <c r="E4778" s="1">
        <v>10</v>
      </c>
      <c r="F4778" s="1">
        <v>379.21</v>
      </c>
      <c r="G4778" s="1">
        <v>19.45</v>
      </c>
      <c r="H4778">
        <f t="shared" si="74"/>
        <v>3792.1</v>
      </c>
    </row>
    <row r="4779" spans="1:8" x14ac:dyDescent="0.25">
      <c r="A4779" s="1" t="s">
        <v>4792</v>
      </c>
      <c r="B4779" s="5">
        <v>45857.041666666664</v>
      </c>
      <c r="C4779" s="1" t="s">
        <v>11</v>
      </c>
      <c r="D4779" s="1" t="s">
        <v>16</v>
      </c>
      <c r="E4779" s="1">
        <v>2</v>
      </c>
      <c r="F4779" s="1">
        <v>254.61</v>
      </c>
      <c r="G4779" s="1">
        <v>16.11</v>
      </c>
      <c r="H4779">
        <f t="shared" si="74"/>
        <v>509.22</v>
      </c>
    </row>
    <row r="4780" spans="1:8" x14ac:dyDescent="0.25">
      <c r="A4780" s="1" t="s">
        <v>4793</v>
      </c>
      <c r="B4780" s="5">
        <v>45857.083333333336</v>
      </c>
      <c r="C4780" s="1" t="s">
        <v>13</v>
      </c>
      <c r="D4780" s="1" t="s">
        <v>9</v>
      </c>
      <c r="E4780" s="1">
        <v>4</v>
      </c>
      <c r="F4780" s="1">
        <v>315.72000000000003</v>
      </c>
      <c r="G4780" s="1">
        <v>23.41</v>
      </c>
      <c r="H4780">
        <f t="shared" si="74"/>
        <v>1262.8800000000001</v>
      </c>
    </row>
    <row r="4781" spans="1:8" x14ac:dyDescent="0.25">
      <c r="A4781" s="1" t="s">
        <v>4794</v>
      </c>
      <c r="B4781" s="5">
        <v>45857.125</v>
      </c>
      <c r="C4781" s="1" t="s">
        <v>11</v>
      </c>
      <c r="D4781" s="1" t="s">
        <v>37</v>
      </c>
      <c r="E4781" s="1">
        <v>6</v>
      </c>
      <c r="F4781" s="1">
        <v>312.08</v>
      </c>
      <c r="G4781" s="1">
        <v>34.700000000000003</v>
      </c>
      <c r="H4781">
        <f t="shared" si="74"/>
        <v>1872.48</v>
      </c>
    </row>
    <row r="4782" spans="1:8" x14ac:dyDescent="0.25">
      <c r="A4782" s="1" t="s">
        <v>4795</v>
      </c>
      <c r="B4782" s="5">
        <v>45857.166666666664</v>
      </c>
      <c r="C4782" s="1" t="s">
        <v>8</v>
      </c>
      <c r="D4782" s="1" t="s">
        <v>19</v>
      </c>
      <c r="E4782" s="1">
        <v>7</v>
      </c>
      <c r="F4782" s="1">
        <v>381.18</v>
      </c>
      <c r="G4782" s="1">
        <v>14.99</v>
      </c>
      <c r="H4782">
        <f t="shared" si="74"/>
        <v>2668.26</v>
      </c>
    </row>
    <row r="4783" spans="1:8" x14ac:dyDescent="0.25">
      <c r="A4783" s="1" t="s">
        <v>4796</v>
      </c>
      <c r="B4783" s="5">
        <v>45857.208333333336</v>
      </c>
      <c r="C4783" s="1" t="s">
        <v>23</v>
      </c>
      <c r="D4783" s="1" t="s">
        <v>9</v>
      </c>
      <c r="E4783" s="1">
        <v>16</v>
      </c>
      <c r="F4783" s="1">
        <v>73.099999999999994</v>
      </c>
      <c r="G4783" s="1">
        <v>48.44</v>
      </c>
      <c r="H4783">
        <f t="shared" si="74"/>
        <v>1169.5999999999999</v>
      </c>
    </row>
    <row r="4784" spans="1:8" x14ac:dyDescent="0.25">
      <c r="A4784" s="1" t="s">
        <v>4797</v>
      </c>
      <c r="B4784" s="5">
        <v>45857.25</v>
      </c>
      <c r="C4784" s="1" t="s">
        <v>11</v>
      </c>
      <c r="D4784" s="1" t="s">
        <v>37</v>
      </c>
      <c r="E4784" s="1">
        <v>7</v>
      </c>
      <c r="F4784" s="1">
        <v>302.14999999999998</v>
      </c>
      <c r="G4784" s="1">
        <v>10.61</v>
      </c>
      <c r="H4784">
        <f t="shared" si="74"/>
        <v>2115.0499999999997</v>
      </c>
    </row>
    <row r="4785" spans="1:8" x14ac:dyDescent="0.25">
      <c r="A4785" s="1" t="s">
        <v>4798</v>
      </c>
      <c r="B4785" s="5">
        <v>45857.291666666664</v>
      </c>
      <c r="C4785" s="1" t="s">
        <v>11</v>
      </c>
      <c r="D4785" s="1" t="s">
        <v>19</v>
      </c>
      <c r="E4785" s="1">
        <v>18</v>
      </c>
      <c r="F4785" s="1">
        <v>265.39999999999998</v>
      </c>
      <c r="G4785" s="1">
        <v>26.61</v>
      </c>
      <c r="H4785">
        <f t="shared" si="74"/>
        <v>4777.2</v>
      </c>
    </row>
    <row r="4786" spans="1:8" x14ac:dyDescent="0.25">
      <c r="A4786" s="1" t="s">
        <v>4799</v>
      </c>
      <c r="B4786" s="5">
        <v>45857.333333333336</v>
      </c>
      <c r="C4786" s="1" t="s">
        <v>13</v>
      </c>
      <c r="D4786" s="1" t="s">
        <v>19</v>
      </c>
      <c r="E4786" s="1">
        <v>19</v>
      </c>
      <c r="F4786" s="1">
        <v>28.92</v>
      </c>
      <c r="G4786" s="1">
        <v>8.83</v>
      </c>
      <c r="H4786">
        <f t="shared" si="74"/>
        <v>549.48</v>
      </c>
    </row>
    <row r="4787" spans="1:8" x14ac:dyDescent="0.25">
      <c r="A4787" s="1" t="s">
        <v>4800</v>
      </c>
      <c r="B4787" s="5">
        <v>45857.375</v>
      </c>
      <c r="C4787" s="1" t="s">
        <v>8</v>
      </c>
      <c r="D4787" s="1" t="s">
        <v>16</v>
      </c>
      <c r="E4787" s="1">
        <v>9</v>
      </c>
      <c r="F4787" s="1">
        <v>103.02</v>
      </c>
      <c r="G4787" s="1">
        <v>6.02</v>
      </c>
      <c r="H4787">
        <f t="shared" si="74"/>
        <v>927.18</v>
      </c>
    </row>
    <row r="4788" spans="1:8" x14ac:dyDescent="0.25">
      <c r="A4788" s="1" t="s">
        <v>4801</v>
      </c>
      <c r="B4788" s="5">
        <v>45857.416666666664</v>
      </c>
      <c r="C4788" s="1" t="s">
        <v>11</v>
      </c>
      <c r="D4788" s="1" t="s">
        <v>9</v>
      </c>
      <c r="E4788" s="1">
        <v>10</v>
      </c>
      <c r="F4788" s="1">
        <v>131.76</v>
      </c>
      <c r="G4788" s="1">
        <v>46.52</v>
      </c>
      <c r="H4788">
        <f t="shared" si="74"/>
        <v>1317.6</v>
      </c>
    </row>
    <row r="4789" spans="1:8" x14ac:dyDescent="0.25">
      <c r="A4789" s="1" t="s">
        <v>4802</v>
      </c>
      <c r="B4789" s="5">
        <v>45857.458333333336</v>
      </c>
      <c r="C4789" s="1" t="s">
        <v>13</v>
      </c>
      <c r="D4789" s="1" t="s">
        <v>19</v>
      </c>
      <c r="E4789" s="1">
        <v>13</v>
      </c>
      <c r="F4789" s="1">
        <v>47.03</v>
      </c>
      <c r="G4789" s="1">
        <v>41.47</v>
      </c>
      <c r="H4789">
        <f t="shared" si="74"/>
        <v>611.39</v>
      </c>
    </row>
    <row r="4790" spans="1:8" x14ac:dyDescent="0.25">
      <c r="A4790" s="1" t="s">
        <v>4803</v>
      </c>
      <c r="B4790" s="5">
        <v>45857.5</v>
      </c>
      <c r="C4790" s="1" t="s">
        <v>11</v>
      </c>
      <c r="D4790" s="1" t="s">
        <v>37</v>
      </c>
      <c r="E4790" s="1">
        <v>18</v>
      </c>
      <c r="F4790" s="1">
        <v>169.63</v>
      </c>
      <c r="G4790" s="1">
        <v>36.24</v>
      </c>
      <c r="H4790">
        <f t="shared" si="74"/>
        <v>3053.34</v>
      </c>
    </row>
    <row r="4791" spans="1:8" x14ac:dyDescent="0.25">
      <c r="A4791" s="1" t="s">
        <v>4804</v>
      </c>
      <c r="B4791" s="5">
        <v>45857.541666666664</v>
      </c>
      <c r="C4791" s="1" t="s">
        <v>13</v>
      </c>
      <c r="D4791" s="1" t="s">
        <v>19</v>
      </c>
      <c r="E4791" s="1">
        <v>16</v>
      </c>
      <c r="F4791" s="1">
        <v>27.32</v>
      </c>
      <c r="G4791" s="1">
        <v>43.93</v>
      </c>
      <c r="H4791">
        <f t="shared" si="74"/>
        <v>437.12</v>
      </c>
    </row>
    <row r="4792" spans="1:8" x14ac:dyDescent="0.25">
      <c r="A4792" s="1" t="s">
        <v>4805</v>
      </c>
      <c r="B4792" s="5">
        <v>45857.583333333336</v>
      </c>
      <c r="C4792" s="1" t="s">
        <v>13</v>
      </c>
      <c r="D4792" s="1" t="s">
        <v>19</v>
      </c>
      <c r="E4792" s="1">
        <v>17</v>
      </c>
      <c r="F4792" s="1">
        <v>255.86</v>
      </c>
      <c r="G4792" s="1">
        <v>41.13</v>
      </c>
      <c r="H4792">
        <f t="shared" si="74"/>
        <v>4349.62</v>
      </c>
    </row>
    <row r="4793" spans="1:8" x14ac:dyDescent="0.25">
      <c r="A4793" s="1" t="s">
        <v>4806</v>
      </c>
      <c r="B4793" s="5">
        <v>45857.625</v>
      </c>
      <c r="C4793" s="1" t="s">
        <v>8</v>
      </c>
      <c r="D4793" s="1" t="s">
        <v>16</v>
      </c>
      <c r="E4793" s="1">
        <v>13</v>
      </c>
      <c r="F4793" s="1">
        <v>107.4</v>
      </c>
      <c r="G4793" s="1">
        <v>34.130000000000003</v>
      </c>
      <c r="H4793">
        <f t="shared" si="74"/>
        <v>1396.2</v>
      </c>
    </row>
    <row r="4794" spans="1:8" x14ac:dyDescent="0.25">
      <c r="A4794" s="1" t="s">
        <v>4807</v>
      </c>
      <c r="B4794" s="5">
        <v>45857.666666666664</v>
      </c>
      <c r="C4794" s="1" t="s">
        <v>11</v>
      </c>
      <c r="D4794" s="1" t="s">
        <v>16</v>
      </c>
      <c r="E4794" s="1">
        <v>12</v>
      </c>
      <c r="F4794" s="1">
        <v>140.19999999999999</v>
      </c>
      <c r="G4794" s="1">
        <v>43.13</v>
      </c>
      <c r="H4794">
        <f t="shared" si="74"/>
        <v>1682.3999999999999</v>
      </c>
    </row>
    <row r="4795" spans="1:8" x14ac:dyDescent="0.25">
      <c r="A4795" s="1" t="s">
        <v>4808</v>
      </c>
      <c r="B4795" s="5">
        <v>45857.708333333336</v>
      </c>
      <c r="C4795" s="1" t="s">
        <v>8</v>
      </c>
      <c r="D4795" s="1" t="s">
        <v>37</v>
      </c>
      <c r="E4795" s="1">
        <v>10</v>
      </c>
      <c r="F4795" s="1">
        <v>411.1</v>
      </c>
      <c r="G4795" s="1">
        <v>22.59</v>
      </c>
      <c r="H4795">
        <f t="shared" si="74"/>
        <v>4111</v>
      </c>
    </row>
    <row r="4796" spans="1:8" x14ac:dyDescent="0.25">
      <c r="A4796" s="1" t="s">
        <v>4809</v>
      </c>
      <c r="B4796" s="5">
        <v>45857.75</v>
      </c>
      <c r="C4796" s="1" t="s">
        <v>13</v>
      </c>
      <c r="D4796" s="1" t="s">
        <v>16</v>
      </c>
      <c r="E4796" s="1">
        <v>1</v>
      </c>
      <c r="F4796" s="1">
        <v>233.97</v>
      </c>
      <c r="G4796" s="1">
        <v>29.87</v>
      </c>
      <c r="H4796">
        <f t="shared" si="74"/>
        <v>233.97</v>
      </c>
    </row>
    <row r="4797" spans="1:8" x14ac:dyDescent="0.25">
      <c r="A4797" s="1" t="s">
        <v>4810</v>
      </c>
      <c r="B4797" s="5">
        <v>45857.791666666664</v>
      </c>
      <c r="C4797" s="1" t="s">
        <v>23</v>
      </c>
      <c r="D4797" s="1" t="s">
        <v>19</v>
      </c>
      <c r="E4797" s="1">
        <v>8</v>
      </c>
      <c r="F4797" s="1">
        <v>132.38999999999999</v>
      </c>
      <c r="G4797" s="1">
        <v>39.93</v>
      </c>
      <c r="H4797">
        <f t="shared" si="74"/>
        <v>1059.1199999999999</v>
      </c>
    </row>
    <row r="4798" spans="1:8" x14ac:dyDescent="0.25">
      <c r="A4798" s="1" t="s">
        <v>4811</v>
      </c>
      <c r="B4798" s="5">
        <v>45857.833333333336</v>
      </c>
      <c r="C4798" s="1" t="s">
        <v>11</v>
      </c>
      <c r="D4798" s="1" t="s">
        <v>19</v>
      </c>
      <c r="E4798" s="1">
        <v>18</v>
      </c>
      <c r="F4798" s="1">
        <v>275.52999999999997</v>
      </c>
      <c r="G4798" s="1">
        <v>8.82</v>
      </c>
      <c r="H4798">
        <f t="shared" si="74"/>
        <v>4959.5399999999991</v>
      </c>
    </row>
    <row r="4799" spans="1:8" x14ac:dyDescent="0.25">
      <c r="A4799" s="1" t="s">
        <v>4812</v>
      </c>
      <c r="B4799" s="5">
        <v>45857.875</v>
      </c>
      <c r="C4799" s="1" t="s">
        <v>23</v>
      </c>
      <c r="D4799" s="1" t="s">
        <v>16</v>
      </c>
      <c r="E4799" s="1">
        <v>2</v>
      </c>
      <c r="F4799" s="1">
        <v>103.13</v>
      </c>
      <c r="G4799" s="1">
        <v>43.64</v>
      </c>
      <c r="H4799">
        <f t="shared" si="74"/>
        <v>206.26</v>
      </c>
    </row>
    <row r="4800" spans="1:8" x14ac:dyDescent="0.25">
      <c r="A4800" s="1" t="s">
        <v>4813</v>
      </c>
      <c r="B4800" s="5">
        <v>45857.916666666664</v>
      </c>
      <c r="C4800" s="1" t="s">
        <v>11</v>
      </c>
      <c r="D4800" s="1" t="s">
        <v>19</v>
      </c>
      <c r="E4800" s="1">
        <v>16</v>
      </c>
      <c r="F4800" s="1">
        <v>47.82</v>
      </c>
      <c r="G4800" s="1">
        <v>12.06</v>
      </c>
      <c r="H4800">
        <f t="shared" si="74"/>
        <v>765.12</v>
      </c>
    </row>
    <row r="4801" spans="1:8" x14ac:dyDescent="0.25">
      <c r="A4801" s="1" t="s">
        <v>4814</v>
      </c>
      <c r="B4801" s="5">
        <v>45857.958333333336</v>
      </c>
      <c r="C4801" s="1" t="s">
        <v>8</v>
      </c>
      <c r="D4801" s="1" t="s">
        <v>19</v>
      </c>
      <c r="E4801" s="1">
        <v>12</v>
      </c>
      <c r="F4801" s="1">
        <v>24.58</v>
      </c>
      <c r="G4801" s="1">
        <v>43.9</v>
      </c>
      <c r="H4801">
        <f t="shared" si="74"/>
        <v>294.95999999999998</v>
      </c>
    </row>
    <row r="4802" spans="1:8" x14ac:dyDescent="0.25">
      <c r="A4802" s="1" t="s">
        <v>4815</v>
      </c>
      <c r="B4802" s="5">
        <v>45858</v>
      </c>
      <c r="C4802" s="1" t="s">
        <v>8</v>
      </c>
      <c r="D4802" s="1" t="s">
        <v>37</v>
      </c>
      <c r="E4802" s="1">
        <v>9</v>
      </c>
      <c r="F4802" s="1">
        <v>428.94</v>
      </c>
      <c r="G4802" s="1">
        <v>19.010000000000002</v>
      </c>
      <c r="H4802">
        <f t="shared" ref="H4802:H4865" si="75">E4802*F4802</f>
        <v>3860.46</v>
      </c>
    </row>
    <row r="4803" spans="1:8" x14ac:dyDescent="0.25">
      <c r="A4803" s="1" t="s">
        <v>4816</v>
      </c>
      <c r="B4803" s="5">
        <v>45858.041666666664</v>
      </c>
      <c r="C4803" s="1" t="s">
        <v>8</v>
      </c>
      <c r="D4803" s="1" t="s">
        <v>16</v>
      </c>
      <c r="E4803" s="1">
        <v>3</v>
      </c>
      <c r="F4803" s="1">
        <v>330.34</v>
      </c>
      <c r="G4803" s="1">
        <v>19.71</v>
      </c>
      <c r="H4803">
        <f t="shared" si="75"/>
        <v>991.02</v>
      </c>
    </row>
    <row r="4804" spans="1:8" x14ac:dyDescent="0.25">
      <c r="A4804" s="1" t="s">
        <v>4817</v>
      </c>
      <c r="B4804" s="5">
        <v>45858.083333333336</v>
      </c>
      <c r="C4804" s="1" t="s">
        <v>8</v>
      </c>
      <c r="D4804" s="1" t="s">
        <v>19</v>
      </c>
      <c r="E4804" s="1">
        <v>4</v>
      </c>
      <c r="F4804" s="1">
        <v>363.08</v>
      </c>
      <c r="G4804" s="1">
        <v>8.33</v>
      </c>
      <c r="H4804">
        <f t="shared" si="75"/>
        <v>1452.32</v>
      </c>
    </row>
    <row r="4805" spans="1:8" x14ac:dyDescent="0.25">
      <c r="A4805" s="1" t="s">
        <v>4818</v>
      </c>
      <c r="B4805" s="5">
        <v>45858.125</v>
      </c>
      <c r="C4805" s="1" t="s">
        <v>8</v>
      </c>
      <c r="D4805" s="1" t="s">
        <v>16</v>
      </c>
      <c r="E4805" s="1">
        <v>2</v>
      </c>
      <c r="F4805" s="1">
        <v>441.71</v>
      </c>
      <c r="G4805" s="1">
        <v>44.87</v>
      </c>
      <c r="H4805">
        <f t="shared" si="75"/>
        <v>883.42</v>
      </c>
    </row>
    <row r="4806" spans="1:8" x14ac:dyDescent="0.25">
      <c r="A4806" s="1" t="s">
        <v>4819</v>
      </c>
      <c r="B4806" s="5">
        <v>45858.166666666664</v>
      </c>
      <c r="C4806" s="1" t="s">
        <v>23</v>
      </c>
      <c r="D4806" s="1" t="s">
        <v>37</v>
      </c>
      <c r="E4806" s="1">
        <v>8</v>
      </c>
      <c r="F4806" s="1">
        <v>420.29</v>
      </c>
      <c r="G4806" s="1">
        <v>12.85</v>
      </c>
      <c r="H4806">
        <f t="shared" si="75"/>
        <v>3362.32</v>
      </c>
    </row>
    <row r="4807" spans="1:8" x14ac:dyDescent="0.25">
      <c r="A4807" s="1" t="s">
        <v>4820</v>
      </c>
      <c r="B4807" s="5">
        <v>45858.208333333336</v>
      </c>
      <c r="C4807" s="1" t="s">
        <v>8</v>
      </c>
      <c r="D4807" s="1" t="s">
        <v>16</v>
      </c>
      <c r="E4807" s="1">
        <v>10</v>
      </c>
      <c r="F4807" s="1">
        <v>335.69</v>
      </c>
      <c r="G4807" s="1">
        <v>33.35</v>
      </c>
      <c r="H4807">
        <f t="shared" si="75"/>
        <v>3356.9</v>
      </c>
    </row>
    <row r="4808" spans="1:8" x14ac:dyDescent="0.25">
      <c r="A4808" s="1" t="s">
        <v>4821</v>
      </c>
      <c r="B4808" s="5">
        <v>45858.25</v>
      </c>
      <c r="C4808" s="1" t="s">
        <v>13</v>
      </c>
      <c r="D4808" s="1" t="s">
        <v>19</v>
      </c>
      <c r="E4808" s="1">
        <v>16</v>
      </c>
      <c r="F4808" s="1">
        <v>317.04000000000002</v>
      </c>
      <c r="G4808" s="1">
        <v>33.979999999999997</v>
      </c>
      <c r="H4808">
        <f t="shared" si="75"/>
        <v>5072.6400000000003</v>
      </c>
    </row>
    <row r="4809" spans="1:8" x14ac:dyDescent="0.25">
      <c r="A4809" s="1" t="s">
        <v>4822</v>
      </c>
      <c r="B4809" s="5">
        <v>45858.291666666664</v>
      </c>
      <c r="C4809" s="1" t="s">
        <v>13</v>
      </c>
      <c r="D4809" s="1" t="s">
        <v>16</v>
      </c>
      <c r="E4809" s="1">
        <v>11</v>
      </c>
      <c r="F4809" s="1">
        <v>161.86000000000001</v>
      </c>
      <c r="G4809" s="1">
        <v>17.649999999999999</v>
      </c>
      <c r="H4809">
        <f t="shared" si="75"/>
        <v>1780.46</v>
      </c>
    </row>
    <row r="4810" spans="1:8" x14ac:dyDescent="0.25">
      <c r="A4810" s="1" t="s">
        <v>4823</v>
      </c>
      <c r="B4810" s="5">
        <v>45858.333333333336</v>
      </c>
      <c r="C4810" s="1" t="s">
        <v>23</v>
      </c>
      <c r="D4810" s="1" t="s">
        <v>19</v>
      </c>
      <c r="E4810" s="1">
        <v>18</v>
      </c>
      <c r="F4810" s="1">
        <v>60.7</v>
      </c>
      <c r="G4810" s="1">
        <v>49.35</v>
      </c>
      <c r="H4810">
        <f t="shared" si="75"/>
        <v>1092.6000000000001</v>
      </c>
    </row>
    <row r="4811" spans="1:8" x14ac:dyDescent="0.25">
      <c r="A4811" s="1" t="s">
        <v>4824</v>
      </c>
      <c r="B4811" s="5">
        <v>45858.375</v>
      </c>
      <c r="C4811" s="1" t="s">
        <v>11</v>
      </c>
      <c r="D4811" s="1" t="s">
        <v>19</v>
      </c>
      <c r="E4811" s="1">
        <v>14</v>
      </c>
      <c r="F4811" s="1">
        <v>264.77999999999997</v>
      </c>
      <c r="G4811" s="1">
        <v>7.89</v>
      </c>
      <c r="H4811">
        <f t="shared" si="75"/>
        <v>3706.9199999999996</v>
      </c>
    </row>
    <row r="4812" spans="1:8" x14ac:dyDescent="0.25">
      <c r="A4812" s="1" t="s">
        <v>4825</v>
      </c>
      <c r="B4812" s="5">
        <v>45858.416666666664</v>
      </c>
      <c r="C4812" s="1" t="s">
        <v>13</v>
      </c>
      <c r="D4812" s="1" t="s">
        <v>19</v>
      </c>
      <c r="E4812" s="1">
        <v>8</v>
      </c>
      <c r="F4812" s="1">
        <v>265.88</v>
      </c>
      <c r="G4812" s="1">
        <v>32.35</v>
      </c>
      <c r="H4812">
        <f t="shared" si="75"/>
        <v>2127.04</v>
      </c>
    </row>
    <row r="4813" spans="1:8" x14ac:dyDescent="0.25">
      <c r="A4813" s="1" t="s">
        <v>4826</v>
      </c>
      <c r="B4813" s="5">
        <v>45858.458333333336</v>
      </c>
      <c r="C4813" s="1" t="s">
        <v>11</v>
      </c>
      <c r="D4813" s="1" t="s">
        <v>37</v>
      </c>
      <c r="E4813" s="1">
        <v>15</v>
      </c>
      <c r="F4813" s="1">
        <v>429.25</v>
      </c>
      <c r="G4813" s="1">
        <v>26.58</v>
      </c>
      <c r="H4813">
        <f t="shared" si="75"/>
        <v>6438.75</v>
      </c>
    </row>
    <row r="4814" spans="1:8" x14ac:dyDescent="0.25">
      <c r="A4814" s="1" t="s">
        <v>4827</v>
      </c>
      <c r="B4814" s="5">
        <v>45858.5</v>
      </c>
      <c r="C4814" s="1" t="s">
        <v>23</v>
      </c>
      <c r="D4814" s="1" t="s">
        <v>16</v>
      </c>
      <c r="E4814" s="1">
        <v>17</v>
      </c>
      <c r="F4814" s="1">
        <v>207.8</v>
      </c>
      <c r="G4814" s="1">
        <v>16.05</v>
      </c>
      <c r="H4814">
        <f t="shared" si="75"/>
        <v>3532.6000000000004</v>
      </c>
    </row>
    <row r="4815" spans="1:8" x14ac:dyDescent="0.25">
      <c r="A4815" s="1" t="s">
        <v>4828</v>
      </c>
      <c r="B4815" s="5">
        <v>45858.541666666664</v>
      </c>
      <c r="C4815" s="1" t="s">
        <v>11</v>
      </c>
      <c r="D4815" s="1" t="s">
        <v>37</v>
      </c>
      <c r="E4815" s="1">
        <v>18</v>
      </c>
      <c r="F4815" s="1">
        <v>315.66000000000003</v>
      </c>
      <c r="G4815" s="1">
        <v>12.36</v>
      </c>
      <c r="H4815">
        <f t="shared" si="75"/>
        <v>5681.88</v>
      </c>
    </row>
    <row r="4816" spans="1:8" x14ac:dyDescent="0.25">
      <c r="A4816" s="1" t="s">
        <v>4829</v>
      </c>
      <c r="B4816" s="5">
        <v>45858.583333333336</v>
      </c>
      <c r="C4816" s="1" t="s">
        <v>11</v>
      </c>
      <c r="D4816" s="1" t="s">
        <v>16</v>
      </c>
      <c r="E4816" s="1">
        <v>6</v>
      </c>
      <c r="F4816" s="1">
        <v>265.32</v>
      </c>
      <c r="G4816" s="1">
        <v>38.17</v>
      </c>
      <c r="H4816">
        <f t="shared" si="75"/>
        <v>1591.92</v>
      </c>
    </row>
    <row r="4817" spans="1:8" x14ac:dyDescent="0.25">
      <c r="A4817" s="1" t="s">
        <v>4830</v>
      </c>
      <c r="B4817" s="5">
        <v>45858.625</v>
      </c>
      <c r="C4817" s="1" t="s">
        <v>11</v>
      </c>
      <c r="D4817" s="1" t="s">
        <v>37</v>
      </c>
      <c r="E4817" s="1">
        <v>14</v>
      </c>
      <c r="F4817" s="1">
        <v>92.3</v>
      </c>
      <c r="G4817" s="1">
        <v>46.23</v>
      </c>
      <c r="H4817">
        <f t="shared" si="75"/>
        <v>1292.2</v>
      </c>
    </row>
    <row r="4818" spans="1:8" x14ac:dyDescent="0.25">
      <c r="A4818" s="1" t="s">
        <v>4831</v>
      </c>
      <c r="B4818" s="5">
        <v>45858.666666666664</v>
      </c>
      <c r="C4818" s="1" t="s">
        <v>11</v>
      </c>
      <c r="D4818" s="1" t="s">
        <v>9</v>
      </c>
      <c r="E4818" s="1">
        <v>3</v>
      </c>
      <c r="F4818" s="1">
        <v>272.75</v>
      </c>
      <c r="G4818" s="1">
        <v>9.84</v>
      </c>
      <c r="H4818">
        <f t="shared" si="75"/>
        <v>818.25</v>
      </c>
    </row>
    <row r="4819" spans="1:8" x14ac:dyDescent="0.25">
      <c r="A4819" s="1" t="s">
        <v>4832</v>
      </c>
      <c r="B4819" s="5">
        <v>45858.708333333336</v>
      </c>
      <c r="C4819" s="1" t="s">
        <v>23</v>
      </c>
      <c r="D4819" s="1" t="s">
        <v>19</v>
      </c>
      <c r="E4819" s="1">
        <v>7</v>
      </c>
      <c r="F4819" s="1">
        <v>250.18</v>
      </c>
      <c r="G4819" s="1">
        <v>13.73</v>
      </c>
      <c r="H4819">
        <f t="shared" si="75"/>
        <v>1751.26</v>
      </c>
    </row>
    <row r="4820" spans="1:8" x14ac:dyDescent="0.25">
      <c r="A4820" s="1" t="s">
        <v>4833</v>
      </c>
      <c r="B4820" s="5">
        <v>45858.75</v>
      </c>
      <c r="C4820" s="1" t="s">
        <v>13</v>
      </c>
      <c r="D4820" s="1" t="s">
        <v>19</v>
      </c>
      <c r="E4820" s="1">
        <v>15</v>
      </c>
      <c r="F4820" s="1">
        <v>230.1</v>
      </c>
      <c r="G4820" s="1">
        <v>49.38</v>
      </c>
      <c r="H4820">
        <f t="shared" si="75"/>
        <v>3451.5</v>
      </c>
    </row>
    <row r="4821" spans="1:8" x14ac:dyDescent="0.25">
      <c r="A4821" s="1" t="s">
        <v>4834</v>
      </c>
      <c r="B4821" s="5">
        <v>45858.791666666664</v>
      </c>
      <c r="C4821" s="1" t="s">
        <v>8</v>
      </c>
      <c r="D4821" s="1" t="s">
        <v>37</v>
      </c>
      <c r="E4821" s="1">
        <v>16</v>
      </c>
      <c r="F4821" s="1">
        <v>238.58</v>
      </c>
      <c r="G4821" s="1">
        <v>5.68</v>
      </c>
      <c r="H4821">
        <f t="shared" si="75"/>
        <v>3817.28</v>
      </c>
    </row>
    <row r="4822" spans="1:8" x14ac:dyDescent="0.25">
      <c r="A4822" s="1" t="s">
        <v>4835</v>
      </c>
      <c r="B4822" s="5">
        <v>45858.833333333336</v>
      </c>
      <c r="C4822" s="1" t="s">
        <v>11</v>
      </c>
      <c r="D4822" s="1" t="s">
        <v>9</v>
      </c>
      <c r="E4822" s="1">
        <v>16</v>
      </c>
      <c r="F4822" s="1">
        <v>86.75</v>
      </c>
      <c r="G4822" s="1">
        <v>27.87</v>
      </c>
      <c r="H4822">
        <f t="shared" si="75"/>
        <v>1388</v>
      </c>
    </row>
    <row r="4823" spans="1:8" x14ac:dyDescent="0.25">
      <c r="A4823" s="1" t="s">
        <v>4836</v>
      </c>
      <c r="B4823" s="5">
        <v>45858.875</v>
      </c>
      <c r="C4823" s="1" t="s">
        <v>13</v>
      </c>
      <c r="D4823" s="1" t="s">
        <v>19</v>
      </c>
      <c r="E4823" s="1">
        <v>8</v>
      </c>
      <c r="F4823" s="1">
        <v>216.88</v>
      </c>
      <c r="G4823" s="1">
        <v>28.23</v>
      </c>
      <c r="H4823">
        <f t="shared" si="75"/>
        <v>1735.04</v>
      </c>
    </row>
    <row r="4824" spans="1:8" x14ac:dyDescent="0.25">
      <c r="A4824" s="1" t="s">
        <v>4837</v>
      </c>
      <c r="B4824" s="5">
        <v>45858.916666666664</v>
      </c>
      <c r="C4824" s="1" t="s">
        <v>13</v>
      </c>
      <c r="D4824" s="1" t="s">
        <v>16</v>
      </c>
      <c r="E4824" s="1">
        <v>7</v>
      </c>
      <c r="F4824" s="1">
        <v>278.66000000000003</v>
      </c>
      <c r="G4824" s="1">
        <v>16.84</v>
      </c>
      <c r="H4824">
        <f t="shared" si="75"/>
        <v>1950.6200000000001</v>
      </c>
    </row>
    <row r="4825" spans="1:8" x14ac:dyDescent="0.25">
      <c r="A4825" s="1" t="s">
        <v>4838</v>
      </c>
      <c r="B4825" s="5">
        <v>45858.958333333336</v>
      </c>
      <c r="C4825" s="1" t="s">
        <v>23</v>
      </c>
      <c r="D4825" s="1" t="s">
        <v>37</v>
      </c>
      <c r="E4825" s="1">
        <v>6</v>
      </c>
      <c r="F4825" s="1">
        <v>228.17</v>
      </c>
      <c r="G4825" s="1">
        <v>34.840000000000003</v>
      </c>
      <c r="H4825">
        <f t="shared" si="75"/>
        <v>1369.02</v>
      </c>
    </row>
    <row r="4826" spans="1:8" x14ac:dyDescent="0.25">
      <c r="A4826" s="1" t="s">
        <v>4839</v>
      </c>
      <c r="B4826" s="5">
        <v>45859</v>
      </c>
      <c r="C4826" s="1" t="s">
        <v>13</v>
      </c>
      <c r="D4826" s="1" t="s">
        <v>19</v>
      </c>
      <c r="E4826" s="1">
        <v>2</v>
      </c>
      <c r="F4826" s="1">
        <v>227.83</v>
      </c>
      <c r="G4826" s="1">
        <v>47.52</v>
      </c>
      <c r="H4826">
        <f t="shared" si="75"/>
        <v>455.66</v>
      </c>
    </row>
    <row r="4827" spans="1:8" x14ac:dyDescent="0.25">
      <c r="A4827" s="1" t="s">
        <v>4840</v>
      </c>
      <c r="B4827" s="5">
        <v>45859.041666666664</v>
      </c>
      <c r="C4827" s="1" t="s">
        <v>23</v>
      </c>
      <c r="D4827" s="1" t="s">
        <v>19</v>
      </c>
      <c r="E4827" s="1">
        <v>13</v>
      </c>
      <c r="F4827" s="1">
        <v>49.18</v>
      </c>
      <c r="G4827" s="1">
        <v>25.26</v>
      </c>
      <c r="H4827">
        <f t="shared" si="75"/>
        <v>639.34</v>
      </c>
    </row>
    <row r="4828" spans="1:8" x14ac:dyDescent="0.25">
      <c r="A4828" s="1" t="s">
        <v>4841</v>
      </c>
      <c r="B4828" s="5">
        <v>45859.083333333336</v>
      </c>
      <c r="C4828" s="1" t="s">
        <v>11</v>
      </c>
      <c r="D4828" s="1" t="s">
        <v>37</v>
      </c>
      <c r="E4828" s="1">
        <v>12</v>
      </c>
      <c r="F4828" s="1">
        <v>98.39</v>
      </c>
      <c r="G4828" s="1">
        <v>38.72</v>
      </c>
      <c r="H4828">
        <f t="shared" si="75"/>
        <v>1180.68</v>
      </c>
    </row>
    <row r="4829" spans="1:8" x14ac:dyDescent="0.25">
      <c r="A4829" s="1" t="s">
        <v>4842</v>
      </c>
      <c r="B4829" s="5">
        <v>45859.125</v>
      </c>
      <c r="C4829" s="1" t="s">
        <v>11</v>
      </c>
      <c r="D4829" s="1" t="s">
        <v>37</v>
      </c>
      <c r="E4829" s="1">
        <v>15</v>
      </c>
      <c r="F4829" s="1">
        <v>154.96</v>
      </c>
      <c r="G4829" s="1">
        <v>34.07</v>
      </c>
      <c r="H4829">
        <f t="shared" si="75"/>
        <v>2324.4</v>
      </c>
    </row>
    <row r="4830" spans="1:8" x14ac:dyDescent="0.25">
      <c r="A4830" s="1" t="s">
        <v>4843</v>
      </c>
      <c r="B4830" s="5">
        <v>45859.166666666664</v>
      </c>
      <c r="C4830" s="1" t="s">
        <v>8</v>
      </c>
      <c r="D4830" s="1" t="s">
        <v>16</v>
      </c>
      <c r="E4830" s="1">
        <v>9</v>
      </c>
      <c r="F4830" s="1">
        <v>197.71</v>
      </c>
      <c r="G4830" s="1">
        <v>26.28</v>
      </c>
      <c r="H4830">
        <f t="shared" si="75"/>
        <v>1779.39</v>
      </c>
    </row>
    <row r="4831" spans="1:8" x14ac:dyDescent="0.25">
      <c r="A4831" s="1" t="s">
        <v>4844</v>
      </c>
      <c r="B4831" s="5">
        <v>45859.208333333336</v>
      </c>
      <c r="C4831" s="1" t="s">
        <v>8</v>
      </c>
      <c r="D4831" s="1" t="s">
        <v>16</v>
      </c>
      <c r="E4831" s="1">
        <v>2</v>
      </c>
      <c r="F4831" s="1">
        <v>273.57</v>
      </c>
      <c r="G4831" s="1">
        <v>7.24</v>
      </c>
      <c r="H4831">
        <f t="shared" si="75"/>
        <v>547.14</v>
      </c>
    </row>
    <row r="4832" spans="1:8" x14ac:dyDescent="0.25">
      <c r="A4832" s="1" t="s">
        <v>4845</v>
      </c>
      <c r="B4832" s="5">
        <v>45859.25</v>
      </c>
      <c r="C4832" s="1" t="s">
        <v>8</v>
      </c>
      <c r="D4832" s="1" t="s">
        <v>19</v>
      </c>
      <c r="E4832" s="1">
        <v>17</v>
      </c>
      <c r="F4832" s="1">
        <v>390.62</v>
      </c>
      <c r="G4832" s="1">
        <v>38.380000000000003</v>
      </c>
      <c r="H4832">
        <f t="shared" si="75"/>
        <v>6640.54</v>
      </c>
    </row>
    <row r="4833" spans="1:8" x14ac:dyDescent="0.25">
      <c r="A4833" s="1" t="s">
        <v>4846</v>
      </c>
      <c r="B4833" s="5">
        <v>45859.291666666664</v>
      </c>
      <c r="C4833" s="1" t="s">
        <v>13</v>
      </c>
      <c r="D4833" s="1" t="s">
        <v>19</v>
      </c>
      <c r="E4833" s="1">
        <v>5</v>
      </c>
      <c r="F4833" s="1">
        <v>84.66</v>
      </c>
      <c r="G4833" s="1">
        <v>21.35</v>
      </c>
      <c r="H4833">
        <f t="shared" si="75"/>
        <v>423.29999999999995</v>
      </c>
    </row>
    <row r="4834" spans="1:8" x14ac:dyDescent="0.25">
      <c r="A4834" s="1" t="s">
        <v>4847</v>
      </c>
      <c r="B4834" s="5">
        <v>45859.333333333336</v>
      </c>
      <c r="C4834" s="1" t="s">
        <v>11</v>
      </c>
      <c r="D4834" s="1" t="s">
        <v>37</v>
      </c>
      <c r="E4834" s="1">
        <v>11</v>
      </c>
      <c r="F4834" s="1">
        <v>22.06</v>
      </c>
      <c r="G4834" s="1">
        <v>15.1</v>
      </c>
      <c r="H4834">
        <f t="shared" si="75"/>
        <v>242.66</v>
      </c>
    </row>
    <row r="4835" spans="1:8" x14ac:dyDescent="0.25">
      <c r="A4835" s="1" t="s">
        <v>4848</v>
      </c>
      <c r="B4835" s="5">
        <v>45859.375</v>
      </c>
      <c r="C4835" s="1" t="s">
        <v>23</v>
      </c>
      <c r="D4835" s="1" t="s">
        <v>19</v>
      </c>
      <c r="E4835" s="1">
        <v>19</v>
      </c>
      <c r="F4835" s="1">
        <v>210.69</v>
      </c>
      <c r="G4835" s="1">
        <v>47.67</v>
      </c>
      <c r="H4835">
        <f t="shared" si="75"/>
        <v>4003.11</v>
      </c>
    </row>
    <row r="4836" spans="1:8" x14ac:dyDescent="0.25">
      <c r="A4836" s="1" t="s">
        <v>4849</v>
      </c>
      <c r="B4836" s="5">
        <v>45859.416666666664</v>
      </c>
      <c r="C4836" s="1" t="s">
        <v>8</v>
      </c>
      <c r="D4836" s="1" t="s">
        <v>19</v>
      </c>
      <c r="E4836" s="1">
        <v>7</v>
      </c>
      <c r="F4836" s="1">
        <v>203.25</v>
      </c>
      <c r="G4836" s="1">
        <v>39.81</v>
      </c>
      <c r="H4836">
        <f t="shared" si="75"/>
        <v>1422.75</v>
      </c>
    </row>
    <row r="4837" spans="1:8" x14ac:dyDescent="0.25">
      <c r="A4837" s="1" t="s">
        <v>4850</v>
      </c>
      <c r="B4837" s="5">
        <v>45859.458333333336</v>
      </c>
      <c r="C4837" s="1" t="s">
        <v>23</v>
      </c>
      <c r="D4837" s="1" t="s">
        <v>37</v>
      </c>
      <c r="E4837" s="1">
        <v>2</v>
      </c>
      <c r="F4837" s="1">
        <v>255.3</v>
      </c>
      <c r="G4837" s="1">
        <v>48.3</v>
      </c>
      <c r="H4837">
        <f t="shared" si="75"/>
        <v>510.6</v>
      </c>
    </row>
    <row r="4838" spans="1:8" x14ac:dyDescent="0.25">
      <c r="A4838" s="1" t="s">
        <v>4851</v>
      </c>
      <c r="B4838" s="5">
        <v>45859.5</v>
      </c>
      <c r="C4838" s="1" t="s">
        <v>23</v>
      </c>
      <c r="D4838" s="1" t="s">
        <v>19</v>
      </c>
      <c r="E4838" s="1">
        <v>16</v>
      </c>
      <c r="F4838" s="1">
        <v>377.53</v>
      </c>
      <c r="G4838" s="1">
        <v>16.53</v>
      </c>
      <c r="H4838">
        <f t="shared" si="75"/>
        <v>6040.48</v>
      </c>
    </row>
    <row r="4839" spans="1:8" x14ac:dyDescent="0.25">
      <c r="A4839" s="1" t="s">
        <v>4852</v>
      </c>
      <c r="B4839" s="5">
        <v>45859.541666666664</v>
      </c>
      <c r="C4839" s="1" t="s">
        <v>8</v>
      </c>
      <c r="D4839" s="1" t="s">
        <v>19</v>
      </c>
      <c r="E4839" s="1">
        <v>12</v>
      </c>
      <c r="F4839" s="1">
        <v>364.13</v>
      </c>
      <c r="G4839" s="1">
        <v>42.61</v>
      </c>
      <c r="H4839">
        <f t="shared" si="75"/>
        <v>4369.5599999999995</v>
      </c>
    </row>
    <row r="4840" spans="1:8" x14ac:dyDescent="0.25">
      <c r="A4840" s="1" t="s">
        <v>4853</v>
      </c>
      <c r="B4840" s="5">
        <v>45859.583333333336</v>
      </c>
      <c r="C4840" s="1" t="s">
        <v>11</v>
      </c>
      <c r="D4840" s="1" t="s">
        <v>9</v>
      </c>
      <c r="E4840" s="1">
        <v>15</v>
      </c>
      <c r="F4840" s="1">
        <v>58.97</v>
      </c>
      <c r="G4840" s="1">
        <v>32.35</v>
      </c>
      <c r="H4840">
        <f t="shared" si="75"/>
        <v>884.55</v>
      </c>
    </row>
    <row r="4841" spans="1:8" x14ac:dyDescent="0.25">
      <c r="A4841" s="1" t="s">
        <v>4854</v>
      </c>
      <c r="B4841" s="5">
        <v>45859.625</v>
      </c>
      <c r="C4841" s="1" t="s">
        <v>8</v>
      </c>
      <c r="D4841" s="1" t="s">
        <v>16</v>
      </c>
      <c r="E4841" s="1">
        <v>1</v>
      </c>
      <c r="F4841" s="1">
        <v>421.32</v>
      </c>
      <c r="G4841" s="1">
        <v>49.17</v>
      </c>
      <c r="H4841">
        <f t="shared" si="75"/>
        <v>421.32</v>
      </c>
    </row>
    <row r="4842" spans="1:8" x14ac:dyDescent="0.25">
      <c r="A4842" s="1" t="s">
        <v>4855</v>
      </c>
      <c r="B4842" s="5">
        <v>45859.666666666664</v>
      </c>
      <c r="C4842" s="1" t="s">
        <v>23</v>
      </c>
      <c r="D4842" s="1" t="s">
        <v>37</v>
      </c>
      <c r="E4842" s="1">
        <v>13</v>
      </c>
      <c r="F4842" s="1">
        <v>63.48</v>
      </c>
      <c r="G4842" s="1">
        <v>47.58</v>
      </c>
      <c r="H4842">
        <f t="shared" si="75"/>
        <v>825.24</v>
      </c>
    </row>
    <row r="4843" spans="1:8" x14ac:dyDescent="0.25">
      <c r="A4843" s="1" t="s">
        <v>4856</v>
      </c>
      <c r="B4843" s="5">
        <v>45859.708333333336</v>
      </c>
      <c r="C4843" s="1" t="s">
        <v>8</v>
      </c>
      <c r="D4843" s="1" t="s">
        <v>9</v>
      </c>
      <c r="E4843" s="1">
        <v>6</v>
      </c>
      <c r="F4843" s="1">
        <v>291.22000000000003</v>
      </c>
      <c r="G4843" s="1">
        <v>48.78</v>
      </c>
      <c r="H4843">
        <f t="shared" si="75"/>
        <v>1747.3200000000002</v>
      </c>
    </row>
    <row r="4844" spans="1:8" x14ac:dyDescent="0.25">
      <c r="A4844" s="1" t="s">
        <v>4857</v>
      </c>
      <c r="B4844" s="5">
        <v>45859.75</v>
      </c>
      <c r="C4844" s="1" t="s">
        <v>23</v>
      </c>
      <c r="D4844" s="1" t="s">
        <v>16</v>
      </c>
      <c r="E4844" s="1">
        <v>13</v>
      </c>
      <c r="F4844" s="1">
        <v>307.66000000000003</v>
      </c>
      <c r="G4844" s="1">
        <v>47.83</v>
      </c>
      <c r="H4844">
        <f t="shared" si="75"/>
        <v>3999.5800000000004</v>
      </c>
    </row>
    <row r="4845" spans="1:8" x14ac:dyDescent="0.25">
      <c r="A4845" s="1" t="s">
        <v>4858</v>
      </c>
      <c r="B4845" s="5">
        <v>45859.791666666664</v>
      </c>
      <c r="C4845" s="1" t="s">
        <v>23</v>
      </c>
      <c r="D4845" s="1" t="s">
        <v>16</v>
      </c>
      <c r="E4845" s="1">
        <v>18</v>
      </c>
      <c r="F4845" s="1">
        <v>310.91000000000003</v>
      </c>
      <c r="G4845" s="1">
        <v>5.34</v>
      </c>
      <c r="H4845">
        <f t="shared" si="75"/>
        <v>5596.38</v>
      </c>
    </row>
    <row r="4846" spans="1:8" x14ac:dyDescent="0.25">
      <c r="A4846" s="1" t="s">
        <v>4859</v>
      </c>
      <c r="B4846" s="5">
        <v>45859.833333333336</v>
      </c>
      <c r="C4846" s="1" t="s">
        <v>8</v>
      </c>
      <c r="D4846" s="1" t="s">
        <v>16</v>
      </c>
      <c r="E4846" s="1">
        <v>3</v>
      </c>
      <c r="F4846" s="1">
        <v>130.80000000000001</v>
      </c>
      <c r="G4846" s="1">
        <v>38.35</v>
      </c>
      <c r="H4846">
        <f t="shared" si="75"/>
        <v>392.40000000000003</v>
      </c>
    </row>
    <row r="4847" spans="1:8" x14ac:dyDescent="0.25">
      <c r="A4847" s="1" t="s">
        <v>4860</v>
      </c>
      <c r="B4847" s="5">
        <v>45859.875</v>
      </c>
      <c r="C4847" s="1" t="s">
        <v>13</v>
      </c>
      <c r="D4847" s="1" t="s">
        <v>9</v>
      </c>
      <c r="E4847" s="1">
        <v>1</v>
      </c>
      <c r="F4847" s="1">
        <v>159.03</v>
      </c>
      <c r="G4847" s="1">
        <v>17.239999999999998</v>
      </c>
      <c r="H4847">
        <f t="shared" si="75"/>
        <v>159.03</v>
      </c>
    </row>
    <row r="4848" spans="1:8" x14ac:dyDescent="0.25">
      <c r="A4848" s="1" t="s">
        <v>4861</v>
      </c>
      <c r="B4848" s="5">
        <v>45859.916666666664</v>
      </c>
      <c r="C4848" s="1" t="s">
        <v>8</v>
      </c>
      <c r="D4848" s="1" t="s">
        <v>9</v>
      </c>
      <c r="E4848" s="1">
        <v>15</v>
      </c>
      <c r="F4848" s="1">
        <v>253.9</v>
      </c>
      <c r="G4848" s="1">
        <v>36.729999999999997</v>
      </c>
      <c r="H4848">
        <f t="shared" si="75"/>
        <v>3808.5</v>
      </c>
    </row>
    <row r="4849" spans="1:8" x14ac:dyDescent="0.25">
      <c r="A4849" s="1" t="s">
        <v>4862</v>
      </c>
      <c r="B4849" s="5">
        <v>45859.958333333336</v>
      </c>
      <c r="C4849" s="1" t="s">
        <v>13</v>
      </c>
      <c r="D4849" s="1" t="s">
        <v>16</v>
      </c>
      <c r="E4849" s="1">
        <v>13</v>
      </c>
      <c r="F4849" s="1">
        <v>102.22</v>
      </c>
      <c r="G4849" s="1">
        <v>49.13</v>
      </c>
      <c r="H4849">
        <f t="shared" si="75"/>
        <v>1328.86</v>
      </c>
    </row>
    <row r="4850" spans="1:8" x14ac:dyDescent="0.25">
      <c r="A4850" s="1" t="s">
        <v>4863</v>
      </c>
      <c r="B4850" s="5">
        <v>45860</v>
      </c>
      <c r="C4850" s="1" t="s">
        <v>23</v>
      </c>
      <c r="D4850" s="1" t="s">
        <v>19</v>
      </c>
      <c r="E4850" s="1">
        <v>5</v>
      </c>
      <c r="F4850" s="1">
        <v>24.32</v>
      </c>
      <c r="G4850" s="1">
        <v>6.77</v>
      </c>
      <c r="H4850">
        <f t="shared" si="75"/>
        <v>121.6</v>
      </c>
    </row>
    <row r="4851" spans="1:8" x14ac:dyDescent="0.25">
      <c r="A4851" s="1" t="s">
        <v>4864</v>
      </c>
      <c r="B4851" s="5">
        <v>45860.041666666664</v>
      </c>
      <c r="C4851" s="1" t="s">
        <v>23</v>
      </c>
      <c r="D4851" s="1" t="s">
        <v>19</v>
      </c>
      <c r="E4851" s="1">
        <v>13</v>
      </c>
      <c r="F4851" s="1">
        <v>259.75</v>
      </c>
      <c r="G4851" s="1">
        <v>30.51</v>
      </c>
      <c r="H4851">
        <f t="shared" si="75"/>
        <v>3376.75</v>
      </c>
    </row>
    <row r="4852" spans="1:8" x14ac:dyDescent="0.25">
      <c r="A4852" s="1" t="s">
        <v>4865</v>
      </c>
      <c r="B4852" s="5">
        <v>45860.083333333336</v>
      </c>
      <c r="C4852" s="1" t="s">
        <v>13</v>
      </c>
      <c r="D4852" s="1" t="s">
        <v>9</v>
      </c>
      <c r="E4852" s="1">
        <v>5</v>
      </c>
      <c r="F4852" s="1">
        <v>217.66</v>
      </c>
      <c r="G4852" s="1">
        <v>38.07</v>
      </c>
      <c r="H4852">
        <f t="shared" si="75"/>
        <v>1088.3</v>
      </c>
    </row>
    <row r="4853" spans="1:8" x14ac:dyDescent="0.25">
      <c r="A4853" s="1" t="s">
        <v>4866</v>
      </c>
      <c r="B4853" s="5">
        <v>45860.125</v>
      </c>
      <c r="C4853" s="1" t="s">
        <v>23</v>
      </c>
      <c r="D4853" s="1" t="s">
        <v>9</v>
      </c>
      <c r="E4853" s="1">
        <v>19</v>
      </c>
      <c r="F4853" s="1">
        <v>300.85000000000002</v>
      </c>
      <c r="G4853" s="1">
        <v>16.399999999999999</v>
      </c>
      <c r="H4853">
        <f t="shared" si="75"/>
        <v>5716.1500000000005</v>
      </c>
    </row>
    <row r="4854" spans="1:8" x14ac:dyDescent="0.25">
      <c r="A4854" s="1" t="s">
        <v>4867</v>
      </c>
      <c r="B4854" s="5">
        <v>45860.166666666664</v>
      </c>
      <c r="C4854" s="1" t="s">
        <v>13</v>
      </c>
      <c r="D4854" s="1" t="s">
        <v>9</v>
      </c>
      <c r="E4854" s="1">
        <v>18</v>
      </c>
      <c r="F4854" s="1">
        <v>79.239999999999995</v>
      </c>
      <c r="G4854" s="1">
        <v>15.13</v>
      </c>
      <c r="H4854">
        <f t="shared" si="75"/>
        <v>1426.32</v>
      </c>
    </row>
    <row r="4855" spans="1:8" x14ac:dyDescent="0.25">
      <c r="A4855" s="1" t="s">
        <v>4868</v>
      </c>
      <c r="B4855" s="5">
        <v>45860.208333333336</v>
      </c>
      <c r="C4855" s="1" t="s">
        <v>13</v>
      </c>
      <c r="D4855" s="1" t="s">
        <v>16</v>
      </c>
      <c r="E4855" s="1">
        <v>10</v>
      </c>
      <c r="F4855" s="1">
        <v>380.88</v>
      </c>
      <c r="G4855" s="1">
        <v>7.72</v>
      </c>
      <c r="H4855">
        <f t="shared" si="75"/>
        <v>3808.8</v>
      </c>
    </row>
    <row r="4856" spans="1:8" x14ac:dyDescent="0.25">
      <c r="A4856" s="1" t="s">
        <v>4869</v>
      </c>
      <c r="B4856" s="5">
        <v>45860.25</v>
      </c>
      <c r="C4856" s="1" t="s">
        <v>23</v>
      </c>
      <c r="D4856" s="1" t="s">
        <v>19</v>
      </c>
      <c r="E4856" s="1">
        <v>8</v>
      </c>
      <c r="F4856" s="1">
        <v>79.03</v>
      </c>
      <c r="G4856" s="1">
        <v>9.23</v>
      </c>
      <c r="H4856">
        <f t="shared" si="75"/>
        <v>632.24</v>
      </c>
    </row>
    <row r="4857" spans="1:8" x14ac:dyDescent="0.25">
      <c r="A4857" s="1" t="s">
        <v>4870</v>
      </c>
      <c r="B4857" s="5">
        <v>45860.291666666664</v>
      </c>
      <c r="C4857" s="1" t="s">
        <v>11</v>
      </c>
      <c r="D4857" s="1" t="s">
        <v>9</v>
      </c>
      <c r="E4857" s="1">
        <v>15</v>
      </c>
      <c r="F4857" s="1">
        <v>402.79</v>
      </c>
      <c r="G4857" s="1">
        <v>34.549999999999997</v>
      </c>
      <c r="H4857">
        <f t="shared" si="75"/>
        <v>6041.85</v>
      </c>
    </row>
    <row r="4858" spans="1:8" x14ac:dyDescent="0.25">
      <c r="A4858" s="1" t="s">
        <v>4871</v>
      </c>
      <c r="B4858" s="5">
        <v>45860.333333333336</v>
      </c>
      <c r="C4858" s="1" t="s">
        <v>13</v>
      </c>
      <c r="D4858" s="1" t="s">
        <v>9</v>
      </c>
      <c r="E4858" s="1">
        <v>4</v>
      </c>
      <c r="F4858" s="1">
        <v>210.82</v>
      </c>
      <c r="G4858" s="1">
        <v>27.73</v>
      </c>
      <c r="H4858">
        <f t="shared" si="75"/>
        <v>843.28</v>
      </c>
    </row>
    <row r="4859" spans="1:8" x14ac:dyDescent="0.25">
      <c r="A4859" s="1" t="s">
        <v>4872</v>
      </c>
      <c r="B4859" s="5">
        <v>45860.375</v>
      </c>
      <c r="C4859" s="1" t="s">
        <v>8</v>
      </c>
      <c r="D4859" s="1" t="s">
        <v>37</v>
      </c>
      <c r="E4859" s="1">
        <v>2</v>
      </c>
      <c r="F4859" s="1">
        <v>254.39</v>
      </c>
      <c r="G4859" s="1">
        <v>6.35</v>
      </c>
      <c r="H4859">
        <f t="shared" si="75"/>
        <v>508.78</v>
      </c>
    </row>
    <row r="4860" spans="1:8" x14ac:dyDescent="0.25">
      <c r="A4860" s="1" t="s">
        <v>4873</v>
      </c>
      <c r="B4860" s="5">
        <v>45860.416666666664</v>
      </c>
      <c r="C4860" s="1" t="s">
        <v>8</v>
      </c>
      <c r="D4860" s="1" t="s">
        <v>16</v>
      </c>
      <c r="E4860" s="1">
        <v>6</v>
      </c>
      <c r="F4860" s="1">
        <v>405.06</v>
      </c>
      <c r="G4860" s="1">
        <v>48.63</v>
      </c>
      <c r="H4860">
        <f t="shared" si="75"/>
        <v>2430.36</v>
      </c>
    </row>
    <row r="4861" spans="1:8" x14ac:dyDescent="0.25">
      <c r="A4861" s="1" t="s">
        <v>4874</v>
      </c>
      <c r="B4861" s="5">
        <v>45860.458333333336</v>
      </c>
      <c r="C4861" s="1" t="s">
        <v>23</v>
      </c>
      <c r="D4861" s="1" t="s">
        <v>37</v>
      </c>
      <c r="E4861" s="1">
        <v>3</v>
      </c>
      <c r="F4861" s="1">
        <v>145.81</v>
      </c>
      <c r="G4861" s="1">
        <v>34.520000000000003</v>
      </c>
      <c r="H4861">
        <f t="shared" si="75"/>
        <v>437.43</v>
      </c>
    </row>
    <row r="4862" spans="1:8" x14ac:dyDescent="0.25">
      <c r="A4862" s="1" t="s">
        <v>4875</v>
      </c>
      <c r="B4862" s="5">
        <v>45860.5</v>
      </c>
      <c r="C4862" s="1" t="s">
        <v>11</v>
      </c>
      <c r="D4862" s="1" t="s">
        <v>19</v>
      </c>
      <c r="E4862" s="1">
        <v>7</v>
      </c>
      <c r="F4862" s="1">
        <v>94.5</v>
      </c>
      <c r="G4862" s="1">
        <v>28.2</v>
      </c>
      <c r="H4862">
        <f t="shared" si="75"/>
        <v>661.5</v>
      </c>
    </row>
    <row r="4863" spans="1:8" x14ac:dyDescent="0.25">
      <c r="A4863" s="1" t="s">
        <v>4876</v>
      </c>
      <c r="B4863" s="5">
        <v>45860.541666666664</v>
      </c>
      <c r="C4863" s="1" t="s">
        <v>23</v>
      </c>
      <c r="D4863" s="1" t="s">
        <v>37</v>
      </c>
      <c r="E4863" s="1">
        <v>10</v>
      </c>
      <c r="F4863" s="1">
        <v>209.18</v>
      </c>
      <c r="G4863" s="1">
        <v>17.27</v>
      </c>
      <c r="H4863">
        <f t="shared" si="75"/>
        <v>2091.8000000000002</v>
      </c>
    </row>
    <row r="4864" spans="1:8" x14ac:dyDescent="0.25">
      <c r="A4864" s="1" t="s">
        <v>4877</v>
      </c>
      <c r="B4864" s="5">
        <v>45860.583333333336</v>
      </c>
      <c r="C4864" s="1" t="s">
        <v>11</v>
      </c>
      <c r="D4864" s="1" t="s">
        <v>37</v>
      </c>
      <c r="E4864" s="1">
        <v>6</v>
      </c>
      <c r="F4864" s="1">
        <v>121.68</v>
      </c>
      <c r="G4864" s="1">
        <v>34.61</v>
      </c>
      <c r="H4864">
        <f t="shared" si="75"/>
        <v>730.08</v>
      </c>
    </row>
    <row r="4865" spans="1:8" x14ac:dyDescent="0.25">
      <c r="A4865" s="1" t="s">
        <v>4878</v>
      </c>
      <c r="B4865" s="5">
        <v>45860.625</v>
      </c>
      <c r="C4865" s="1" t="s">
        <v>13</v>
      </c>
      <c r="D4865" s="1" t="s">
        <v>37</v>
      </c>
      <c r="E4865" s="1">
        <v>16</v>
      </c>
      <c r="F4865" s="1">
        <v>244.85</v>
      </c>
      <c r="G4865" s="1">
        <v>21.39</v>
      </c>
      <c r="H4865">
        <f t="shared" si="75"/>
        <v>3917.6</v>
      </c>
    </row>
    <row r="4866" spans="1:8" x14ac:dyDescent="0.25">
      <c r="A4866" s="1" t="s">
        <v>4879</v>
      </c>
      <c r="B4866" s="5">
        <v>45860.666666666664</v>
      </c>
      <c r="C4866" s="1" t="s">
        <v>13</v>
      </c>
      <c r="D4866" s="1" t="s">
        <v>16</v>
      </c>
      <c r="E4866" s="1">
        <v>2</v>
      </c>
      <c r="F4866" s="1">
        <v>135.1</v>
      </c>
      <c r="G4866" s="1">
        <v>36.61</v>
      </c>
      <c r="H4866">
        <f t="shared" ref="H4866:H4929" si="76">E4866*F4866</f>
        <v>270.2</v>
      </c>
    </row>
    <row r="4867" spans="1:8" x14ac:dyDescent="0.25">
      <c r="A4867" s="1" t="s">
        <v>4880</v>
      </c>
      <c r="B4867" s="5">
        <v>45860.708333333336</v>
      </c>
      <c r="C4867" s="1" t="s">
        <v>13</v>
      </c>
      <c r="D4867" s="1" t="s">
        <v>19</v>
      </c>
      <c r="E4867" s="1">
        <v>17</v>
      </c>
      <c r="F4867" s="1">
        <v>391.12</v>
      </c>
      <c r="G4867" s="1">
        <v>35.72</v>
      </c>
      <c r="H4867">
        <f t="shared" si="76"/>
        <v>6649.04</v>
      </c>
    </row>
    <row r="4868" spans="1:8" x14ac:dyDescent="0.25">
      <c r="A4868" s="1" t="s">
        <v>4881</v>
      </c>
      <c r="B4868" s="5">
        <v>45860.75</v>
      </c>
      <c r="C4868" s="1" t="s">
        <v>13</v>
      </c>
      <c r="D4868" s="1" t="s">
        <v>37</v>
      </c>
      <c r="E4868" s="1">
        <v>13</v>
      </c>
      <c r="F4868" s="1">
        <v>279.38</v>
      </c>
      <c r="G4868" s="1">
        <v>9.17</v>
      </c>
      <c r="H4868">
        <f t="shared" si="76"/>
        <v>3631.94</v>
      </c>
    </row>
    <row r="4869" spans="1:8" x14ac:dyDescent="0.25">
      <c r="A4869" s="1" t="s">
        <v>4882</v>
      </c>
      <c r="B4869" s="5">
        <v>45860.791666666664</v>
      </c>
      <c r="C4869" s="1" t="s">
        <v>8</v>
      </c>
      <c r="D4869" s="1" t="s">
        <v>16</v>
      </c>
      <c r="E4869" s="1">
        <v>1</v>
      </c>
      <c r="F4869" s="1">
        <v>15.6</v>
      </c>
      <c r="G4869" s="1">
        <v>45.92</v>
      </c>
      <c r="H4869">
        <f t="shared" si="76"/>
        <v>15.6</v>
      </c>
    </row>
    <row r="4870" spans="1:8" x14ac:dyDescent="0.25">
      <c r="A4870" s="1" t="s">
        <v>4883</v>
      </c>
      <c r="B4870" s="5">
        <v>45860.833333333336</v>
      </c>
      <c r="C4870" s="1" t="s">
        <v>8</v>
      </c>
      <c r="D4870" s="1" t="s">
        <v>19</v>
      </c>
      <c r="E4870" s="1">
        <v>6</v>
      </c>
      <c r="F4870" s="1">
        <v>365.48</v>
      </c>
      <c r="G4870" s="1">
        <v>26.91</v>
      </c>
      <c r="H4870">
        <f t="shared" si="76"/>
        <v>2192.88</v>
      </c>
    </row>
    <row r="4871" spans="1:8" x14ac:dyDescent="0.25">
      <c r="A4871" s="1" t="s">
        <v>4884</v>
      </c>
      <c r="B4871" s="5">
        <v>45860.875</v>
      </c>
      <c r="C4871" s="1" t="s">
        <v>23</v>
      </c>
      <c r="D4871" s="1" t="s">
        <v>9</v>
      </c>
      <c r="E4871" s="1">
        <v>5</v>
      </c>
      <c r="F4871" s="1">
        <v>158.97999999999999</v>
      </c>
      <c r="G4871" s="1">
        <v>22.68</v>
      </c>
      <c r="H4871">
        <f t="shared" si="76"/>
        <v>794.9</v>
      </c>
    </row>
    <row r="4872" spans="1:8" x14ac:dyDescent="0.25">
      <c r="A4872" s="1" t="s">
        <v>4885</v>
      </c>
      <c r="B4872" s="5">
        <v>45860.916666666664</v>
      </c>
      <c r="C4872" s="1" t="s">
        <v>11</v>
      </c>
      <c r="D4872" s="1" t="s">
        <v>37</v>
      </c>
      <c r="E4872" s="1">
        <v>13</v>
      </c>
      <c r="F4872" s="1">
        <v>154.63</v>
      </c>
      <c r="G4872" s="1">
        <v>48</v>
      </c>
      <c r="H4872">
        <f t="shared" si="76"/>
        <v>2010.19</v>
      </c>
    </row>
    <row r="4873" spans="1:8" x14ac:dyDescent="0.25">
      <c r="A4873" s="1" t="s">
        <v>4886</v>
      </c>
      <c r="B4873" s="5">
        <v>45860.958333333336</v>
      </c>
      <c r="C4873" s="1" t="s">
        <v>13</v>
      </c>
      <c r="D4873" s="1" t="s">
        <v>19</v>
      </c>
      <c r="E4873" s="1">
        <v>18</v>
      </c>
      <c r="F4873" s="1">
        <v>181.94</v>
      </c>
      <c r="G4873" s="1">
        <v>24.72</v>
      </c>
      <c r="H4873">
        <f t="shared" si="76"/>
        <v>3274.92</v>
      </c>
    </row>
    <row r="4874" spans="1:8" x14ac:dyDescent="0.25">
      <c r="A4874" s="1" t="s">
        <v>4887</v>
      </c>
      <c r="B4874" s="5">
        <v>45861</v>
      </c>
      <c r="C4874" s="1" t="s">
        <v>13</v>
      </c>
      <c r="D4874" s="1" t="s">
        <v>37</v>
      </c>
      <c r="E4874" s="1">
        <v>12</v>
      </c>
      <c r="F4874" s="1">
        <v>289.35000000000002</v>
      </c>
      <c r="G4874" s="1">
        <v>37.450000000000003</v>
      </c>
      <c r="H4874">
        <f t="shared" si="76"/>
        <v>3472.2000000000003</v>
      </c>
    </row>
    <row r="4875" spans="1:8" x14ac:dyDescent="0.25">
      <c r="A4875" s="1" t="s">
        <v>4888</v>
      </c>
      <c r="B4875" s="5">
        <v>45861.041666666664</v>
      </c>
      <c r="C4875" s="1" t="s">
        <v>11</v>
      </c>
      <c r="D4875" s="1" t="s">
        <v>9</v>
      </c>
      <c r="E4875" s="1">
        <v>7</v>
      </c>
      <c r="F4875" s="1">
        <v>207.58</v>
      </c>
      <c r="G4875" s="1">
        <v>34.479999999999997</v>
      </c>
      <c r="H4875">
        <f t="shared" si="76"/>
        <v>1453.0600000000002</v>
      </c>
    </row>
    <row r="4876" spans="1:8" x14ac:dyDescent="0.25">
      <c r="A4876" s="1" t="s">
        <v>4889</v>
      </c>
      <c r="B4876" s="5">
        <v>45861.083333333336</v>
      </c>
      <c r="C4876" s="1" t="s">
        <v>11</v>
      </c>
      <c r="D4876" s="1" t="s">
        <v>19</v>
      </c>
      <c r="E4876" s="1">
        <v>15</v>
      </c>
      <c r="F4876" s="1">
        <v>288.64</v>
      </c>
      <c r="G4876" s="1">
        <v>12.43</v>
      </c>
      <c r="H4876">
        <f t="shared" si="76"/>
        <v>4329.5999999999995</v>
      </c>
    </row>
    <row r="4877" spans="1:8" x14ac:dyDescent="0.25">
      <c r="A4877" s="1" t="s">
        <v>4890</v>
      </c>
      <c r="B4877" s="5">
        <v>45861.125</v>
      </c>
      <c r="C4877" s="1" t="s">
        <v>23</v>
      </c>
      <c r="D4877" s="1" t="s">
        <v>16</v>
      </c>
      <c r="E4877" s="1">
        <v>3</v>
      </c>
      <c r="F4877" s="1">
        <v>79.28</v>
      </c>
      <c r="G4877" s="1">
        <v>49.6</v>
      </c>
      <c r="H4877">
        <f t="shared" si="76"/>
        <v>237.84</v>
      </c>
    </row>
    <row r="4878" spans="1:8" x14ac:dyDescent="0.25">
      <c r="A4878" s="1" t="s">
        <v>4891</v>
      </c>
      <c r="B4878" s="5">
        <v>45861.166666666664</v>
      </c>
      <c r="C4878" s="1" t="s">
        <v>11</v>
      </c>
      <c r="D4878" s="1" t="s">
        <v>19</v>
      </c>
      <c r="E4878" s="1">
        <v>16</v>
      </c>
      <c r="F4878" s="1">
        <v>437.04</v>
      </c>
      <c r="G4878" s="1">
        <v>25.86</v>
      </c>
      <c r="H4878">
        <f t="shared" si="76"/>
        <v>6992.64</v>
      </c>
    </row>
    <row r="4879" spans="1:8" x14ac:dyDescent="0.25">
      <c r="A4879" s="1" t="s">
        <v>4892</v>
      </c>
      <c r="B4879" s="5">
        <v>45861.208333333336</v>
      </c>
      <c r="C4879" s="1" t="s">
        <v>13</v>
      </c>
      <c r="D4879" s="1" t="s">
        <v>16</v>
      </c>
      <c r="E4879" s="1">
        <v>1</v>
      </c>
      <c r="F4879" s="1">
        <v>332.51</v>
      </c>
      <c r="G4879" s="1">
        <v>22.77</v>
      </c>
      <c r="H4879">
        <f t="shared" si="76"/>
        <v>332.51</v>
      </c>
    </row>
    <row r="4880" spans="1:8" x14ac:dyDescent="0.25">
      <c r="A4880" s="1" t="s">
        <v>4893</v>
      </c>
      <c r="B4880" s="5">
        <v>45861.25</v>
      </c>
      <c r="C4880" s="1" t="s">
        <v>13</v>
      </c>
      <c r="D4880" s="1" t="s">
        <v>19</v>
      </c>
      <c r="E4880" s="1">
        <v>16</v>
      </c>
      <c r="F4880" s="1">
        <v>124.21</v>
      </c>
      <c r="G4880" s="1">
        <v>46.38</v>
      </c>
      <c r="H4880">
        <f t="shared" si="76"/>
        <v>1987.36</v>
      </c>
    </row>
    <row r="4881" spans="1:8" x14ac:dyDescent="0.25">
      <c r="A4881" s="1" t="s">
        <v>4894</v>
      </c>
      <c r="B4881" s="5">
        <v>45861.291666666664</v>
      </c>
      <c r="C4881" s="1" t="s">
        <v>13</v>
      </c>
      <c r="D4881" s="1" t="s">
        <v>16</v>
      </c>
      <c r="E4881" s="1">
        <v>12</v>
      </c>
      <c r="F4881" s="1">
        <v>330.15</v>
      </c>
      <c r="G4881" s="1">
        <v>28.82</v>
      </c>
      <c r="H4881">
        <f t="shared" si="76"/>
        <v>3961.7999999999997</v>
      </c>
    </row>
    <row r="4882" spans="1:8" x14ac:dyDescent="0.25">
      <c r="A4882" s="1" t="s">
        <v>4895</v>
      </c>
      <c r="B4882" s="5">
        <v>45861.333333333336</v>
      </c>
      <c r="C4882" s="1" t="s">
        <v>13</v>
      </c>
      <c r="D4882" s="1" t="s">
        <v>9</v>
      </c>
      <c r="E4882" s="1">
        <v>19</v>
      </c>
      <c r="F4882" s="1">
        <v>265.35000000000002</v>
      </c>
      <c r="G4882" s="1">
        <v>36.729999999999997</v>
      </c>
      <c r="H4882">
        <f t="shared" si="76"/>
        <v>5041.6500000000005</v>
      </c>
    </row>
    <row r="4883" spans="1:8" x14ac:dyDescent="0.25">
      <c r="A4883" s="1" t="s">
        <v>4896</v>
      </c>
      <c r="B4883" s="5">
        <v>45861.375</v>
      </c>
      <c r="C4883" s="1" t="s">
        <v>13</v>
      </c>
      <c r="D4883" s="1" t="s">
        <v>9</v>
      </c>
      <c r="E4883" s="1">
        <v>8</v>
      </c>
      <c r="F4883" s="1">
        <v>62.94</v>
      </c>
      <c r="G4883" s="1">
        <v>43.08</v>
      </c>
      <c r="H4883">
        <f t="shared" si="76"/>
        <v>503.52</v>
      </c>
    </row>
    <row r="4884" spans="1:8" x14ac:dyDescent="0.25">
      <c r="A4884" s="1" t="s">
        <v>4897</v>
      </c>
      <c r="B4884" s="5">
        <v>45861.416666666664</v>
      </c>
      <c r="C4884" s="1" t="s">
        <v>23</v>
      </c>
      <c r="D4884" s="1" t="s">
        <v>9</v>
      </c>
      <c r="E4884" s="1">
        <v>12</v>
      </c>
      <c r="F4884" s="1">
        <v>92.93</v>
      </c>
      <c r="G4884" s="1">
        <v>15.6</v>
      </c>
      <c r="H4884">
        <f t="shared" si="76"/>
        <v>1115.1600000000001</v>
      </c>
    </row>
    <row r="4885" spans="1:8" x14ac:dyDescent="0.25">
      <c r="A4885" s="1" t="s">
        <v>4898</v>
      </c>
      <c r="B4885" s="5">
        <v>45861.458333333336</v>
      </c>
      <c r="C4885" s="1" t="s">
        <v>13</v>
      </c>
      <c r="D4885" s="1" t="s">
        <v>19</v>
      </c>
      <c r="E4885" s="1">
        <v>15</v>
      </c>
      <c r="F4885" s="1">
        <v>33.450000000000003</v>
      </c>
      <c r="G4885" s="1">
        <v>12.63</v>
      </c>
      <c r="H4885">
        <f t="shared" si="76"/>
        <v>501.75000000000006</v>
      </c>
    </row>
    <row r="4886" spans="1:8" x14ac:dyDescent="0.25">
      <c r="A4886" s="1" t="s">
        <v>4899</v>
      </c>
      <c r="B4886" s="5">
        <v>45861.5</v>
      </c>
      <c r="C4886" s="1" t="s">
        <v>23</v>
      </c>
      <c r="D4886" s="1" t="s">
        <v>9</v>
      </c>
      <c r="E4886" s="1">
        <v>2</v>
      </c>
      <c r="F4886" s="1">
        <v>367.11</v>
      </c>
      <c r="G4886" s="1">
        <v>8.08</v>
      </c>
      <c r="H4886">
        <f t="shared" si="76"/>
        <v>734.22</v>
      </c>
    </row>
    <row r="4887" spans="1:8" x14ac:dyDescent="0.25">
      <c r="A4887" s="1" t="s">
        <v>4900</v>
      </c>
      <c r="B4887" s="5">
        <v>45861.541666666664</v>
      </c>
      <c r="C4887" s="1" t="s">
        <v>13</v>
      </c>
      <c r="D4887" s="1" t="s">
        <v>37</v>
      </c>
      <c r="E4887" s="1">
        <v>17</v>
      </c>
      <c r="F4887" s="1">
        <v>255.22</v>
      </c>
      <c r="G4887" s="1">
        <v>45.37</v>
      </c>
      <c r="H4887">
        <f t="shared" si="76"/>
        <v>4338.74</v>
      </c>
    </row>
    <row r="4888" spans="1:8" x14ac:dyDescent="0.25">
      <c r="A4888" s="1" t="s">
        <v>4901</v>
      </c>
      <c r="B4888" s="5">
        <v>45861.583333333336</v>
      </c>
      <c r="C4888" s="1" t="s">
        <v>8</v>
      </c>
      <c r="D4888" s="1" t="s">
        <v>9</v>
      </c>
      <c r="E4888" s="1">
        <v>7</v>
      </c>
      <c r="F4888" s="1">
        <v>153.13</v>
      </c>
      <c r="G4888" s="1">
        <v>14.02</v>
      </c>
      <c r="H4888">
        <f t="shared" si="76"/>
        <v>1071.9099999999999</v>
      </c>
    </row>
    <row r="4889" spans="1:8" x14ac:dyDescent="0.25">
      <c r="A4889" s="1" t="s">
        <v>4902</v>
      </c>
      <c r="B4889" s="5">
        <v>45861.625</v>
      </c>
      <c r="C4889" s="1" t="s">
        <v>8</v>
      </c>
      <c r="D4889" s="1" t="s">
        <v>16</v>
      </c>
      <c r="E4889" s="1">
        <v>13</v>
      </c>
      <c r="F4889" s="1">
        <v>70.400000000000006</v>
      </c>
      <c r="G4889" s="1">
        <v>18.850000000000001</v>
      </c>
      <c r="H4889">
        <f t="shared" si="76"/>
        <v>915.2</v>
      </c>
    </row>
    <row r="4890" spans="1:8" x14ac:dyDescent="0.25">
      <c r="A4890" s="1" t="s">
        <v>4903</v>
      </c>
      <c r="B4890" s="5">
        <v>45861.666666666664</v>
      </c>
      <c r="C4890" s="1" t="s">
        <v>8</v>
      </c>
      <c r="D4890" s="1" t="s">
        <v>16</v>
      </c>
      <c r="E4890" s="1">
        <v>1</v>
      </c>
      <c r="F4890" s="1">
        <v>225.82</v>
      </c>
      <c r="G4890" s="1">
        <v>17.86</v>
      </c>
      <c r="H4890">
        <f t="shared" si="76"/>
        <v>225.82</v>
      </c>
    </row>
    <row r="4891" spans="1:8" x14ac:dyDescent="0.25">
      <c r="A4891" s="1" t="s">
        <v>4904</v>
      </c>
      <c r="B4891" s="5">
        <v>45861.708333333336</v>
      </c>
      <c r="C4891" s="1" t="s">
        <v>8</v>
      </c>
      <c r="D4891" s="1" t="s">
        <v>16</v>
      </c>
      <c r="E4891" s="1">
        <v>6</v>
      </c>
      <c r="F4891" s="1">
        <v>243.73</v>
      </c>
      <c r="G4891" s="1">
        <v>18.71</v>
      </c>
      <c r="H4891">
        <f t="shared" si="76"/>
        <v>1462.3799999999999</v>
      </c>
    </row>
    <row r="4892" spans="1:8" x14ac:dyDescent="0.25">
      <c r="A4892" s="1" t="s">
        <v>4905</v>
      </c>
      <c r="B4892" s="5">
        <v>45861.75</v>
      </c>
      <c r="C4892" s="1" t="s">
        <v>23</v>
      </c>
      <c r="D4892" s="1" t="s">
        <v>19</v>
      </c>
      <c r="E4892" s="1">
        <v>13</v>
      </c>
      <c r="F4892" s="1">
        <v>320.5</v>
      </c>
      <c r="G4892" s="1">
        <v>35.06</v>
      </c>
      <c r="H4892">
        <f t="shared" si="76"/>
        <v>4166.5</v>
      </c>
    </row>
    <row r="4893" spans="1:8" x14ac:dyDescent="0.25">
      <c r="A4893" s="1" t="s">
        <v>4906</v>
      </c>
      <c r="B4893" s="5">
        <v>45861.791666666664</v>
      </c>
      <c r="C4893" s="1" t="s">
        <v>23</v>
      </c>
      <c r="D4893" s="1" t="s">
        <v>37</v>
      </c>
      <c r="E4893" s="1">
        <v>11</v>
      </c>
      <c r="F4893" s="1">
        <v>436.94</v>
      </c>
      <c r="G4893" s="1">
        <v>47.94</v>
      </c>
      <c r="H4893">
        <f t="shared" si="76"/>
        <v>4806.34</v>
      </c>
    </row>
    <row r="4894" spans="1:8" x14ac:dyDescent="0.25">
      <c r="A4894" s="1" t="s">
        <v>4907</v>
      </c>
      <c r="B4894" s="5">
        <v>45861.833333333336</v>
      </c>
      <c r="C4894" s="1" t="s">
        <v>11</v>
      </c>
      <c r="D4894" s="1" t="s">
        <v>9</v>
      </c>
      <c r="E4894" s="1">
        <v>10</v>
      </c>
      <c r="F4894" s="1">
        <v>204.48</v>
      </c>
      <c r="G4894" s="1">
        <v>19.829999999999998</v>
      </c>
      <c r="H4894">
        <f t="shared" si="76"/>
        <v>2044.8</v>
      </c>
    </row>
    <row r="4895" spans="1:8" x14ac:dyDescent="0.25">
      <c r="A4895" s="1" t="s">
        <v>4908</v>
      </c>
      <c r="B4895" s="5">
        <v>45861.875</v>
      </c>
      <c r="C4895" s="1" t="s">
        <v>13</v>
      </c>
      <c r="D4895" s="1" t="s">
        <v>37</v>
      </c>
      <c r="E4895" s="1">
        <v>16</v>
      </c>
      <c r="F4895" s="1">
        <v>191.92</v>
      </c>
      <c r="G4895" s="1">
        <v>23.34</v>
      </c>
      <c r="H4895">
        <f t="shared" si="76"/>
        <v>3070.72</v>
      </c>
    </row>
    <row r="4896" spans="1:8" x14ac:dyDescent="0.25">
      <c r="A4896" s="1" t="s">
        <v>4909</v>
      </c>
      <c r="B4896" s="5">
        <v>45861.916666666664</v>
      </c>
      <c r="C4896" s="1" t="s">
        <v>8</v>
      </c>
      <c r="D4896" s="1" t="s">
        <v>37</v>
      </c>
      <c r="E4896" s="1">
        <v>17</v>
      </c>
      <c r="F4896" s="1">
        <v>176.23</v>
      </c>
      <c r="G4896" s="1">
        <v>39.700000000000003</v>
      </c>
      <c r="H4896">
        <f t="shared" si="76"/>
        <v>2995.91</v>
      </c>
    </row>
    <row r="4897" spans="1:8" x14ac:dyDescent="0.25">
      <c r="A4897" s="1" t="s">
        <v>4910</v>
      </c>
      <c r="B4897" s="5">
        <v>45861.958333333336</v>
      </c>
      <c r="C4897" s="1" t="s">
        <v>23</v>
      </c>
      <c r="D4897" s="1" t="s">
        <v>16</v>
      </c>
      <c r="E4897" s="1">
        <v>17</v>
      </c>
      <c r="F4897" s="1">
        <v>374.8</v>
      </c>
      <c r="G4897" s="1">
        <v>24.46</v>
      </c>
      <c r="H4897">
        <f t="shared" si="76"/>
        <v>6371.6</v>
      </c>
    </row>
    <row r="4898" spans="1:8" x14ac:dyDescent="0.25">
      <c r="A4898" s="1" t="s">
        <v>4911</v>
      </c>
      <c r="B4898" s="5">
        <v>45862</v>
      </c>
      <c r="C4898" s="1" t="s">
        <v>13</v>
      </c>
      <c r="D4898" s="1" t="s">
        <v>16</v>
      </c>
      <c r="E4898" s="1">
        <v>4</v>
      </c>
      <c r="F4898" s="1">
        <v>83.42</v>
      </c>
      <c r="G4898" s="1">
        <v>46.67</v>
      </c>
      <c r="H4898">
        <f t="shared" si="76"/>
        <v>333.68</v>
      </c>
    </row>
    <row r="4899" spans="1:8" x14ac:dyDescent="0.25">
      <c r="A4899" s="1" t="s">
        <v>4912</v>
      </c>
      <c r="B4899" s="5">
        <v>45862.041666666664</v>
      </c>
      <c r="C4899" s="1" t="s">
        <v>13</v>
      </c>
      <c r="D4899" s="1" t="s">
        <v>16</v>
      </c>
      <c r="E4899" s="1">
        <v>5</v>
      </c>
      <c r="F4899" s="1">
        <v>164.89</v>
      </c>
      <c r="G4899" s="1">
        <v>27.64</v>
      </c>
      <c r="H4899">
        <f t="shared" si="76"/>
        <v>824.44999999999993</v>
      </c>
    </row>
    <row r="4900" spans="1:8" x14ac:dyDescent="0.25">
      <c r="A4900" s="1" t="s">
        <v>4913</v>
      </c>
      <c r="B4900" s="5">
        <v>45862.083333333336</v>
      </c>
      <c r="C4900" s="1" t="s">
        <v>23</v>
      </c>
      <c r="D4900" s="1" t="s">
        <v>19</v>
      </c>
      <c r="E4900" s="1">
        <v>14</v>
      </c>
      <c r="F4900" s="1">
        <v>330.5</v>
      </c>
      <c r="G4900" s="1">
        <v>20.65</v>
      </c>
      <c r="H4900">
        <f t="shared" si="76"/>
        <v>4627</v>
      </c>
    </row>
    <row r="4901" spans="1:8" x14ac:dyDescent="0.25">
      <c r="A4901" s="1" t="s">
        <v>4914</v>
      </c>
      <c r="B4901" s="5">
        <v>45862.125</v>
      </c>
      <c r="C4901" s="1" t="s">
        <v>8</v>
      </c>
      <c r="D4901" s="1" t="s">
        <v>37</v>
      </c>
      <c r="E4901" s="1">
        <v>10</v>
      </c>
      <c r="F4901" s="1">
        <v>22.32</v>
      </c>
      <c r="G4901" s="1">
        <v>48.72</v>
      </c>
      <c r="H4901">
        <f t="shared" si="76"/>
        <v>223.2</v>
      </c>
    </row>
    <row r="4902" spans="1:8" x14ac:dyDescent="0.25">
      <c r="A4902" s="1" t="s">
        <v>4915</v>
      </c>
      <c r="B4902" s="5">
        <v>45862.166666666664</v>
      </c>
      <c r="C4902" s="1" t="s">
        <v>11</v>
      </c>
      <c r="D4902" s="1" t="s">
        <v>37</v>
      </c>
      <c r="E4902" s="1">
        <v>14</v>
      </c>
      <c r="F4902" s="1">
        <v>141.24</v>
      </c>
      <c r="G4902" s="1">
        <v>24.16</v>
      </c>
      <c r="H4902">
        <f t="shared" si="76"/>
        <v>1977.3600000000001</v>
      </c>
    </row>
    <row r="4903" spans="1:8" x14ac:dyDescent="0.25">
      <c r="A4903" s="1" t="s">
        <v>4916</v>
      </c>
      <c r="B4903" s="5">
        <v>45862.208333333336</v>
      </c>
      <c r="C4903" s="1" t="s">
        <v>13</v>
      </c>
      <c r="D4903" s="1" t="s">
        <v>19</v>
      </c>
      <c r="E4903" s="1">
        <v>1</v>
      </c>
      <c r="F4903" s="1">
        <v>294.20999999999998</v>
      </c>
      <c r="G4903" s="1">
        <v>15.4</v>
      </c>
      <c r="H4903">
        <f t="shared" si="76"/>
        <v>294.20999999999998</v>
      </c>
    </row>
    <row r="4904" spans="1:8" x14ac:dyDescent="0.25">
      <c r="A4904" s="1" t="s">
        <v>4917</v>
      </c>
      <c r="B4904" s="5">
        <v>45862.25</v>
      </c>
      <c r="C4904" s="1" t="s">
        <v>11</v>
      </c>
      <c r="D4904" s="1" t="s">
        <v>19</v>
      </c>
      <c r="E4904" s="1">
        <v>11</v>
      </c>
      <c r="F4904" s="1">
        <v>96.3</v>
      </c>
      <c r="G4904" s="1">
        <v>13</v>
      </c>
      <c r="H4904">
        <f t="shared" si="76"/>
        <v>1059.3</v>
      </c>
    </row>
    <row r="4905" spans="1:8" x14ac:dyDescent="0.25">
      <c r="A4905" s="1" t="s">
        <v>4918</v>
      </c>
      <c r="B4905" s="5">
        <v>45862.291666666664</v>
      </c>
      <c r="C4905" s="1" t="s">
        <v>8</v>
      </c>
      <c r="D4905" s="1" t="s">
        <v>19</v>
      </c>
      <c r="E4905" s="1">
        <v>18</v>
      </c>
      <c r="F4905" s="1">
        <v>147.03</v>
      </c>
      <c r="G4905" s="1">
        <v>49.78</v>
      </c>
      <c r="H4905">
        <f t="shared" si="76"/>
        <v>2646.54</v>
      </c>
    </row>
    <row r="4906" spans="1:8" x14ac:dyDescent="0.25">
      <c r="A4906" s="1" t="s">
        <v>4919</v>
      </c>
      <c r="B4906" s="5">
        <v>45862.333333333336</v>
      </c>
      <c r="C4906" s="1" t="s">
        <v>8</v>
      </c>
      <c r="D4906" s="1" t="s">
        <v>37</v>
      </c>
      <c r="E4906" s="1">
        <v>16</v>
      </c>
      <c r="F4906" s="1">
        <v>226.69</v>
      </c>
      <c r="G4906" s="1">
        <v>38.880000000000003</v>
      </c>
      <c r="H4906">
        <f t="shared" si="76"/>
        <v>3627.04</v>
      </c>
    </row>
    <row r="4907" spans="1:8" x14ac:dyDescent="0.25">
      <c r="A4907" s="1" t="s">
        <v>4920</v>
      </c>
      <c r="B4907" s="5">
        <v>45862.375</v>
      </c>
      <c r="C4907" s="1" t="s">
        <v>11</v>
      </c>
      <c r="D4907" s="1" t="s">
        <v>37</v>
      </c>
      <c r="E4907" s="1">
        <v>18</v>
      </c>
      <c r="F4907" s="1">
        <v>198.87</v>
      </c>
      <c r="G4907" s="1">
        <v>23.39</v>
      </c>
      <c r="H4907">
        <f t="shared" si="76"/>
        <v>3579.66</v>
      </c>
    </row>
    <row r="4908" spans="1:8" x14ac:dyDescent="0.25">
      <c r="A4908" s="1" t="s">
        <v>4921</v>
      </c>
      <c r="B4908" s="5">
        <v>45862.416666666664</v>
      </c>
      <c r="C4908" s="1" t="s">
        <v>8</v>
      </c>
      <c r="D4908" s="1" t="s">
        <v>16</v>
      </c>
      <c r="E4908" s="1">
        <v>8</v>
      </c>
      <c r="F4908" s="1">
        <v>61.57</v>
      </c>
      <c r="G4908" s="1">
        <v>42.19</v>
      </c>
      <c r="H4908">
        <f t="shared" si="76"/>
        <v>492.56</v>
      </c>
    </row>
    <row r="4909" spans="1:8" x14ac:dyDescent="0.25">
      <c r="A4909" s="1" t="s">
        <v>4922</v>
      </c>
      <c r="B4909" s="5">
        <v>45862.458333333336</v>
      </c>
      <c r="C4909" s="1" t="s">
        <v>13</v>
      </c>
      <c r="D4909" s="1" t="s">
        <v>16</v>
      </c>
      <c r="E4909" s="1">
        <v>10</v>
      </c>
      <c r="F4909" s="1">
        <v>423.16</v>
      </c>
      <c r="G4909" s="1">
        <v>29.61</v>
      </c>
      <c r="H4909">
        <f t="shared" si="76"/>
        <v>4231.6000000000004</v>
      </c>
    </row>
    <row r="4910" spans="1:8" x14ac:dyDescent="0.25">
      <c r="A4910" s="1" t="s">
        <v>4923</v>
      </c>
      <c r="B4910" s="5">
        <v>45862.5</v>
      </c>
      <c r="C4910" s="1" t="s">
        <v>11</v>
      </c>
      <c r="D4910" s="1" t="s">
        <v>37</v>
      </c>
      <c r="E4910" s="1">
        <v>10</v>
      </c>
      <c r="F4910" s="1">
        <v>34.75</v>
      </c>
      <c r="G4910" s="1">
        <v>19.28</v>
      </c>
      <c r="H4910">
        <f t="shared" si="76"/>
        <v>347.5</v>
      </c>
    </row>
    <row r="4911" spans="1:8" x14ac:dyDescent="0.25">
      <c r="A4911" s="1" t="s">
        <v>4924</v>
      </c>
      <c r="B4911" s="5">
        <v>45862.541666666664</v>
      </c>
      <c r="C4911" s="1" t="s">
        <v>8</v>
      </c>
      <c r="D4911" s="1" t="s">
        <v>16</v>
      </c>
      <c r="E4911" s="1">
        <v>5</v>
      </c>
      <c r="F4911" s="1">
        <v>341.26</v>
      </c>
      <c r="G4911" s="1">
        <v>38.450000000000003</v>
      </c>
      <c r="H4911">
        <f t="shared" si="76"/>
        <v>1706.3</v>
      </c>
    </row>
    <row r="4912" spans="1:8" x14ac:dyDescent="0.25">
      <c r="A4912" s="1" t="s">
        <v>4925</v>
      </c>
      <c r="B4912" s="5">
        <v>45862.583333333336</v>
      </c>
      <c r="C4912" s="1" t="s">
        <v>11</v>
      </c>
      <c r="D4912" s="1" t="s">
        <v>19</v>
      </c>
      <c r="E4912" s="1">
        <v>10</v>
      </c>
      <c r="F4912" s="1">
        <v>46.53</v>
      </c>
      <c r="G4912" s="1">
        <v>38.57</v>
      </c>
      <c r="H4912">
        <f t="shared" si="76"/>
        <v>465.3</v>
      </c>
    </row>
    <row r="4913" spans="1:8" x14ac:dyDescent="0.25">
      <c r="A4913" s="1" t="s">
        <v>4926</v>
      </c>
      <c r="B4913" s="5">
        <v>45862.625</v>
      </c>
      <c r="C4913" s="1" t="s">
        <v>13</v>
      </c>
      <c r="D4913" s="1" t="s">
        <v>9</v>
      </c>
      <c r="E4913" s="1">
        <v>18</v>
      </c>
      <c r="F4913" s="1">
        <v>218.54</v>
      </c>
      <c r="G4913" s="1">
        <v>27.51</v>
      </c>
      <c r="H4913">
        <f t="shared" si="76"/>
        <v>3933.72</v>
      </c>
    </row>
    <row r="4914" spans="1:8" x14ac:dyDescent="0.25">
      <c r="A4914" s="1" t="s">
        <v>4927</v>
      </c>
      <c r="B4914" s="5">
        <v>45862.666666666664</v>
      </c>
      <c r="C4914" s="1" t="s">
        <v>8</v>
      </c>
      <c r="D4914" s="1" t="s">
        <v>16</v>
      </c>
      <c r="E4914" s="1">
        <v>6</v>
      </c>
      <c r="F4914" s="1">
        <v>91.72</v>
      </c>
      <c r="G4914" s="1">
        <v>7.03</v>
      </c>
      <c r="H4914">
        <f t="shared" si="76"/>
        <v>550.31999999999994</v>
      </c>
    </row>
    <row r="4915" spans="1:8" x14ac:dyDescent="0.25">
      <c r="A4915" s="1" t="s">
        <v>4928</v>
      </c>
      <c r="B4915" s="5">
        <v>45862.708333333336</v>
      </c>
      <c r="C4915" s="1" t="s">
        <v>13</v>
      </c>
      <c r="D4915" s="1" t="s">
        <v>37</v>
      </c>
      <c r="E4915" s="1">
        <v>3</v>
      </c>
      <c r="F4915" s="1">
        <v>76.81</v>
      </c>
      <c r="G4915" s="1">
        <v>8.4700000000000006</v>
      </c>
      <c r="H4915">
        <f t="shared" si="76"/>
        <v>230.43</v>
      </c>
    </row>
    <row r="4916" spans="1:8" x14ac:dyDescent="0.25">
      <c r="A4916" s="1" t="s">
        <v>4929</v>
      </c>
      <c r="B4916" s="5">
        <v>45862.75</v>
      </c>
      <c r="C4916" s="1" t="s">
        <v>8</v>
      </c>
      <c r="D4916" s="1" t="s">
        <v>16</v>
      </c>
      <c r="E4916" s="1">
        <v>8</v>
      </c>
      <c r="F4916" s="1">
        <v>70.2</v>
      </c>
      <c r="G4916" s="1">
        <v>40.49</v>
      </c>
      <c r="H4916">
        <f t="shared" si="76"/>
        <v>561.6</v>
      </c>
    </row>
    <row r="4917" spans="1:8" x14ac:dyDescent="0.25">
      <c r="A4917" s="1" t="s">
        <v>4930</v>
      </c>
      <c r="B4917" s="5">
        <v>45862.791666666664</v>
      </c>
      <c r="C4917" s="1" t="s">
        <v>23</v>
      </c>
      <c r="D4917" s="1" t="s">
        <v>16</v>
      </c>
      <c r="E4917" s="1">
        <v>9</v>
      </c>
      <c r="F4917" s="1">
        <v>212.24</v>
      </c>
      <c r="G4917" s="1">
        <v>42.06</v>
      </c>
      <c r="H4917">
        <f t="shared" si="76"/>
        <v>1910.16</v>
      </c>
    </row>
    <row r="4918" spans="1:8" x14ac:dyDescent="0.25">
      <c r="A4918" s="1" t="s">
        <v>4931</v>
      </c>
      <c r="B4918" s="5">
        <v>45862.833333333336</v>
      </c>
      <c r="C4918" s="1" t="s">
        <v>8</v>
      </c>
      <c r="D4918" s="1" t="s">
        <v>16</v>
      </c>
      <c r="E4918" s="1">
        <v>5</v>
      </c>
      <c r="F4918" s="1">
        <v>239.48</v>
      </c>
      <c r="G4918" s="1">
        <v>35.520000000000003</v>
      </c>
      <c r="H4918">
        <f t="shared" si="76"/>
        <v>1197.3999999999999</v>
      </c>
    </row>
    <row r="4919" spans="1:8" x14ac:dyDescent="0.25">
      <c r="A4919" s="1" t="s">
        <v>4932</v>
      </c>
      <c r="B4919" s="5">
        <v>45862.875</v>
      </c>
      <c r="C4919" s="1" t="s">
        <v>11</v>
      </c>
      <c r="D4919" s="1" t="s">
        <v>9</v>
      </c>
      <c r="E4919" s="1">
        <v>2</v>
      </c>
      <c r="F4919" s="1">
        <v>73.459999999999994</v>
      </c>
      <c r="G4919" s="1">
        <v>42.76</v>
      </c>
      <c r="H4919">
        <f t="shared" si="76"/>
        <v>146.91999999999999</v>
      </c>
    </row>
    <row r="4920" spans="1:8" x14ac:dyDescent="0.25">
      <c r="A4920" s="1" t="s">
        <v>4933</v>
      </c>
      <c r="B4920" s="5">
        <v>45862.916666666664</v>
      </c>
      <c r="C4920" s="1" t="s">
        <v>8</v>
      </c>
      <c r="D4920" s="1" t="s">
        <v>19</v>
      </c>
      <c r="E4920" s="1">
        <v>2</v>
      </c>
      <c r="F4920" s="1">
        <v>441.05</v>
      </c>
      <c r="G4920" s="1">
        <v>37.380000000000003</v>
      </c>
      <c r="H4920">
        <f t="shared" si="76"/>
        <v>882.1</v>
      </c>
    </row>
    <row r="4921" spans="1:8" x14ac:dyDescent="0.25">
      <c r="A4921" s="1" t="s">
        <v>4934</v>
      </c>
      <c r="B4921" s="5">
        <v>45862.958333333336</v>
      </c>
      <c r="C4921" s="1" t="s">
        <v>13</v>
      </c>
      <c r="D4921" s="1" t="s">
        <v>37</v>
      </c>
      <c r="E4921" s="1">
        <v>7</v>
      </c>
      <c r="F4921" s="1">
        <v>127.5</v>
      </c>
      <c r="G4921" s="1">
        <v>45.36</v>
      </c>
      <c r="H4921">
        <f t="shared" si="76"/>
        <v>892.5</v>
      </c>
    </row>
    <row r="4922" spans="1:8" x14ac:dyDescent="0.25">
      <c r="A4922" s="1" t="s">
        <v>4935</v>
      </c>
      <c r="B4922" s="5">
        <v>45863</v>
      </c>
      <c r="C4922" s="1" t="s">
        <v>13</v>
      </c>
      <c r="D4922" s="1" t="s">
        <v>9</v>
      </c>
      <c r="E4922" s="1">
        <v>17</v>
      </c>
      <c r="F4922" s="1">
        <v>214.87</v>
      </c>
      <c r="G4922" s="1">
        <v>11.77</v>
      </c>
      <c r="H4922">
        <f t="shared" si="76"/>
        <v>3652.79</v>
      </c>
    </row>
    <row r="4923" spans="1:8" x14ac:dyDescent="0.25">
      <c r="A4923" s="1" t="s">
        <v>4936</v>
      </c>
      <c r="B4923" s="5">
        <v>45863.041666666664</v>
      </c>
      <c r="C4923" s="1" t="s">
        <v>8</v>
      </c>
      <c r="D4923" s="1" t="s">
        <v>37</v>
      </c>
      <c r="E4923" s="1">
        <v>10</v>
      </c>
      <c r="F4923" s="1">
        <v>109.47</v>
      </c>
      <c r="G4923" s="1">
        <v>22.45</v>
      </c>
      <c r="H4923">
        <f t="shared" si="76"/>
        <v>1094.7</v>
      </c>
    </row>
    <row r="4924" spans="1:8" x14ac:dyDescent="0.25">
      <c r="A4924" s="1" t="s">
        <v>4937</v>
      </c>
      <c r="B4924" s="5">
        <v>45863.083333333336</v>
      </c>
      <c r="C4924" s="1" t="s">
        <v>11</v>
      </c>
      <c r="D4924" s="1" t="s">
        <v>37</v>
      </c>
      <c r="E4924" s="1">
        <v>12</v>
      </c>
      <c r="F4924" s="1">
        <v>230.11</v>
      </c>
      <c r="G4924" s="1">
        <v>25.88</v>
      </c>
      <c r="H4924">
        <f t="shared" si="76"/>
        <v>2761.32</v>
      </c>
    </row>
    <row r="4925" spans="1:8" x14ac:dyDescent="0.25">
      <c r="A4925" s="1" t="s">
        <v>4938</v>
      </c>
      <c r="B4925" s="5">
        <v>45863.125</v>
      </c>
      <c r="C4925" s="1" t="s">
        <v>23</v>
      </c>
      <c r="D4925" s="1" t="s">
        <v>37</v>
      </c>
      <c r="E4925" s="1">
        <v>2</v>
      </c>
      <c r="F4925" s="1">
        <v>343.99</v>
      </c>
      <c r="G4925" s="1">
        <v>18.39</v>
      </c>
      <c r="H4925">
        <f t="shared" si="76"/>
        <v>687.98</v>
      </c>
    </row>
    <row r="4926" spans="1:8" x14ac:dyDescent="0.25">
      <c r="A4926" s="1" t="s">
        <v>4939</v>
      </c>
      <c r="B4926" s="5">
        <v>45863.166666666664</v>
      </c>
      <c r="C4926" s="1" t="s">
        <v>11</v>
      </c>
      <c r="D4926" s="1" t="s">
        <v>9</v>
      </c>
      <c r="E4926" s="1">
        <v>10</v>
      </c>
      <c r="F4926" s="1">
        <v>241.92</v>
      </c>
      <c r="G4926" s="1">
        <v>37.64</v>
      </c>
      <c r="H4926">
        <f t="shared" si="76"/>
        <v>2419.1999999999998</v>
      </c>
    </row>
    <row r="4927" spans="1:8" x14ac:dyDescent="0.25">
      <c r="A4927" s="1" t="s">
        <v>4940</v>
      </c>
      <c r="B4927" s="5">
        <v>45863.208333333336</v>
      </c>
      <c r="C4927" s="1" t="s">
        <v>23</v>
      </c>
      <c r="D4927" s="1" t="s">
        <v>19</v>
      </c>
      <c r="E4927" s="1">
        <v>1</v>
      </c>
      <c r="F4927" s="1">
        <v>139.61000000000001</v>
      </c>
      <c r="G4927" s="1">
        <v>46.06</v>
      </c>
      <c r="H4927">
        <f t="shared" si="76"/>
        <v>139.61000000000001</v>
      </c>
    </row>
    <row r="4928" spans="1:8" x14ac:dyDescent="0.25">
      <c r="A4928" s="1" t="s">
        <v>4941</v>
      </c>
      <c r="B4928" s="5">
        <v>45863.25</v>
      </c>
      <c r="C4928" s="1" t="s">
        <v>13</v>
      </c>
      <c r="D4928" s="1" t="s">
        <v>37</v>
      </c>
      <c r="E4928" s="1">
        <v>4</v>
      </c>
      <c r="F4928" s="1">
        <v>123.43</v>
      </c>
      <c r="G4928" s="1">
        <v>23.56</v>
      </c>
      <c r="H4928">
        <f t="shared" si="76"/>
        <v>493.72</v>
      </c>
    </row>
    <row r="4929" spans="1:8" x14ac:dyDescent="0.25">
      <c r="A4929" s="1" t="s">
        <v>4942</v>
      </c>
      <c r="B4929" s="5">
        <v>45863.291666666664</v>
      </c>
      <c r="C4929" s="1" t="s">
        <v>11</v>
      </c>
      <c r="D4929" s="1" t="s">
        <v>19</v>
      </c>
      <c r="E4929" s="1">
        <v>13</v>
      </c>
      <c r="F4929" s="1">
        <v>345.26</v>
      </c>
      <c r="G4929" s="1">
        <v>47.37</v>
      </c>
      <c r="H4929">
        <f t="shared" si="76"/>
        <v>4488.38</v>
      </c>
    </row>
    <row r="4930" spans="1:8" x14ac:dyDescent="0.25">
      <c r="A4930" s="1" t="s">
        <v>4943</v>
      </c>
      <c r="B4930" s="5">
        <v>45863.333333333336</v>
      </c>
      <c r="C4930" s="1" t="s">
        <v>23</v>
      </c>
      <c r="D4930" s="1" t="s">
        <v>19</v>
      </c>
      <c r="E4930" s="1">
        <v>12</v>
      </c>
      <c r="F4930" s="1">
        <v>66.87</v>
      </c>
      <c r="G4930" s="1">
        <v>28.25</v>
      </c>
      <c r="H4930">
        <f t="shared" ref="H4930:H4993" si="77">E4930*F4930</f>
        <v>802.44</v>
      </c>
    </row>
    <row r="4931" spans="1:8" x14ac:dyDescent="0.25">
      <c r="A4931" s="1" t="s">
        <v>4944</v>
      </c>
      <c r="B4931" s="5">
        <v>45863.375</v>
      </c>
      <c r="C4931" s="1" t="s">
        <v>8</v>
      </c>
      <c r="D4931" s="1" t="s">
        <v>16</v>
      </c>
      <c r="E4931" s="1">
        <v>11</v>
      </c>
      <c r="F4931" s="1">
        <v>176.25</v>
      </c>
      <c r="G4931" s="1">
        <v>28.51</v>
      </c>
      <c r="H4931">
        <f t="shared" si="77"/>
        <v>1938.75</v>
      </c>
    </row>
    <row r="4932" spans="1:8" x14ac:dyDescent="0.25">
      <c r="A4932" s="1" t="s">
        <v>4945</v>
      </c>
      <c r="B4932" s="5">
        <v>45863.416666666664</v>
      </c>
      <c r="C4932" s="1" t="s">
        <v>13</v>
      </c>
      <c r="D4932" s="1" t="s">
        <v>9</v>
      </c>
      <c r="E4932" s="1">
        <v>10</v>
      </c>
      <c r="F4932" s="1">
        <v>81.319999999999993</v>
      </c>
      <c r="G4932" s="1">
        <v>32.01</v>
      </c>
      <c r="H4932">
        <f t="shared" si="77"/>
        <v>813.19999999999993</v>
      </c>
    </row>
    <row r="4933" spans="1:8" x14ac:dyDescent="0.25">
      <c r="A4933" s="1" t="s">
        <v>4946</v>
      </c>
      <c r="B4933" s="5">
        <v>45863.458333333336</v>
      </c>
      <c r="C4933" s="1" t="s">
        <v>8</v>
      </c>
      <c r="D4933" s="1" t="s">
        <v>9</v>
      </c>
      <c r="E4933" s="1">
        <v>15</v>
      </c>
      <c r="F4933" s="1">
        <v>127.59</v>
      </c>
      <c r="G4933" s="1">
        <v>17.07</v>
      </c>
      <c r="H4933">
        <f t="shared" si="77"/>
        <v>1913.8500000000001</v>
      </c>
    </row>
    <row r="4934" spans="1:8" x14ac:dyDescent="0.25">
      <c r="A4934" s="1" t="s">
        <v>4947</v>
      </c>
      <c r="B4934" s="5">
        <v>45863.5</v>
      </c>
      <c r="C4934" s="1" t="s">
        <v>13</v>
      </c>
      <c r="D4934" s="1" t="s">
        <v>16</v>
      </c>
      <c r="E4934" s="1">
        <v>5</v>
      </c>
      <c r="F4934" s="1">
        <v>81.84</v>
      </c>
      <c r="G4934" s="1">
        <v>22.25</v>
      </c>
      <c r="H4934">
        <f t="shared" si="77"/>
        <v>409.20000000000005</v>
      </c>
    </row>
    <row r="4935" spans="1:8" x14ac:dyDescent="0.25">
      <c r="A4935" s="1" t="s">
        <v>4948</v>
      </c>
      <c r="B4935" s="5">
        <v>45863.541666666664</v>
      </c>
      <c r="C4935" s="1" t="s">
        <v>11</v>
      </c>
      <c r="D4935" s="1" t="s">
        <v>16</v>
      </c>
      <c r="E4935" s="1">
        <v>17</v>
      </c>
      <c r="F4935" s="1">
        <v>400.8</v>
      </c>
      <c r="G4935" s="1">
        <v>29.9</v>
      </c>
      <c r="H4935">
        <f t="shared" si="77"/>
        <v>6813.6</v>
      </c>
    </row>
    <row r="4936" spans="1:8" x14ac:dyDescent="0.25">
      <c r="A4936" s="1" t="s">
        <v>4949</v>
      </c>
      <c r="B4936" s="5">
        <v>45863.583333333336</v>
      </c>
      <c r="C4936" s="1" t="s">
        <v>11</v>
      </c>
      <c r="D4936" s="1" t="s">
        <v>19</v>
      </c>
      <c r="E4936" s="1">
        <v>5</v>
      </c>
      <c r="F4936" s="1">
        <v>333.51</v>
      </c>
      <c r="G4936" s="1">
        <v>47.39</v>
      </c>
      <c r="H4936">
        <f t="shared" si="77"/>
        <v>1667.55</v>
      </c>
    </row>
    <row r="4937" spans="1:8" x14ac:dyDescent="0.25">
      <c r="A4937" s="1" t="s">
        <v>4950</v>
      </c>
      <c r="B4937" s="5">
        <v>45863.625</v>
      </c>
      <c r="C4937" s="1" t="s">
        <v>13</v>
      </c>
      <c r="D4937" s="1" t="s">
        <v>37</v>
      </c>
      <c r="E4937" s="1">
        <v>2</v>
      </c>
      <c r="F4937" s="1">
        <v>259.22000000000003</v>
      </c>
      <c r="G4937" s="1">
        <v>33.92</v>
      </c>
      <c r="H4937">
        <f t="shared" si="77"/>
        <v>518.44000000000005</v>
      </c>
    </row>
    <row r="4938" spans="1:8" x14ac:dyDescent="0.25">
      <c r="A4938" s="1" t="s">
        <v>4951</v>
      </c>
      <c r="B4938" s="5">
        <v>45863.666666666664</v>
      </c>
      <c r="C4938" s="1" t="s">
        <v>13</v>
      </c>
      <c r="D4938" s="1" t="s">
        <v>9</v>
      </c>
      <c r="E4938" s="1">
        <v>9</v>
      </c>
      <c r="F4938" s="1">
        <v>113.01</v>
      </c>
      <c r="G4938" s="1">
        <v>19.989999999999998</v>
      </c>
      <c r="H4938">
        <f t="shared" si="77"/>
        <v>1017.09</v>
      </c>
    </row>
    <row r="4939" spans="1:8" x14ac:dyDescent="0.25">
      <c r="A4939" s="1" t="s">
        <v>4952</v>
      </c>
      <c r="B4939" s="5">
        <v>45863.708333333336</v>
      </c>
      <c r="C4939" s="1" t="s">
        <v>13</v>
      </c>
      <c r="D4939" s="1" t="s">
        <v>37</v>
      </c>
      <c r="E4939" s="1">
        <v>6</v>
      </c>
      <c r="F4939" s="1">
        <v>237.19</v>
      </c>
      <c r="G4939" s="1">
        <v>5.47</v>
      </c>
      <c r="H4939">
        <f t="shared" si="77"/>
        <v>1423.1399999999999</v>
      </c>
    </row>
    <row r="4940" spans="1:8" x14ac:dyDescent="0.25">
      <c r="A4940" s="1" t="s">
        <v>4953</v>
      </c>
      <c r="B4940" s="5">
        <v>45863.75</v>
      </c>
      <c r="C4940" s="1" t="s">
        <v>11</v>
      </c>
      <c r="D4940" s="1" t="s">
        <v>37</v>
      </c>
      <c r="E4940" s="1">
        <v>18</v>
      </c>
      <c r="F4940" s="1">
        <v>241.8</v>
      </c>
      <c r="G4940" s="1">
        <v>49.17</v>
      </c>
      <c r="H4940">
        <f t="shared" si="77"/>
        <v>4352.4000000000005</v>
      </c>
    </row>
    <row r="4941" spans="1:8" x14ac:dyDescent="0.25">
      <c r="A4941" s="1" t="s">
        <v>4954</v>
      </c>
      <c r="B4941" s="5">
        <v>45863.791666666664</v>
      </c>
      <c r="C4941" s="1" t="s">
        <v>23</v>
      </c>
      <c r="D4941" s="1" t="s">
        <v>16</v>
      </c>
      <c r="E4941" s="1">
        <v>14</v>
      </c>
      <c r="F4941" s="1">
        <v>272.02999999999997</v>
      </c>
      <c r="G4941" s="1">
        <v>27.18</v>
      </c>
      <c r="H4941">
        <f t="shared" si="77"/>
        <v>3808.4199999999996</v>
      </c>
    </row>
    <row r="4942" spans="1:8" x14ac:dyDescent="0.25">
      <c r="A4942" s="1" t="s">
        <v>4955</v>
      </c>
      <c r="B4942" s="5">
        <v>45863.833333333336</v>
      </c>
      <c r="C4942" s="1" t="s">
        <v>8</v>
      </c>
      <c r="D4942" s="1" t="s">
        <v>37</v>
      </c>
      <c r="E4942" s="1">
        <v>19</v>
      </c>
      <c r="F4942" s="1">
        <v>41.61</v>
      </c>
      <c r="G4942" s="1">
        <v>47.23</v>
      </c>
      <c r="H4942">
        <f t="shared" si="77"/>
        <v>790.59</v>
      </c>
    </row>
    <row r="4943" spans="1:8" x14ac:dyDescent="0.25">
      <c r="A4943" s="1" t="s">
        <v>4956</v>
      </c>
      <c r="B4943" s="5">
        <v>45863.875</v>
      </c>
      <c r="C4943" s="1" t="s">
        <v>8</v>
      </c>
      <c r="D4943" s="1" t="s">
        <v>19</v>
      </c>
      <c r="E4943" s="1">
        <v>14</v>
      </c>
      <c r="F4943" s="1">
        <v>438.23</v>
      </c>
      <c r="G4943" s="1">
        <v>29.72</v>
      </c>
      <c r="H4943">
        <f t="shared" si="77"/>
        <v>6135.22</v>
      </c>
    </row>
    <row r="4944" spans="1:8" x14ac:dyDescent="0.25">
      <c r="A4944" s="1" t="s">
        <v>4957</v>
      </c>
      <c r="B4944" s="5">
        <v>45863.916666666664</v>
      </c>
      <c r="C4944" s="1" t="s">
        <v>11</v>
      </c>
      <c r="D4944" s="1" t="s">
        <v>16</v>
      </c>
      <c r="E4944" s="1">
        <v>8</v>
      </c>
      <c r="F4944" s="1">
        <v>217.73</v>
      </c>
      <c r="G4944" s="1">
        <v>32.25</v>
      </c>
      <c r="H4944">
        <f t="shared" si="77"/>
        <v>1741.84</v>
      </c>
    </row>
    <row r="4945" spans="1:8" x14ac:dyDescent="0.25">
      <c r="A4945" s="1" t="s">
        <v>4958</v>
      </c>
      <c r="B4945" s="5">
        <v>45863.958333333336</v>
      </c>
      <c r="C4945" s="1" t="s">
        <v>8</v>
      </c>
      <c r="D4945" s="1" t="s">
        <v>37</v>
      </c>
      <c r="E4945" s="1">
        <v>17</v>
      </c>
      <c r="F4945" s="1">
        <v>418.08</v>
      </c>
      <c r="G4945" s="1">
        <v>37.04</v>
      </c>
      <c r="H4945">
        <f t="shared" si="77"/>
        <v>7107.36</v>
      </c>
    </row>
    <row r="4946" spans="1:8" x14ac:dyDescent="0.25">
      <c r="A4946" s="1" t="s">
        <v>4959</v>
      </c>
      <c r="B4946" s="5">
        <v>45864</v>
      </c>
      <c r="C4946" s="1" t="s">
        <v>13</v>
      </c>
      <c r="D4946" s="1" t="s">
        <v>16</v>
      </c>
      <c r="E4946" s="1">
        <v>3</v>
      </c>
      <c r="F4946" s="1">
        <v>19.760000000000002</v>
      </c>
      <c r="G4946" s="1">
        <v>19.440000000000001</v>
      </c>
      <c r="H4946">
        <f t="shared" si="77"/>
        <v>59.28</v>
      </c>
    </row>
    <row r="4947" spans="1:8" x14ac:dyDescent="0.25">
      <c r="A4947" s="1" t="s">
        <v>4960</v>
      </c>
      <c r="B4947" s="5">
        <v>45864.041666666664</v>
      </c>
      <c r="C4947" s="1" t="s">
        <v>23</v>
      </c>
      <c r="D4947" s="1" t="s">
        <v>19</v>
      </c>
      <c r="E4947" s="1">
        <v>10</v>
      </c>
      <c r="F4947" s="1">
        <v>123.06</v>
      </c>
      <c r="G4947" s="1">
        <v>36.450000000000003</v>
      </c>
      <c r="H4947">
        <f t="shared" si="77"/>
        <v>1230.5999999999999</v>
      </c>
    </row>
    <row r="4948" spans="1:8" x14ac:dyDescent="0.25">
      <c r="A4948" s="1" t="s">
        <v>4961</v>
      </c>
      <c r="B4948" s="5">
        <v>45864.083333333336</v>
      </c>
      <c r="C4948" s="1" t="s">
        <v>8</v>
      </c>
      <c r="D4948" s="1" t="s">
        <v>19</v>
      </c>
      <c r="E4948" s="1">
        <v>17</v>
      </c>
      <c r="F4948" s="1">
        <v>60.69</v>
      </c>
      <c r="G4948" s="1">
        <v>28.71</v>
      </c>
      <c r="H4948">
        <f t="shared" si="77"/>
        <v>1031.73</v>
      </c>
    </row>
    <row r="4949" spans="1:8" x14ac:dyDescent="0.25">
      <c r="A4949" s="1" t="s">
        <v>4962</v>
      </c>
      <c r="B4949" s="5">
        <v>45864.125</v>
      </c>
      <c r="C4949" s="1" t="s">
        <v>23</v>
      </c>
      <c r="D4949" s="1" t="s">
        <v>37</v>
      </c>
      <c r="E4949" s="1">
        <v>11</v>
      </c>
      <c r="F4949" s="1">
        <v>349.9</v>
      </c>
      <c r="G4949" s="1">
        <v>35.26</v>
      </c>
      <c r="H4949">
        <f t="shared" si="77"/>
        <v>3848.8999999999996</v>
      </c>
    </row>
    <row r="4950" spans="1:8" x14ac:dyDescent="0.25">
      <c r="A4950" s="1" t="s">
        <v>4963</v>
      </c>
      <c r="B4950" s="5">
        <v>45864.166666666664</v>
      </c>
      <c r="C4950" s="1" t="s">
        <v>13</v>
      </c>
      <c r="D4950" s="1" t="s">
        <v>16</v>
      </c>
      <c r="E4950" s="1">
        <v>8</v>
      </c>
      <c r="F4950" s="1">
        <v>154.59</v>
      </c>
      <c r="G4950" s="1">
        <v>42.61</v>
      </c>
      <c r="H4950">
        <f t="shared" si="77"/>
        <v>1236.72</v>
      </c>
    </row>
    <row r="4951" spans="1:8" x14ac:dyDescent="0.25">
      <c r="A4951" s="1" t="s">
        <v>4964</v>
      </c>
      <c r="B4951" s="5">
        <v>45864.208333333336</v>
      </c>
      <c r="C4951" s="1" t="s">
        <v>8</v>
      </c>
      <c r="D4951" s="1" t="s">
        <v>37</v>
      </c>
      <c r="E4951" s="1">
        <v>1</v>
      </c>
      <c r="F4951" s="1">
        <v>380.69</v>
      </c>
      <c r="G4951" s="1">
        <v>13.29</v>
      </c>
      <c r="H4951">
        <f t="shared" si="77"/>
        <v>380.69</v>
      </c>
    </row>
    <row r="4952" spans="1:8" x14ac:dyDescent="0.25">
      <c r="A4952" s="1" t="s">
        <v>4965</v>
      </c>
      <c r="B4952" s="5">
        <v>45864.25</v>
      </c>
      <c r="C4952" s="1" t="s">
        <v>11</v>
      </c>
      <c r="D4952" s="1" t="s">
        <v>37</v>
      </c>
      <c r="E4952" s="1">
        <v>13</v>
      </c>
      <c r="F4952" s="1">
        <v>377.17</v>
      </c>
      <c r="G4952" s="1">
        <v>32.61</v>
      </c>
      <c r="H4952">
        <f t="shared" si="77"/>
        <v>4903.21</v>
      </c>
    </row>
    <row r="4953" spans="1:8" x14ac:dyDescent="0.25">
      <c r="A4953" s="1" t="s">
        <v>4966</v>
      </c>
      <c r="B4953" s="5">
        <v>45864.291666666664</v>
      </c>
      <c r="C4953" s="1" t="s">
        <v>23</v>
      </c>
      <c r="D4953" s="1" t="s">
        <v>16</v>
      </c>
      <c r="E4953" s="1">
        <v>4</v>
      </c>
      <c r="F4953" s="1">
        <v>305.66000000000003</v>
      </c>
      <c r="G4953" s="1">
        <v>7.35</v>
      </c>
      <c r="H4953">
        <f t="shared" si="77"/>
        <v>1222.6400000000001</v>
      </c>
    </row>
    <row r="4954" spans="1:8" x14ac:dyDescent="0.25">
      <c r="A4954" s="1" t="s">
        <v>4967</v>
      </c>
      <c r="B4954" s="5">
        <v>45864.333333333336</v>
      </c>
      <c r="C4954" s="1" t="s">
        <v>13</v>
      </c>
      <c r="D4954" s="1" t="s">
        <v>37</v>
      </c>
      <c r="E4954" s="1">
        <v>7</v>
      </c>
      <c r="F4954" s="1">
        <v>304.77999999999997</v>
      </c>
      <c r="G4954" s="1">
        <v>9.6</v>
      </c>
      <c r="H4954">
        <f t="shared" si="77"/>
        <v>2133.46</v>
      </c>
    </row>
    <row r="4955" spans="1:8" x14ac:dyDescent="0.25">
      <c r="A4955" s="1" t="s">
        <v>4968</v>
      </c>
      <c r="B4955" s="5">
        <v>45864.375</v>
      </c>
      <c r="C4955" s="1" t="s">
        <v>23</v>
      </c>
      <c r="D4955" s="1" t="s">
        <v>19</v>
      </c>
      <c r="E4955" s="1">
        <v>14</v>
      </c>
      <c r="F4955" s="1">
        <v>319.72000000000003</v>
      </c>
      <c r="G4955" s="1">
        <v>35.36</v>
      </c>
      <c r="H4955">
        <f t="shared" si="77"/>
        <v>4476.08</v>
      </c>
    </row>
    <row r="4956" spans="1:8" x14ac:dyDescent="0.25">
      <c r="A4956" s="1" t="s">
        <v>4969</v>
      </c>
      <c r="B4956" s="5">
        <v>45864.416666666664</v>
      </c>
      <c r="C4956" s="1" t="s">
        <v>8</v>
      </c>
      <c r="D4956" s="1" t="s">
        <v>16</v>
      </c>
      <c r="E4956" s="1">
        <v>5</v>
      </c>
      <c r="F4956" s="1">
        <v>308.25</v>
      </c>
      <c r="G4956" s="1">
        <v>8.19</v>
      </c>
      <c r="H4956">
        <f t="shared" si="77"/>
        <v>1541.25</v>
      </c>
    </row>
    <row r="4957" spans="1:8" x14ac:dyDescent="0.25">
      <c r="A4957" s="1" t="s">
        <v>4970</v>
      </c>
      <c r="B4957" s="5">
        <v>45864.458333333336</v>
      </c>
      <c r="C4957" s="1" t="s">
        <v>8</v>
      </c>
      <c r="D4957" s="1" t="s">
        <v>16</v>
      </c>
      <c r="E4957" s="1">
        <v>11</v>
      </c>
      <c r="F4957" s="1">
        <v>183.61</v>
      </c>
      <c r="G4957" s="1">
        <v>31.79</v>
      </c>
      <c r="H4957">
        <f t="shared" si="77"/>
        <v>2019.71</v>
      </c>
    </row>
    <row r="4958" spans="1:8" x14ac:dyDescent="0.25">
      <c r="A4958" s="1" t="s">
        <v>4971</v>
      </c>
      <c r="B4958" s="5">
        <v>45864.5</v>
      </c>
      <c r="C4958" s="1" t="s">
        <v>11</v>
      </c>
      <c r="D4958" s="1" t="s">
        <v>16</v>
      </c>
      <c r="E4958" s="1">
        <v>17</v>
      </c>
      <c r="F4958" s="1">
        <v>312.19</v>
      </c>
      <c r="G4958" s="1">
        <v>14.9</v>
      </c>
      <c r="H4958">
        <f t="shared" si="77"/>
        <v>5307.23</v>
      </c>
    </row>
    <row r="4959" spans="1:8" x14ac:dyDescent="0.25">
      <c r="A4959" s="1" t="s">
        <v>4972</v>
      </c>
      <c r="B4959" s="5">
        <v>45864.541666666664</v>
      </c>
      <c r="C4959" s="1" t="s">
        <v>13</v>
      </c>
      <c r="D4959" s="1" t="s">
        <v>16</v>
      </c>
      <c r="E4959" s="1">
        <v>5</v>
      </c>
      <c r="F4959" s="1">
        <v>405.42</v>
      </c>
      <c r="G4959" s="1">
        <v>18.68</v>
      </c>
      <c r="H4959">
        <f t="shared" si="77"/>
        <v>2027.1000000000001</v>
      </c>
    </row>
    <row r="4960" spans="1:8" x14ac:dyDescent="0.25">
      <c r="A4960" s="1" t="s">
        <v>4973</v>
      </c>
      <c r="B4960" s="5">
        <v>45864.583333333336</v>
      </c>
      <c r="C4960" s="1" t="s">
        <v>13</v>
      </c>
      <c r="D4960" s="1" t="s">
        <v>37</v>
      </c>
      <c r="E4960" s="1">
        <v>3</v>
      </c>
      <c r="F4960" s="1">
        <v>160</v>
      </c>
      <c r="G4960" s="1">
        <v>10.83</v>
      </c>
      <c r="H4960">
        <f t="shared" si="77"/>
        <v>480</v>
      </c>
    </row>
    <row r="4961" spans="1:8" x14ac:dyDescent="0.25">
      <c r="A4961" s="1" t="s">
        <v>4974</v>
      </c>
      <c r="B4961" s="5">
        <v>45864.625</v>
      </c>
      <c r="C4961" s="1" t="s">
        <v>11</v>
      </c>
      <c r="D4961" s="1" t="s">
        <v>37</v>
      </c>
      <c r="E4961" s="1">
        <v>5</v>
      </c>
      <c r="F4961" s="1">
        <v>426.05</v>
      </c>
      <c r="G4961" s="1">
        <v>16.190000000000001</v>
      </c>
      <c r="H4961">
        <f t="shared" si="77"/>
        <v>2130.25</v>
      </c>
    </row>
    <row r="4962" spans="1:8" x14ac:dyDescent="0.25">
      <c r="A4962" s="1" t="s">
        <v>4975</v>
      </c>
      <c r="B4962" s="5">
        <v>45864.666666666664</v>
      </c>
      <c r="C4962" s="1" t="s">
        <v>11</v>
      </c>
      <c r="D4962" s="1" t="s">
        <v>19</v>
      </c>
      <c r="E4962" s="1">
        <v>15</v>
      </c>
      <c r="F4962" s="1">
        <v>21.4</v>
      </c>
      <c r="G4962" s="1">
        <v>41.96</v>
      </c>
      <c r="H4962">
        <f t="shared" si="77"/>
        <v>321</v>
      </c>
    </row>
    <row r="4963" spans="1:8" x14ac:dyDescent="0.25">
      <c r="A4963" s="1" t="s">
        <v>4976</v>
      </c>
      <c r="B4963" s="5">
        <v>45864.708333333336</v>
      </c>
      <c r="C4963" s="1" t="s">
        <v>13</v>
      </c>
      <c r="D4963" s="1" t="s">
        <v>9</v>
      </c>
      <c r="E4963" s="1">
        <v>19</v>
      </c>
      <c r="F4963" s="1">
        <v>167.18</v>
      </c>
      <c r="G4963" s="1">
        <v>33.75</v>
      </c>
      <c r="H4963">
        <f t="shared" si="77"/>
        <v>3176.42</v>
      </c>
    </row>
    <row r="4964" spans="1:8" x14ac:dyDescent="0.25">
      <c r="A4964" s="1" t="s">
        <v>4977</v>
      </c>
      <c r="B4964" s="5">
        <v>45864.75</v>
      </c>
      <c r="C4964" s="1" t="s">
        <v>23</v>
      </c>
      <c r="D4964" s="1" t="s">
        <v>9</v>
      </c>
      <c r="E4964" s="1">
        <v>16</v>
      </c>
      <c r="F4964" s="1">
        <v>72.900000000000006</v>
      </c>
      <c r="G4964" s="1">
        <v>47.74</v>
      </c>
      <c r="H4964">
        <f t="shared" si="77"/>
        <v>1166.4000000000001</v>
      </c>
    </row>
    <row r="4965" spans="1:8" x14ac:dyDescent="0.25">
      <c r="A4965" s="1" t="s">
        <v>4978</v>
      </c>
      <c r="B4965" s="5">
        <v>45864.791666666664</v>
      </c>
      <c r="C4965" s="1" t="s">
        <v>23</v>
      </c>
      <c r="D4965" s="1" t="s">
        <v>19</v>
      </c>
      <c r="E4965" s="1">
        <v>8</v>
      </c>
      <c r="F4965" s="1">
        <v>70.52</v>
      </c>
      <c r="G4965" s="1">
        <v>7.19</v>
      </c>
      <c r="H4965">
        <f t="shared" si="77"/>
        <v>564.16</v>
      </c>
    </row>
    <row r="4966" spans="1:8" x14ac:dyDescent="0.25">
      <c r="A4966" s="1" t="s">
        <v>4979</v>
      </c>
      <c r="B4966" s="5">
        <v>45864.833333333336</v>
      </c>
      <c r="C4966" s="1" t="s">
        <v>11</v>
      </c>
      <c r="D4966" s="1" t="s">
        <v>9</v>
      </c>
      <c r="E4966" s="1">
        <v>13</v>
      </c>
      <c r="F4966" s="1">
        <v>369.8</v>
      </c>
      <c r="G4966" s="1">
        <v>40.659999999999997</v>
      </c>
      <c r="H4966">
        <f t="shared" si="77"/>
        <v>4807.4000000000005</v>
      </c>
    </row>
    <row r="4967" spans="1:8" x14ac:dyDescent="0.25">
      <c r="A4967" s="1" t="s">
        <v>4980</v>
      </c>
      <c r="B4967" s="5">
        <v>45864.875</v>
      </c>
      <c r="C4967" s="1" t="s">
        <v>23</v>
      </c>
      <c r="D4967" s="1" t="s">
        <v>19</v>
      </c>
      <c r="E4967" s="1">
        <v>16</v>
      </c>
      <c r="F4967" s="1">
        <v>414.53</v>
      </c>
      <c r="G4967" s="1">
        <v>36.46</v>
      </c>
      <c r="H4967">
        <f t="shared" si="77"/>
        <v>6632.48</v>
      </c>
    </row>
    <row r="4968" spans="1:8" x14ac:dyDescent="0.25">
      <c r="A4968" s="1" t="s">
        <v>4981</v>
      </c>
      <c r="B4968" s="5">
        <v>45864.916666666664</v>
      </c>
      <c r="C4968" s="1" t="s">
        <v>13</v>
      </c>
      <c r="D4968" s="1" t="s">
        <v>37</v>
      </c>
      <c r="E4968" s="1">
        <v>3</v>
      </c>
      <c r="F4968" s="1">
        <v>353.44</v>
      </c>
      <c r="G4968" s="1">
        <v>16.739999999999998</v>
      </c>
      <c r="H4968">
        <f t="shared" si="77"/>
        <v>1060.32</v>
      </c>
    </row>
    <row r="4969" spans="1:8" x14ac:dyDescent="0.25">
      <c r="A4969" s="1" t="s">
        <v>4982</v>
      </c>
      <c r="B4969" s="5">
        <v>45864.958333333336</v>
      </c>
      <c r="C4969" s="1" t="s">
        <v>8</v>
      </c>
      <c r="D4969" s="1" t="s">
        <v>16</v>
      </c>
      <c r="E4969" s="1">
        <v>1</v>
      </c>
      <c r="F4969" s="1">
        <v>439.84</v>
      </c>
      <c r="G4969" s="1">
        <v>37.81</v>
      </c>
      <c r="H4969">
        <f t="shared" si="77"/>
        <v>439.84</v>
      </c>
    </row>
    <row r="4970" spans="1:8" x14ac:dyDescent="0.25">
      <c r="A4970" s="1" t="s">
        <v>4983</v>
      </c>
      <c r="B4970" s="5">
        <v>45865</v>
      </c>
      <c r="C4970" s="1" t="s">
        <v>8</v>
      </c>
      <c r="D4970" s="1" t="s">
        <v>16</v>
      </c>
      <c r="E4970" s="1">
        <v>9</v>
      </c>
      <c r="F4970" s="1">
        <v>109.49</v>
      </c>
      <c r="G4970" s="1">
        <v>37.24</v>
      </c>
      <c r="H4970">
        <f t="shared" si="77"/>
        <v>985.41</v>
      </c>
    </row>
    <row r="4971" spans="1:8" x14ac:dyDescent="0.25">
      <c r="A4971" s="1" t="s">
        <v>4984</v>
      </c>
      <c r="B4971" s="5">
        <v>45865.041666666664</v>
      </c>
      <c r="C4971" s="1" t="s">
        <v>23</v>
      </c>
      <c r="D4971" s="1" t="s">
        <v>37</v>
      </c>
      <c r="E4971" s="1">
        <v>9</v>
      </c>
      <c r="F4971" s="1">
        <v>76.680000000000007</v>
      </c>
      <c r="G4971" s="1">
        <v>25.67</v>
      </c>
      <c r="H4971">
        <f t="shared" si="77"/>
        <v>690.12000000000012</v>
      </c>
    </row>
    <row r="4972" spans="1:8" x14ac:dyDescent="0.25">
      <c r="A4972" s="1" t="s">
        <v>4985</v>
      </c>
      <c r="B4972" s="5">
        <v>45865.083333333336</v>
      </c>
      <c r="C4972" s="1" t="s">
        <v>11</v>
      </c>
      <c r="D4972" s="1" t="s">
        <v>16</v>
      </c>
      <c r="E4972" s="1">
        <v>17</v>
      </c>
      <c r="F4972" s="1">
        <v>241.75</v>
      </c>
      <c r="G4972" s="1">
        <v>35.99</v>
      </c>
      <c r="H4972">
        <f t="shared" si="77"/>
        <v>4109.75</v>
      </c>
    </row>
    <row r="4973" spans="1:8" x14ac:dyDescent="0.25">
      <c r="A4973" s="1" t="s">
        <v>4986</v>
      </c>
      <c r="B4973" s="5">
        <v>45865.125</v>
      </c>
      <c r="C4973" s="1" t="s">
        <v>11</v>
      </c>
      <c r="D4973" s="1" t="s">
        <v>16</v>
      </c>
      <c r="E4973" s="1">
        <v>2</v>
      </c>
      <c r="F4973" s="1">
        <v>375.72</v>
      </c>
      <c r="G4973" s="1">
        <v>25.01</v>
      </c>
      <c r="H4973">
        <f t="shared" si="77"/>
        <v>751.44</v>
      </c>
    </row>
    <row r="4974" spans="1:8" x14ac:dyDescent="0.25">
      <c r="A4974" s="1" t="s">
        <v>4987</v>
      </c>
      <c r="B4974" s="5">
        <v>45865.166666666664</v>
      </c>
      <c r="C4974" s="1" t="s">
        <v>11</v>
      </c>
      <c r="D4974" s="1" t="s">
        <v>9</v>
      </c>
      <c r="E4974" s="1">
        <v>9</v>
      </c>
      <c r="F4974" s="1">
        <v>32.81</v>
      </c>
      <c r="G4974" s="1">
        <v>20.100000000000001</v>
      </c>
      <c r="H4974">
        <f t="shared" si="77"/>
        <v>295.29000000000002</v>
      </c>
    </row>
    <row r="4975" spans="1:8" x14ac:dyDescent="0.25">
      <c r="A4975" s="1" t="s">
        <v>4988</v>
      </c>
      <c r="B4975" s="5">
        <v>45865.208333333336</v>
      </c>
      <c r="C4975" s="1" t="s">
        <v>11</v>
      </c>
      <c r="D4975" s="1" t="s">
        <v>37</v>
      </c>
      <c r="E4975" s="1">
        <v>19</v>
      </c>
      <c r="F4975" s="1">
        <v>448.07</v>
      </c>
      <c r="G4975" s="1">
        <v>25.99</v>
      </c>
      <c r="H4975">
        <f t="shared" si="77"/>
        <v>8513.33</v>
      </c>
    </row>
    <row r="4976" spans="1:8" x14ac:dyDescent="0.25">
      <c r="A4976" s="1" t="s">
        <v>4989</v>
      </c>
      <c r="B4976" s="5">
        <v>45865.25</v>
      </c>
      <c r="C4976" s="1" t="s">
        <v>11</v>
      </c>
      <c r="D4976" s="1" t="s">
        <v>9</v>
      </c>
      <c r="E4976" s="1">
        <v>13</v>
      </c>
      <c r="F4976" s="1">
        <v>277.18</v>
      </c>
      <c r="G4976" s="1">
        <v>45.28</v>
      </c>
      <c r="H4976">
        <f t="shared" si="77"/>
        <v>3603.34</v>
      </c>
    </row>
    <row r="4977" spans="1:8" x14ac:dyDescent="0.25">
      <c r="A4977" s="1" t="s">
        <v>4990</v>
      </c>
      <c r="B4977" s="5">
        <v>45865.291666666664</v>
      </c>
      <c r="C4977" s="1" t="s">
        <v>23</v>
      </c>
      <c r="D4977" s="1" t="s">
        <v>9</v>
      </c>
      <c r="E4977" s="1">
        <v>5</v>
      </c>
      <c r="F4977" s="1">
        <v>440.85</v>
      </c>
      <c r="G4977" s="1">
        <v>22.31</v>
      </c>
      <c r="H4977">
        <f t="shared" si="77"/>
        <v>2204.25</v>
      </c>
    </row>
    <row r="4978" spans="1:8" x14ac:dyDescent="0.25">
      <c r="A4978" s="1" t="s">
        <v>4991</v>
      </c>
      <c r="B4978" s="5">
        <v>45865.333333333336</v>
      </c>
      <c r="C4978" s="1" t="s">
        <v>8</v>
      </c>
      <c r="D4978" s="1" t="s">
        <v>16</v>
      </c>
      <c r="E4978" s="1">
        <v>9</v>
      </c>
      <c r="F4978" s="1">
        <v>174.13</v>
      </c>
      <c r="G4978" s="1">
        <v>23.17</v>
      </c>
      <c r="H4978">
        <f t="shared" si="77"/>
        <v>1567.17</v>
      </c>
    </row>
    <row r="4979" spans="1:8" x14ac:dyDescent="0.25">
      <c r="A4979" s="1" t="s">
        <v>4992</v>
      </c>
      <c r="B4979" s="5">
        <v>45865.375</v>
      </c>
      <c r="C4979" s="1" t="s">
        <v>8</v>
      </c>
      <c r="D4979" s="1" t="s">
        <v>16</v>
      </c>
      <c r="E4979" s="1">
        <v>13</v>
      </c>
      <c r="F4979" s="1">
        <v>214.51</v>
      </c>
      <c r="G4979" s="1">
        <v>32.380000000000003</v>
      </c>
      <c r="H4979">
        <f t="shared" si="77"/>
        <v>2788.63</v>
      </c>
    </row>
    <row r="4980" spans="1:8" x14ac:dyDescent="0.25">
      <c r="A4980" s="1" t="s">
        <v>4993</v>
      </c>
      <c r="B4980" s="5">
        <v>45865.416666666664</v>
      </c>
      <c r="C4980" s="1" t="s">
        <v>23</v>
      </c>
      <c r="D4980" s="1" t="s">
        <v>37</v>
      </c>
      <c r="E4980" s="1">
        <v>1</v>
      </c>
      <c r="F4980" s="1">
        <v>342.4</v>
      </c>
      <c r="G4980" s="1">
        <v>38.880000000000003</v>
      </c>
      <c r="H4980">
        <f t="shared" si="77"/>
        <v>342.4</v>
      </c>
    </row>
    <row r="4981" spans="1:8" x14ac:dyDescent="0.25">
      <c r="A4981" s="1" t="s">
        <v>4994</v>
      </c>
      <c r="B4981" s="5">
        <v>45865.458333333336</v>
      </c>
      <c r="C4981" s="1" t="s">
        <v>11</v>
      </c>
      <c r="D4981" s="1" t="s">
        <v>16</v>
      </c>
      <c r="E4981" s="1">
        <v>15</v>
      </c>
      <c r="F4981" s="1">
        <v>359.93</v>
      </c>
      <c r="G4981" s="1">
        <v>38.06</v>
      </c>
      <c r="H4981">
        <f t="shared" si="77"/>
        <v>5398.95</v>
      </c>
    </row>
    <row r="4982" spans="1:8" x14ac:dyDescent="0.25">
      <c r="A4982" s="1" t="s">
        <v>4995</v>
      </c>
      <c r="B4982" s="5">
        <v>45865.5</v>
      </c>
      <c r="C4982" s="1" t="s">
        <v>23</v>
      </c>
      <c r="D4982" s="1" t="s">
        <v>16</v>
      </c>
      <c r="E4982" s="1">
        <v>4</v>
      </c>
      <c r="F4982" s="1">
        <v>116.75</v>
      </c>
      <c r="G4982" s="1">
        <v>5.89</v>
      </c>
      <c r="H4982">
        <f t="shared" si="77"/>
        <v>467</v>
      </c>
    </row>
    <row r="4983" spans="1:8" x14ac:dyDescent="0.25">
      <c r="A4983" s="1" t="s">
        <v>4996</v>
      </c>
      <c r="B4983" s="5">
        <v>45865.541666666664</v>
      </c>
      <c r="C4983" s="1" t="s">
        <v>8</v>
      </c>
      <c r="D4983" s="1" t="s">
        <v>37</v>
      </c>
      <c r="E4983" s="1">
        <v>4</v>
      </c>
      <c r="F4983" s="1">
        <v>419.5</v>
      </c>
      <c r="G4983" s="1">
        <v>35.93</v>
      </c>
      <c r="H4983">
        <f t="shared" si="77"/>
        <v>1678</v>
      </c>
    </row>
    <row r="4984" spans="1:8" x14ac:dyDescent="0.25">
      <c r="A4984" s="1" t="s">
        <v>4997</v>
      </c>
      <c r="B4984" s="5">
        <v>45865.583333333336</v>
      </c>
      <c r="C4984" s="1" t="s">
        <v>13</v>
      </c>
      <c r="D4984" s="1" t="s">
        <v>16</v>
      </c>
      <c r="E4984" s="1">
        <v>10</v>
      </c>
      <c r="F4984" s="1">
        <v>392.4</v>
      </c>
      <c r="G4984" s="1">
        <v>25.27</v>
      </c>
      <c r="H4984">
        <f t="shared" si="77"/>
        <v>3924</v>
      </c>
    </row>
    <row r="4985" spans="1:8" x14ac:dyDescent="0.25">
      <c r="A4985" s="1" t="s">
        <v>4998</v>
      </c>
      <c r="B4985" s="5">
        <v>45865.625</v>
      </c>
      <c r="C4985" s="1" t="s">
        <v>23</v>
      </c>
      <c r="D4985" s="1" t="s">
        <v>9</v>
      </c>
      <c r="E4985" s="1">
        <v>6</v>
      </c>
      <c r="F4985" s="1">
        <v>23.41</v>
      </c>
      <c r="G4985" s="1">
        <v>28.58</v>
      </c>
      <c r="H4985">
        <f t="shared" si="77"/>
        <v>140.46</v>
      </c>
    </row>
    <row r="4986" spans="1:8" x14ac:dyDescent="0.25">
      <c r="A4986" s="1" t="s">
        <v>4999</v>
      </c>
      <c r="B4986" s="5">
        <v>45865.666666666664</v>
      </c>
      <c r="C4986" s="1" t="s">
        <v>11</v>
      </c>
      <c r="D4986" s="1" t="s">
        <v>37</v>
      </c>
      <c r="E4986" s="1">
        <v>12</v>
      </c>
      <c r="F4986" s="1">
        <v>71.36</v>
      </c>
      <c r="G4986" s="1">
        <v>30.27</v>
      </c>
      <c r="H4986">
        <f t="shared" si="77"/>
        <v>856.31999999999994</v>
      </c>
    </row>
    <row r="4987" spans="1:8" x14ac:dyDescent="0.25">
      <c r="A4987" s="1" t="s">
        <v>5000</v>
      </c>
      <c r="B4987" s="5">
        <v>45865.708333333336</v>
      </c>
      <c r="C4987" s="1" t="s">
        <v>8</v>
      </c>
      <c r="D4987" s="1" t="s">
        <v>16</v>
      </c>
      <c r="E4987" s="1">
        <v>16</v>
      </c>
      <c r="F4987" s="1">
        <v>231.05</v>
      </c>
      <c r="G4987" s="1">
        <v>37.93</v>
      </c>
      <c r="H4987">
        <f t="shared" si="77"/>
        <v>3696.8</v>
      </c>
    </row>
    <row r="4988" spans="1:8" x14ac:dyDescent="0.25">
      <c r="A4988" s="1" t="s">
        <v>5001</v>
      </c>
      <c r="B4988" s="5">
        <v>45865.75</v>
      </c>
      <c r="C4988" s="1" t="s">
        <v>8</v>
      </c>
      <c r="D4988" s="1" t="s">
        <v>19</v>
      </c>
      <c r="E4988" s="1">
        <v>3</v>
      </c>
      <c r="F4988" s="1">
        <v>215.79</v>
      </c>
      <c r="G4988" s="1">
        <v>42.41</v>
      </c>
      <c r="H4988">
        <f t="shared" si="77"/>
        <v>647.37</v>
      </c>
    </row>
    <row r="4989" spans="1:8" x14ac:dyDescent="0.25">
      <c r="A4989" s="1" t="s">
        <v>5002</v>
      </c>
      <c r="B4989" s="5">
        <v>45865.791666666664</v>
      </c>
      <c r="C4989" s="1" t="s">
        <v>8</v>
      </c>
      <c r="D4989" s="1" t="s">
        <v>37</v>
      </c>
      <c r="E4989" s="1">
        <v>14</v>
      </c>
      <c r="F4989" s="1">
        <v>323.3</v>
      </c>
      <c r="G4989" s="1">
        <v>34.08</v>
      </c>
      <c r="H4989">
        <f t="shared" si="77"/>
        <v>4526.2</v>
      </c>
    </row>
    <row r="4990" spans="1:8" x14ac:dyDescent="0.25">
      <c r="A4990" s="1" t="s">
        <v>5003</v>
      </c>
      <c r="B4990" s="5">
        <v>45865.833333333336</v>
      </c>
      <c r="C4990" s="1" t="s">
        <v>8</v>
      </c>
      <c r="D4990" s="1" t="s">
        <v>37</v>
      </c>
      <c r="E4990" s="1">
        <v>1</v>
      </c>
      <c r="F4990" s="1">
        <v>54.48</v>
      </c>
      <c r="G4990" s="1">
        <v>30.38</v>
      </c>
      <c r="H4990">
        <f t="shared" si="77"/>
        <v>54.48</v>
      </c>
    </row>
    <row r="4991" spans="1:8" x14ac:dyDescent="0.25">
      <c r="A4991" s="1" t="s">
        <v>5004</v>
      </c>
      <c r="B4991" s="5">
        <v>45865.875</v>
      </c>
      <c r="C4991" s="1" t="s">
        <v>11</v>
      </c>
      <c r="D4991" s="1" t="s">
        <v>19</v>
      </c>
      <c r="E4991" s="1">
        <v>10</v>
      </c>
      <c r="F4991" s="1">
        <v>295.69</v>
      </c>
      <c r="G4991" s="1">
        <v>21.82</v>
      </c>
      <c r="H4991">
        <f t="shared" si="77"/>
        <v>2956.9</v>
      </c>
    </row>
    <row r="4992" spans="1:8" x14ac:dyDescent="0.25">
      <c r="A4992" s="1" t="s">
        <v>5005</v>
      </c>
      <c r="B4992" s="5">
        <v>45865.916666666664</v>
      </c>
      <c r="C4992" s="1" t="s">
        <v>13</v>
      </c>
      <c r="D4992" s="1" t="s">
        <v>16</v>
      </c>
      <c r="E4992" s="1">
        <v>15</v>
      </c>
      <c r="F4992" s="1">
        <v>283.31</v>
      </c>
      <c r="G4992" s="1">
        <v>11.2</v>
      </c>
      <c r="H4992">
        <f t="shared" si="77"/>
        <v>4249.6499999999996</v>
      </c>
    </row>
    <row r="4993" spans="1:8" x14ac:dyDescent="0.25">
      <c r="A4993" s="1" t="s">
        <v>5006</v>
      </c>
      <c r="B4993" s="5">
        <v>45865.958333333336</v>
      </c>
      <c r="C4993" s="1" t="s">
        <v>8</v>
      </c>
      <c r="D4993" s="1" t="s">
        <v>16</v>
      </c>
      <c r="E4993" s="1">
        <v>7</v>
      </c>
      <c r="F4993" s="1">
        <v>117.01</v>
      </c>
      <c r="G4993" s="1">
        <v>48.14</v>
      </c>
      <c r="H4993">
        <f t="shared" si="77"/>
        <v>819.07</v>
      </c>
    </row>
    <row r="4994" spans="1:8" x14ac:dyDescent="0.25">
      <c r="A4994" s="1" t="s">
        <v>5007</v>
      </c>
      <c r="B4994" s="5">
        <v>45866</v>
      </c>
      <c r="C4994" s="1" t="s">
        <v>23</v>
      </c>
      <c r="D4994" s="1" t="s">
        <v>37</v>
      </c>
      <c r="E4994" s="1">
        <v>4</v>
      </c>
      <c r="F4994" s="1">
        <v>251.17</v>
      </c>
      <c r="G4994" s="1">
        <v>25.78</v>
      </c>
      <c r="H4994">
        <f t="shared" ref="H4994:H5001" si="78">E4994*F4994</f>
        <v>1004.68</v>
      </c>
    </row>
    <row r="4995" spans="1:8" x14ac:dyDescent="0.25">
      <c r="A4995" s="1" t="s">
        <v>5008</v>
      </c>
      <c r="B4995" s="5">
        <v>45866.041666666664</v>
      </c>
      <c r="C4995" s="1" t="s">
        <v>13</v>
      </c>
      <c r="D4995" s="1" t="s">
        <v>37</v>
      </c>
      <c r="E4995" s="1">
        <v>14</v>
      </c>
      <c r="F4995" s="1">
        <v>112.05</v>
      </c>
      <c r="G4995" s="1">
        <v>30.48</v>
      </c>
      <c r="H4995">
        <f t="shared" si="78"/>
        <v>1568.7</v>
      </c>
    </row>
    <row r="4996" spans="1:8" x14ac:dyDescent="0.25">
      <c r="A4996" s="1" t="s">
        <v>5009</v>
      </c>
      <c r="B4996" s="5">
        <v>45866.083333333336</v>
      </c>
      <c r="C4996" s="1" t="s">
        <v>8</v>
      </c>
      <c r="D4996" s="1" t="s">
        <v>16</v>
      </c>
      <c r="E4996" s="1">
        <v>16</v>
      </c>
      <c r="F4996" s="1">
        <v>79.34</v>
      </c>
      <c r="G4996" s="1">
        <v>38.799999999999997</v>
      </c>
      <c r="H4996">
        <f t="shared" si="78"/>
        <v>1269.44</v>
      </c>
    </row>
    <row r="4997" spans="1:8" x14ac:dyDescent="0.25">
      <c r="A4997" s="1" t="s">
        <v>5010</v>
      </c>
      <c r="B4997" s="5">
        <v>45866.125</v>
      </c>
      <c r="C4997" s="1" t="s">
        <v>13</v>
      </c>
      <c r="D4997" s="1" t="s">
        <v>16</v>
      </c>
      <c r="E4997" s="1">
        <v>14</v>
      </c>
      <c r="F4997" s="1">
        <v>264.52999999999997</v>
      </c>
      <c r="G4997" s="1">
        <v>8.08</v>
      </c>
      <c r="H4997">
        <f t="shared" si="78"/>
        <v>3703.4199999999996</v>
      </c>
    </row>
    <row r="4998" spans="1:8" x14ac:dyDescent="0.25">
      <c r="A4998" s="1" t="s">
        <v>5011</v>
      </c>
      <c r="B4998" s="5">
        <v>45866.166666666664</v>
      </c>
      <c r="C4998" s="1" t="s">
        <v>23</v>
      </c>
      <c r="D4998" s="1" t="s">
        <v>9</v>
      </c>
      <c r="E4998" s="1">
        <v>3</v>
      </c>
      <c r="F4998" s="1">
        <v>440.21</v>
      </c>
      <c r="G4998" s="1">
        <v>43.48</v>
      </c>
      <c r="H4998">
        <f t="shared" si="78"/>
        <v>1320.6299999999999</v>
      </c>
    </row>
    <row r="4999" spans="1:8" x14ac:dyDescent="0.25">
      <c r="A4999" s="1" t="s">
        <v>5012</v>
      </c>
      <c r="B4999" s="5">
        <v>45866.208333333336</v>
      </c>
      <c r="C4999" s="1" t="s">
        <v>8</v>
      </c>
      <c r="D4999" s="1" t="s">
        <v>37</v>
      </c>
      <c r="E4999" s="1">
        <v>17</v>
      </c>
      <c r="F4999" s="1">
        <v>118.45</v>
      </c>
      <c r="G4999" s="1">
        <v>40.869999999999997</v>
      </c>
      <c r="H4999">
        <f t="shared" si="78"/>
        <v>2013.65</v>
      </c>
    </row>
    <row r="5000" spans="1:8" x14ac:dyDescent="0.25">
      <c r="A5000" s="1" t="s">
        <v>5013</v>
      </c>
      <c r="B5000" s="5">
        <v>45866.25</v>
      </c>
      <c r="C5000" s="1" t="s">
        <v>23</v>
      </c>
      <c r="D5000" s="1" t="s">
        <v>37</v>
      </c>
      <c r="E5000" s="1">
        <v>14</v>
      </c>
      <c r="F5000" s="1">
        <v>169.89</v>
      </c>
      <c r="G5000" s="1">
        <v>39.85</v>
      </c>
      <c r="H5000">
        <f t="shared" si="78"/>
        <v>2378.46</v>
      </c>
    </row>
    <row r="5001" spans="1:8" x14ac:dyDescent="0.25">
      <c r="A5001" s="1" t="s">
        <v>5014</v>
      </c>
      <c r="B5001" s="5">
        <v>45866.291666666664</v>
      </c>
      <c r="C5001" s="1" t="s">
        <v>11</v>
      </c>
      <c r="D5001" s="1" t="s">
        <v>19</v>
      </c>
      <c r="E5001" s="1">
        <v>18</v>
      </c>
      <c r="F5001" s="1">
        <v>126.98</v>
      </c>
      <c r="G5001" s="1">
        <v>5.99</v>
      </c>
      <c r="H5001">
        <f t="shared" si="78"/>
        <v>2285.64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1BCB5A-B52A-4BB3-8E1C-EF26C7EDA3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Sheet5</vt:lpstr>
      <vt:lpstr>Sheet4</vt:lpstr>
      <vt:lpstr>Sheet2</vt:lpstr>
      <vt:lpstr>Sheet1</vt:lpstr>
      <vt:lpstr>Sheet1!Extract</vt:lpstr>
    </vt:vector>
  </TitlesOfParts>
  <Company>TEMAOS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Leo</cp:lastModifiedBy>
  <dcterms:created xsi:type="dcterms:W3CDTF">2026-07-25T11:38:28Z</dcterms:created>
  <dcterms:modified xsi:type="dcterms:W3CDTF">2026-07-27T13:39:15Z</dcterms:modified>
</cp:coreProperties>
</file>